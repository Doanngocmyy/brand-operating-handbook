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UONG_DAN" sheetId="1" state="visible" r:id="rId3"/>
    <sheet name="DASHBOARD" sheetId="2" state="visible" r:id="rId4"/>
    <sheet name="DON" sheetId="3" state="visible" r:id="rId5"/>
    <sheet name="CASE" sheetId="4" state="visible" r:id="rId6"/>
    <sheet name="DS" sheetId="5" state="visible" r:id="rId7"/>
  </sheets>
  <definedNames>
    <definedName function="false" hidden="true" localSheetId="3" name="_xlnm._FilterDatabase" vbProcedure="false">CASE!$A$2:$Y$202</definedName>
    <definedName function="false" hidden="true" localSheetId="2" name="_xlnm._FilterDatabase" vbProcedure="false">DON!$A$2:$AI$402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<sst xmlns="http://schemas.openxmlformats.org/spreadsheetml/2006/main" count="334" uniqueCount="225">
  <si>
    <t xml:space="preserve">SOP Tracker · [BRAND]</t>
  </si>
  <si>
    <t xml:space="preserve">Đi kèm sổ tay: SOP-A Đơn chuẩn, SOP-B Hậu mãi, KPI &amp; tracking.</t>
  </si>
  <si>
    <t xml:space="preserve">Cách dùng</t>
  </si>
  <si>
    <t xml:space="preserve">1. Ô vàng</t>
  </si>
  <si>
    <t xml:space="preserve">Nhập tay. Chỉ nhập ngày khi đã có BẰNG CHỨNG (mã PO, ảnh QC, lượt quét thật, POD).</t>
  </si>
  <si>
    <t xml:space="preserve">2. Ô xám</t>
  </si>
  <si>
    <t xml:space="preserve">Tự tính: trạng thái, chủ trì hiện tại, cờ SLA, lead time. Không gõ đè.</t>
  </si>
  <si>
    <t xml:space="preserve">3. Màu tiêu đề</t>
  </si>
  <si>
    <t xml:space="preserve">Màu = vị trí nhập cột đó: xanh dương CX · xanh lá SRC · xanh ngọc LOG · nâu OPS · tím FIN · xám tự tính.</t>
  </si>
  <si>
    <t xml:space="preserve">4. Họp 09:00</t>
  </si>
  <si>
    <t xml:space="preserve">Mở DASHBOARD → biểu đồ 'Cờ SLA đang bật'. Lọc từng cột ⚑ ở DON/CASE, giao người xử lý ngay.</t>
  </si>
  <si>
    <t xml:space="preserve">5. Thứ Sáu</t>
  </si>
  <si>
    <t xml:space="preserve">OPS chụp DASHBOARD vào báo cáo tuần. Đếm case theo nguyên nhân gốc, quyết định tắt SKU/NCC.</t>
  </si>
  <si>
    <t xml:space="preserve">6. Dữ liệu</t>
  </si>
  <si>
    <t xml:space="preserve">KHÔNG ghi tên, email, SĐT, địa chỉ khách. Mã đơn là khóa nối. Thông tin khách chỉ nằm trong Shopify.</t>
  </si>
  <si>
    <t xml:space="preserve">7. Phân quyền</t>
  </si>
  <si>
    <t xml:space="preserve">Khi có nhiều người: tách bản cho từng vị trí hoặc dùng bản xem lọc. Tab chi phí và NCC để file riêng.</t>
  </si>
  <si>
    <t xml:space="preserve">8. Dòng DEMO</t>
  </si>
  <si>
    <t xml:space="preserve">Dòng có mã DEMO-… chỉ để xem cách hoạt động. Xóa trước khi dùng thật.</t>
  </si>
  <si>
    <t xml:space="preserve">Cờ SLA</t>
  </si>
  <si>
    <t xml:space="preserve">⚑ Chưa đặt NCC &gt;24h</t>
  </si>
  <si>
    <t xml:space="preserve">Đã thanh toán &gt; 1 ngày mà chưa có ngày Đặt NCC → SRC</t>
  </si>
  <si>
    <t xml:space="preserve">⚑ NCC quá hẹn &gt;2d</t>
  </si>
  <si>
    <t xml:space="preserve">Quá ngày hẹn NCC gửi 2 ngày chưa có vận đơn → SRC nhắc; +5d báo OPS; +7d đổi NCC</t>
  </si>
  <si>
    <t xml:space="preserve">⚑ Sắp vượt ETA</t>
  </si>
  <si>
    <t xml:space="preserve">Còn ≤ 14 ngày tới ETA max mà chưa xuất → CX báo khách trước ≥ 7 ngày (case C2)</t>
  </si>
  <si>
    <t xml:space="preserve">⚑ Vượt ETA</t>
  </si>
  <si>
    <t xml:space="preserve">Quá ETA max chưa giao → CX chủ động đề nghị tín dụng 5% hoặc hủy hoàn 100%</t>
  </si>
  <si>
    <t xml:space="preserve">⚑ &gt;7d chưa cập nhật KH</t>
  </si>
  <si>
    <t xml:space="preserve">Lần liên hệ gần nhất &gt; 7 ngày → CX gửi cập nhật tuần, ghi ngày vào cột 'Cập nhật KH gần nhất'</t>
  </si>
  <si>
    <t xml:space="preserve">⚑ Case phản hồi &gt;24h</t>
  </si>
  <si>
    <t xml:space="preserve">Chưa có người thật trả lời sau 24h → CX, lên đầu họp 09:00</t>
  </si>
  <si>
    <t xml:space="preserve">⚑ Case mở &gt;7 ngày</t>
  </si>
  <si>
    <t xml:space="preserve">Case chưa đóng sau 7 ngày → OPS gọi khách</t>
  </si>
  <si>
    <t xml:space="preserve">⚑ Duyệt sai cấp</t>
  </si>
  <si>
    <t xml:space="preserve">Người duyệt thấp hơn mức cần (≤50 CX · 51–150 OPS · &gt;150 / hoàn 100% CEO) → OPS rà</t>
  </si>
  <si>
    <t xml:space="preserve">Bảng điều khiển vận hành</t>
  </si>
  <si>
    <t xml:space="preserve">Đơn đang chạy</t>
  </si>
  <si>
    <t xml:space="preserve">Giao trong khung</t>
  </si>
  <si>
    <t xml:space="preserve">Đặt NCC ≤ 24h</t>
  </si>
  <si>
    <t xml:space="preserve">Cờ đỏ đơn đang mở</t>
  </si>
  <si>
    <t xml:space="preserve">Đơn theo trạng thái</t>
  </si>
  <si>
    <t xml:space="preserve">Nhóm</t>
  </si>
  <si>
    <t xml:space="preserve">Số</t>
  </si>
  <si>
    <t xml:space="preserve">10 Mới</t>
  </si>
  <si>
    <t xml:space="preserve">Mục tiêu ≥ 90%</t>
  </si>
  <si>
    <t xml:space="preserve">Mục tiêu ≥ 95%</t>
  </si>
  <si>
    <t xml:space="preserve">Mục tiêu 0</t>
  </si>
  <si>
    <t xml:space="preserve">20 Đã xác nhận</t>
  </si>
  <si>
    <t xml:space="preserve">30 Đã đặt NCC</t>
  </si>
  <si>
    <t xml:space="preserve">Case / đơn</t>
  </si>
  <si>
    <t xml:space="preserve">Phản hồi đầu (giờ, trung vị)</t>
  </si>
  <si>
    <t xml:space="preserve">Chargeback / đơn</t>
  </si>
  <si>
    <t xml:space="preserve">Chi phí case ròng (A$)</t>
  </si>
  <si>
    <t xml:space="preserve">40 NCC đã gửi</t>
  </si>
  <si>
    <t xml:space="preserve">50 QC đạt</t>
  </si>
  <si>
    <t xml:space="preserve">60 Đã xuất</t>
  </si>
  <si>
    <t xml:space="preserve">Mục tiêu ≤ 3%</t>
  </si>
  <si>
    <t xml:space="preserve">Mục tiêu ≤ 4</t>
  </si>
  <si>
    <t xml:space="preserve">Mục tiêu ≤ 0,5%</t>
  </si>
  <si>
    <t xml:space="preserve">70 Thông quan</t>
  </si>
  <si>
    <t xml:space="preserve">80 Đang giao</t>
  </si>
  <si>
    <t xml:space="preserve">90 Đã giao</t>
  </si>
  <si>
    <t xml:space="preserve">95 Hủy/hoàn</t>
  </si>
  <si>
    <t xml:space="preserve">99 Đóng</t>
  </si>
  <si>
    <t xml:space="preserve">Lead time TB theo giai đoạn (ngày)</t>
  </si>
  <si>
    <t xml:space="preserve">Giai đoạn</t>
  </si>
  <si>
    <t xml:space="preserve">Ngày TB</t>
  </si>
  <si>
    <t xml:space="preserve">S1–S2 TT→Đặt NCC</t>
  </si>
  <si>
    <t xml:space="preserve">S3 Đặt→NCC gửi</t>
  </si>
  <si>
    <t xml:space="preserve">S4 Gửi→QC đạt</t>
  </si>
  <si>
    <t xml:space="preserve">S5 QC→Xuất</t>
  </si>
  <si>
    <t xml:space="preserve">S6–S7 Xuất→Giao</t>
  </si>
  <si>
    <t xml:space="preserve">Cờ SLA đang bật</t>
  </si>
  <si>
    <t xml:space="preserve">Chưa đặt NCC &gt;24h</t>
  </si>
  <si>
    <t xml:space="preserve">NCC quá hẹn &gt;2d</t>
  </si>
  <si>
    <t xml:space="preserve">Sắp vượt ETA</t>
  </si>
  <si>
    <t xml:space="preserve">Vượt ETA</t>
  </si>
  <si>
    <t xml:space="preserve">&gt;7d chưa cập nhật KH</t>
  </si>
  <si>
    <t xml:space="preserve">Case phản hồi &gt;24h</t>
  </si>
  <si>
    <t xml:space="preserve">Case mở &gt;7 ngày</t>
  </si>
  <si>
    <t xml:space="preserve">Case duyệt sai cấp</t>
  </si>
  <si>
    <t xml:space="preserve">Case theo loại</t>
  </si>
  <si>
    <t xml:space="preserve">C1 Hủy đơn</t>
  </si>
  <si>
    <t xml:space="preserve">C2 Trễ hạn</t>
  </si>
  <si>
    <t xml:space="preserve">C3 Hư hỏng</t>
  </si>
  <si>
    <t xml:space="preserve">C4 Thiếu kiện/phụ kiện</t>
  </si>
  <si>
    <t xml:space="preserve">C5 Sai hàng/khác mô tả</t>
  </si>
  <si>
    <t xml:space="preserve">C6 Đổi ý</t>
  </si>
  <si>
    <t xml:space="preserve">C7 Chargeback</t>
  </si>
  <si>
    <t xml:space="preserve">C8 Bảo hành</t>
  </si>
  <si>
    <t xml:space="preserve">Case theo nguyên nhân gốc</t>
  </si>
  <si>
    <t xml:space="preserve">RC-NCC</t>
  </si>
  <si>
    <t xml:space="preserve">RC-PACK</t>
  </si>
  <si>
    <t xml:space="preserve">RC-QC</t>
  </si>
  <si>
    <t xml:space="preserve">RC-FWD</t>
  </si>
  <si>
    <t xml:space="preserve">RC-LAST</t>
  </si>
  <si>
    <t xml:space="preserve">RC-LIST</t>
  </si>
  <si>
    <t xml:space="preserve">RC-CX</t>
  </si>
  <si>
    <t xml:space="preserve">RC-CUST</t>
  </si>
  <si>
    <t xml:space="preserve">SOP-A · Theo dõi đơn  —  ô vàng: nhập ngày khi có BẰNG CHỨNG · cột xám: tự tính · màu tiêu đề = vị trí nhập</t>
  </si>
  <si>
    <t xml:space="preserve">Mã đơn</t>
  </si>
  <si>
    <t xml:space="preserve">Thị trường</t>
  </si>
  <si>
    <t xml:space="preserve">SKU</t>
  </si>
  <si>
    <t xml:space="preserve">Giá trị (A$)</t>
  </si>
  <si>
    <t xml:space="preserve">Ngày thanh toán</t>
  </si>
  <si>
    <t xml:space="preserve">ETA min</t>
  </si>
  <si>
    <t xml:space="preserve">ETA max (đã hứa)</t>
  </si>
  <si>
    <t xml:space="preserve">20 Xác nhận</t>
  </si>
  <si>
    <t xml:space="preserve">30 Đặt NCC</t>
  </si>
  <si>
    <t xml:space="preserve">Hẹn NCC gửi</t>
  </si>
  <si>
    <t xml:space="preserve">40 NCC gửi</t>
  </si>
  <si>
    <t xml:space="preserve">60 Xuất (quét thật)</t>
  </si>
  <si>
    <t xml:space="preserve">80 Bàn giao giao cuối</t>
  </si>
  <si>
    <t xml:space="preserve">90 Đã giao (POD)</t>
  </si>
  <si>
    <t xml:space="preserve">Cập nhật KH gần nhất</t>
  </si>
  <si>
    <t xml:space="preserve">Trạng thái</t>
  </si>
  <si>
    <t xml:space="preserve">Chủ trì hiện tại</t>
  </si>
  <si>
    <t xml:space="preserve">Ngày ở trạng thái</t>
  </si>
  <si>
    <t xml:space="preserve">⚑ Sắp vượt ETA (≤14d)</t>
  </si>
  <si>
    <t xml:space="preserve">Lead time tổng (ngày)</t>
  </si>
  <si>
    <t xml:space="preserve">Số case</t>
  </si>
  <si>
    <t xml:space="preserve">DEMO-1001</t>
  </si>
  <si>
    <t xml:space="preserve">AU</t>
  </si>
  <si>
    <t xml:space="preserve">TVC-OAK-180</t>
  </si>
  <si>
    <t xml:space="preserve">DEMO-1002</t>
  </si>
  <si>
    <t xml:space="preserve">CFT-WAL-120</t>
  </si>
  <si>
    <t xml:space="preserve">DEMO-1003</t>
  </si>
  <si>
    <t xml:space="preserve">SG</t>
  </si>
  <si>
    <t xml:space="preserve">SHO-WHT-100</t>
  </si>
  <si>
    <t xml:space="preserve">DEMO-1004</t>
  </si>
  <si>
    <t xml:space="preserve">BUF-BLK-160</t>
  </si>
  <si>
    <t xml:space="preserve">DEMO-1005</t>
  </si>
  <si>
    <t xml:space="preserve">BKS-OAK-080</t>
  </si>
  <si>
    <t xml:space="preserve">DEMO-1006</t>
  </si>
  <si>
    <t xml:space="preserve">DTB-WAL-180</t>
  </si>
  <si>
    <t xml:space="preserve">DEMO-1007</t>
  </si>
  <si>
    <t xml:space="preserve">TVC-WHT-160</t>
  </si>
  <si>
    <t xml:space="preserve">DEMO-1008</t>
  </si>
  <si>
    <t xml:space="preserve">CFT-OAK-100</t>
  </si>
  <si>
    <t xml:space="preserve">DEMO-1009</t>
  </si>
  <si>
    <t xml:space="preserve">SHO-GRY-120</t>
  </si>
  <si>
    <t xml:space="preserve">DEMO-1010</t>
  </si>
  <si>
    <t xml:space="preserve">BUF-OAK-140</t>
  </si>
  <si>
    <t xml:space="preserve">DEMO-1011</t>
  </si>
  <si>
    <t xml:space="preserve">DTB-OAK-160</t>
  </si>
  <si>
    <t xml:space="preserve">DEMO-1012</t>
  </si>
  <si>
    <t xml:space="preserve">BKS-BLK-100</t>
  </si>
  <si>
    <t xml:space="preserve">SOP-B · Theo dõi case hậu mãi  —  mỗi case một dòng · đóng case phải có nguyên nhân gốc</t>
  </si>
  <si>
    <t xml:space="preserve">Mã case</t>
  </si>
  <si>
    <t xml:space="preserve">Loại</t>
  </si>
  <si>
    <t xml:space="preserve">Kênh</t>
  </si>
  <si>
    <t xml:space="preserve">Mở lúc</t>
  </si>
  <si>
    <t xml:space="preserve">Phản hồi đầu lúc</t>
  </si>
  <si>
    <t xml:space="preserve">Đủ bằng chứng</t>
  </si>
  <si>
    <t xml:space="preserve">Giải pháp</t>
  </si>
  <si>
    <t xml:space="preserve">Đền bù / hoàn (A$)</t>
  </si>
  <si>
    <t xml:space="preserve">Cấp duyệt cần</t>
  </si>
  <si>
    <t xml:space="preserve">Người duyệt</t>
  </si>
  <si>
    <t xml:space="preserve">Đúng cấp?</t>
  </si>
  <si>
    <t xml:space="preserve">Thực thi xong</t>
  </si>
  <si>
    <t xml:space="preserve">Ngày hoàn tiền</t>
  </si>
  <si>
    <t xml:space="preserve">Đóng case</t>
  </si>
  <si>
    <t xml:space="preserve">Nguyên nhân gốc</t>
  </si>
  <si>
    <t xml:space="preserve">Thu hồi từ</t>
  </si>
  <si>
    <t xml:space="preserve">Số thu hồi (A$)</t>
  </si>
  <si>
    <t xml:space="preserve">Chi phí ròng (A$)</t>
  </si>
  <si>
    <t xml:space="preserve">Giờ phản hồi</t>
  </si>
  <si>
    <t xml:space="preserve">Số ngày mở</t>
  </si>
  <si>
    <t xml:space="preserve">⚑ Phản hồi &gt;24h</t>
  </si>
  <si>
    <t xml:space="preserve">⚑ Mở &gt;7 ngày</t>
  </si>
  <si>
    <t xml:space="preserve">Ghi chú (không ghi dữ liệu cá nhân)</t>
  </si>
  <si>
    <t xml:space="preserve">DEMO-C01</t>
  </si>
  <si>
    <t xml:space="preserve">Email</t>
  </si>
  <si>
    <t xml:space="preserve">R2 Gửi bù</t>
  </si>
  <si>
    <t xml:space="preserve">CX</t>
  </si>
  <si>
    <t xml:space="preserve">NCC</t>
  </si>
  <si>
    <t xml:space="preserve">DEMO-C02</t>
  </si>
  <si>
    <t xml:space="preserve">Form web</t>
  </si>
  <si>
    <t xml:space="preserve">R4 Hoàn một phần</t>
  </si>
  <si>
    <t xml:space="preserve">OPS</t>
  </si>
  <si>
    <t xml:space="preserve">Hãng giao</t>
  </si>
  <si>
    <t xml:space="preserve">DEMO-C03</t>
  </si>
  <si>
    <t xml:space="preserve">R4 Hoàn 100%</t>
  </si>
  <si>
    <t xml:space="preserve">CEO</t>
  </si>
  <si>
    <t xml:space="preserve">DEMO-C04</t>
  </si>
  <si>
    <t xml:space="preserve">Messenger</t>
  </si>
  <si>
    <t xml:space="preserve">R4 Tín dụng</t>
  </si>
  <si>
    <t xml:space="preserve">DEMO-C05</t>
  </si>
  <si>
    <t xml:space="preserve">WhatsApp</t>
  </si>
  <si>
    <t xml:space="preserve">R1 Sửa</t>
  </si>
  <si>
    <t xml:space="preserve">Chủ trì</t>
  </si>
  <si>
    <t xml:space="preserve">Bằng chứng để vào</t>
  </si>
  <si>
    <t xml:space="preserve">Loại case</t>
  </si>
  <si>
    <t xml:space="preserve">Luồng</t>
  </si>
  <si>
    <t xml:space="preserve">Cấp duyệt</t>
  </si>
  <si>
    <t xml:space="preserve">ETA min (tuần)</t>
  </si>
  <si>
    <t xml:space="preserve">ETA max (tuần)</t>
  </si>
  <si>
    <t xml:space="preserve">Đã thanh toán</t>
  </si>
  <si>
    <t xml:space="preserve">B1</t>
  </si>
  <si>
    <t xml:space="preserve">SRC</t>
  </si>
  <si>
    <t xml:space="preserve">Email xác nhận + ETA</t>
  </si>
  <si>
    <t xml:space="preserve">Có mã PO</t>
  </si>
  <si>
    <t xml:space="preserve">B1·B2</t>
  </si>
  <si>
    <t xml:space="preserve">R3 Đổi mới</t>
  </si>
  <si>
    <t xml:space="preserve">NZ</t>
  </si>
  <si>
    <t xml:space="preserve">Vận đơn nội địa</t>
  </si>
  <si>
    <t xml:space="preserve">Instagram</t>
  </si>
  <si>
    <t xml:space="preserve">LOG</t>
  </si>
  <si>
    <t xml:space="preserve">Ảnh QC kho gom</t>
  </si>
  <si>
    <t xml:space="preserve">Mức duyệt: ≤ A$50 CX · 51–150 OPS · &gt; 150 hoặc hoàn 100% CEO</t>
  </si>
  <si>
    <t xml:space="preserve">Khung ETA = chính sách đã công bố (chỉnh tại L2:M4). NZ chưa bán, để sẵn.</t>
  </si>
  <si>
    <t xml:space="preserve">Lượt quét thật</t>
  </si>
  <si>
    <t xml:space="preserve">B2</t>
  </si>
  <si>
    <t xml:space="preserve">Điện thoại</t>
  </si>
  <si>
    <t xml:space="preserve">Tới cảng / hải quan</t>
  </si>
  <si>
    <t xml:space="preserve">B3</t>
  </si>
  <si>
    <t xml:space="preserve">R5 Thu hồi</t>
  </si>
  <si>
    <t xml:space="preserve">Cổng thanh toán</t>
  </si>
  <si>
    <t xml:space="preserve">Hãng giao nhận hàng</t>
  </si>
  <si>
    <t xml:space="preserve">Không bồi thường</t>
  </si>
  <si>
    <t xml:space="preserve">POD / ảnh giao</t>
  </si>
  <si>
    <t xml:space="preserve">–</t>
  </si>
  <si>
    <t xml:space="preserve">Đã hoàn tiền</t>
  </si>
  <si>
    <t xml:space="preserve">D+14 không case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</si>
</sst>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%"/>
    <numFmt numFmtId="167" formatCode="0.0%"/>
    <numFmt numFmtId="168" formatCode="0.0"/>
    <numFmt numFmtId="169" formatCode="#,##0"/>
    <numFmt numFmtId="170" formatCode="dd/mm/yy"/>
    <numFmt numFmtId="171" formatCode="General"/>
    <numFmt numFmtId="172" formatCode="dd/mm/yy\ hh:mm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sz val="11"/>
      <color rgb="FF6E6E7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sz val="10"/>
      <color rgb="FF6E6E73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22"/>
      <name val="Arial"/>
      <family val="0"/>
      <charset val="1"/>
    </font>
    <font>
      <b val="true"/>
      <sz val="10"/>
      <color rgb="FF6E6E73"/>
      <name val="Arial"/>
      <family val="0"/>
      <charset val="1"/>
    </font>
    <font>
      <sz val="9"/>
      <color rgb="FF6E6E7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E6E7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BFBFA"/>
        <bgColor rgb="FFFFFFFF"/>
      </patternFill>
    </fill>
    <fill>
      <patternFill patternType="solid">
        <fgColor rgb="FF2F6FB0"/>
        <bgColor rgb="FF0F7C80"/>
      </patternFill>
    </fill>
    <fill>
      <patternFill patternType="solid">
        <fgColor rgb="FF8E8E93"/>
        <bgColor rgb="FF878787"/>
      </patternFill>
    </fill>
    <fill>
      <patternFill patternType="solid">
        <fgColor rgb="FF2E7D4F"/>
        <bgColor rgb="FF0F7C80"/>
      </patternFill>
    </fill>
    <fill>
      <patternFill patternType="solid">
        <fgColor rgb="FF0F7C80"/>
        <bgColor rgb="FF008080"/>
      </patternFill>
    </fill>
    <fill>
      <patternFill patternType="solid">
        <fgColor rgb="FF6B5A45"/>
        <bgColor rgb="FF6E6E73"/>
      </patternFill>
    </fill>
    <fill>
      <patternFill patternType="solid">
        <fgColor rgb="FF7A4FA3"/>
        <bgColor rgb="FF6E6E73"/>
      </patternFill>
    </fill>
    <fill>
      <patternFill patternType="solid">
        <fgColor rgb="FFFFF9E6"/>
        <bgColor rgb="FFFFF4DC"/>
      </patternFill>
    </fill>
    <fill>
      <patternFill patternType="solid">
        <fgColor rgb="FFF5F5F4"/>
        <bgColor rgb="FFF3EFE9"/>
      </patternFill>
    </fill>
    <fill>
      <patternFill patternType="solid">
        <fgColor rgb="FFF3EFE9"/>
        <bgColor rgb="FFFDECE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E5E5E7"/>
      </left>
      <right/>
      <top style="thin">
        <color rgb="FFE5E5E7"/>
      </top>
      <bottom/>
      <diagonal/>
    </border>
    <border diagonalUp="false" diagonalDown="false">
      <left/>
      <right style="thin">
        <color rgb="FFE5E5E7"/>
      </right>
      <top style="thin">
        <color rgb="FFE5E5E7"/>
      </top>
      <bottom/>
      <diagonal/>
    </border>
    <border diagonalUp="false" diagonalDown="false">
      <left style="thin">
        <color rgb="FFE5E5E7"/>
      </left>
      <right/>
      <top/>
      <bottom/>
      <diagonal/>
    </border>
    <border diagonalUp="false" diagonalDown="false">
      <left/>
      <right style="thin">
        <color rgb="FFE5E5E7"/>
      </right>
      <top/>
      <bottom/>
      <diagonal/>
    </border>
    <border diagonalUp="false" diagonalDown="false">
      <left style="thin">
        <color rgb="FFE5E5E7"/>
      </left>
      <right/>
      <top/>
      <bottom style="thin">
        <color rgb="FFE5E5E7"/>
      </bottom>
      <diagonal/>
    </border>
    <border diagonalUp="false" diagonalDown="false">
      <left/>
      <right style="thin">
        <color rgb="FFE5E5E7"/>
      </right>
      <top/>
      <bottom style="thin">
        <color rgb="FFE5E5E7"/>
      </bottom>
      <diagonal/>
    </border>
    <border diagonalUp="false" diagonalDown="false">
      <left style="thin">
        <color rgb="FFE5E5E7"/>
      </left>
      <right style="thin">
        <color rgb="FFE5E5E7"/>
      </right>
      <top style="thin">
        <color rgb="FFE5E5E7"/>
      </top>
      <bottom style="thin">
        <color rgb="FFE5E5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2F6FB0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E8E93"/>
          <bgColor rgb="FF000000"/>
        </patternFill>
      </fill>
    </dxf>
    <dxf>
      <fill>
        <patternFill patternType="solid">
          <fgColor rgb="FFF5F5F4"/>
          <bgColor rgb="FF000000"/>
        </patternFill>
      </fill>
    </dxf>
    <dxf>
      <fill>
        <patternFill patternType="solid">
          <fgColor rgb="FF2E7D4F"/>
          <bgColor rgb="FF000000"/>
        </patternFill>
      </fill>
    </dxf>
    <dxf>
      <fill>
        <patternFill patternType="solid">
          <fgColor rgb="FF0F7C80"/>
          <bgColor rgb="FF000000"/>
        </patternFill>
      </fill>
    </dxf>
    <dxf>
      <fill>
        <patternFill patternType="solid">
          <fgColor rgb="FF6B5A45"/>
          <bgColor rgb="FF000000"/>
        </patternFill>
      </fill>
    </dxf>
    <dxf>
      <fill>
        <patternFill patternType="solid">
          <fgColor rgb="FF7A4FA3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A5281B"/>
          <bgColor rgb="FF000000"/>
        </patternFill>
      </fill>
    </dxf>
    <dxf>
      <fill>
        <patternFill patternType="solid">
          <fgColor rgb="FFFFF4DC"/>
          <bgColor rgb="FF000000"/>
        </patternFill>
      </fill>
    </dxf>
    <dxf>
      <font>
        <b val="1"/>
        <color rgb="FFA5281B"/>
      </font>
      <fill>
        <patternFill>
          <bgColor rgb="FFFDECEA"/>
        </patternFill>
      </fill>
    </dxf>
    <dxf>
      <fill>
        <patternFill>
          <bgColor rgb="FFE6F4EA"/>
        </patternFill>
      </fill>
    </dxf>
    <dxf>
      <fill>
        <patternFill>
          <bgColor rgb="FFFDECEA"/>
        </patternFill>
      </fill>
    </dxf>
    <dxf>
      <fill>
        <patternFill>
          <bgColor rgb="FFFFF4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A45"/>
      <rgbColor rgb="FF800080"/>
      <rgbColor rgb="FF0F7C80"/>
      <rgbColor rgb="FFF3EFE9"/>
      <rgbColor rgb="FF878787"/>
      <rgbColor rgb="FF9999FF"/>
      <rgbColor rgb="FFC0392B"/>
      <rgbColor rgb="FFFFF9E6"/>
      <rgbColor rgb="FFE6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4"/>
      <rgbColor rgb="FFE5E5E7"/>
      <rgbColor rgb="FFFFF4DC"/>
      <rgbColor rgb="FFFBFBFA"/>
      <rgbColor rgb="FFFF99CC"/>
      <rgbColor rgb="FFCC99FF"/>
      <rgbColor rgb="FFFDECEA"/>
      <rgbColor rgb="FF2F6FB0"/>
      <rgbColor rgb="FF33CCCC"/>
      <rgbColor rgb="FF99CC00"/>
      <rgbColor rgb="FFFFCC00"/>
      <rgbColor rgb="FFFF9900"/>
      <rgbColor rgb="FFFF6600"/>
      <rgbColor rgb="FF6E6E73"/>
      <rgbColor rgb="FF8E8E93"/>
      <rgbColor rgb="FF003366"/>
      <rgbColor rgb="FF2E7D4F"/>
      <rgbColor rgb="FF003300"/>
      <rgbColor rgb="FF333300"/>
      <rgbColor rgb="FFA5281B"/>
      <rgbColor rgb="FF7A4FA3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Đơn theo trạng thái (đang ở đâu)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6b5a45"/>
            </a:solidFill>
            <a:ln w="9360">
              <a:solidFill>
                <a:srgbClr val="6b5a4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DASHBOARD!$P$7:$P$17</c:f>
              <c:strCache>
                <c:ptCount val="11"/>
                <c:pt idx="0">
                  <c:v>10 Mới</c:v>
                </c:pt>
                <c:pt idx="1">
                  <c:v>20 Đã xác nhận</c:v>
                </c:pt>
                <c:pt idx="2">
                  <c:v>30 Đã đặt NCC</c:v>
                </c:pt>
                <c:pt idx="3">
                  <c:v>40 NCC đã gửi</c:v>
                </c:pt>
                <c:pt idx="4">
                  <c:v>50 QC đạt</c:v>
                </c:pt>
                <c:pt idx="5">
                  <c:v>60 Đã xuất</c:v>
                </c:pt>
                <c:pt idx="6">
                  <c:v>70 Thông quan</c:v>
                </c:pt>
                <c:pt idx="7">
                  <c:v>80 Đang giao</c:v>
                </c:pt>
                <c:pt idx="8">
                  <c:v>90 Đã giao</c:v>
                </c:pt>
                <c:pt idx="9">
                  <c:v>95 Hủy/hoàn</c:v>
                </c:pt>
                <c:pt idx="10">
                  <c:v>99 Đóng</c:v>
                </c:pt>
              </c:strCache>
            </c:strRef>
          </c:cat>
          <c:val>
            <c:numRef>
              <c:f>DASHBOARD!$Q$7:$Q$17</c:f>
              <c:numCache>
                <c:formatCode>0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gapWidth val="150"/>
        <c:overlap val="0"/>
        <c:axId val="47267836"/>
        <c:axId val="72836480"/>
      </c:barChart>
      <c:catAx>
        <c:axId val="4726783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36480"/>
        <c:crosses val="autoZero"/>
        <c:auto val="1"/>
        <c:lblAlgn val="ctr"/>
        <c:lblOffset val="100"/>
        <c:noMultiLvlLbl val="0"/>
      </c:catAx>
      <c:valAx>
        <c:axId val="728364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678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time trung bình theo giai đoạn (ngày)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f7c80"/>
            </a:solidFill>
            <a:ln w="9360">
              <a:solidFill>
                <a:srgbClr val="0f7c8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DASHBOARD!$P$21:$P$25</c:f>
              <c:strCache>
                <c:ptCount val="5"/>
                <c:pt idx="0">
                  <c:v>S1–S2 TT→Đặt NCC</c:v>
                </c:pt>
                <c:pt idx="1">
                  <c:v>S3 Đặt→NCC gửi</c:v>
                </c:pt>
                <c:pt idx="2">
                  <c:v>S4 Gửi→QC đạt</c:v>
                </c:pt>
                <c:pt idx="3">
                  <c:v>S5 QC→Xuất</c:v>
                </c:pt>
                <c:pt idx="4">
                  <c:v>S6–S7 Xuất→Giao</c:v>
                </c:pt>
              </c:strCache>
            </c:strRef>
          </c:cat>
          <c:val>
            <c:numRef>
              <c:f>DASHBOARD!$Q$21:$Q$25</c:f>
              <c:numCache>
                <c:formatCode>0.0</c:formatCode>
                <c:ptCount val="5"/>
                <c:pt idx="0">
                  <c:v>1.11111111111111</c:v>
                </c:pt>
                <c:pt idx="1">
                  <c:v>16.5714285714286</c:v>
                </c:pt>
                <c:pt idx="2">
                  <c:v>4</c:v>
                </c:pt>
                <c:pt idx="3">
                  <c:v>4.66666666666667</c:v>
                </c:pt>
                <c:pt idx="4">
                  <c:v>30</c:v>
                </c:pt>
              </c:numCache>
            </c:numRef>
          </c:val>
        </c:ser>
        <c:gapWidth val="150"/>
        <c:overlap val="0"/>
        <c:axId val="80618700"/>
        <c:axId val="86543700"/>
      </c:barChart>
      <c:catAx>
        <c:axId val="806187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43700"/>
        <c:crosses val="autoZero"/>
        <c:auto val="1"/>
        <c:lblAlgn val="ctr"/>
        <c:lblOffset val="100"/>
        <c:noMultiLvlLbl val="0"/>
      </c:catAx>
      <c:valAx>
        <c:axId val="8654370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187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Cờ SLA đang bật → xử lý trong họp 09:00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c0392b"/>
            </a:solidFill>
            <a:ln w="9360">
              <a:solidFill>
                <a:srgbClr val="c0392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DASHBOARD!$P$29:$P$36</c:f>
              <c:strCache>
                <c:ptCount val="8"/>
                <c:pt idx="0">
                  <c:v>Chưa đặt NCC &gt;24h</c:v>
                </c:pt>
                <c:pt idx="1">
                  <c:v>NCC quá hẹn &gt;2d</c:v>
                </c:pt>
                <c:pt idx="2">
                  <c:v>Sắp vượt ETA</c:v>
                </c:pt>
                <c:pt idx="3">
                  <c:v>Vượt ETA</c:v>
                </c:pt>
                <c:pt idx="4">
                  <c:v>&gt;7d chưa cập nhật KH</c:v>
                </c:pt>
                <c:pt idx="5">
                  <c:v>Case phản hồi &gt;24h</c:v>
                </c:pt>
                <c:pt idx="6">
                  <c:v>Case mở &gt;7 ngày</c:v>
                </c:pt>
                <c:pt idx="7">
                  <c:v>Case duyệt sai cấp</c:v>
                </c:pt>
              </c:strCache>
            </c:strRef>
          </c:cat>
          <c:val>
            <c:numRef>
              <c:f>DASHBOARD!$Q$29:$Q$36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25406384"/>
        <c:axId val="74536124"/>
      </c:barChart>
      <c:catAx>
        <c:axId val="254063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36124"/>
        <c:crosses val="autoZero"/>
        <c:auto val="1"/>
        <c:lblAlgn val="ctr"/>
        <c:lblOffset val="100"/>
        <c:noMultiLvlLbl val="0"/>
      </c:catAx>
      <c:valAx>
        <c:axId val="7453612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063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 theo loại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f6fb0"/>
            </a:solidFill>
            <a:ln w="9360">
              <a:solidFill>
                <a:srgbClr val="2f6fb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DASHBOARD!$P$40:$P$47</c:f>
              <c:strCache>
                <c:ptCount val="8"/>
                <c:pt idx="0">
                  <c:v>C1 Hủy đơn</c:v>
                </c:pt>
                <c:pt idx="1">
                  <c:v>C2 Trễ hạn</c:v>
                </c:pt>
                <c:pt idx="2">
                  <c:v>C3 Hư hỏng</c:v>
                </c:pt>
                <c:pt idx="3">
                  <c:v>C4 Thiếu kiện/phụ kiện</c:v>
                </c:pt>
                <c:pt idx="4">
                  <c:v>C5 Sai hàng/khác mô tả</c:v>
                </c:pt>
                <c:pt idx="5">
                  <c:v>C6 Đổi ý</c:v>
                </c:pt>
                <c:pt idx="6">
                  <c:v>C7 Chargeback</c:v>
                </c:pt>
                <c:pt idx="7">
                  <c:v>C8 Bảo hành</c:v>
                </c:pt>
              </c:strCache>
            </c:strRef>
          </c:cat>
          <c:val>
            <c:numRef>
              <c:f>DASHBOARD!$Q$40:$Q$47</c:f>
              <c:numCache>
                <c:formatCode>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99412785"/>
        <c:axId val="20261757"/>
      </c:barChart>
      <c:catAx>
        <c:axId val="9941278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61757"/>
        <c:crosses val="autoZero"/>
        <c:auto val="1"/>
        <c:lblAlgn val="ctr"/>
        <c:lblOffset val="100"/>
        <c:noMultiLvlLbl val="0"/>
      </c:catAx>
      <c:valAx>
        <c:axId val="2026175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127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Nguyên nhân gốc → ai sửa quy trình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7d4f"/>
            </a:solidFill>
            <a:ln w="9360">
              <a:solidFill>
                <a:srgbClr val="2e7d4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DASHBOARD!$P$51:$P$58</c:f>
              <c:strCache>
                <c:ptCount val="8"/>
                <c:pt idx="0">
                  <c:v>RC-NCC</c:v>
                </c:pt>
                <c:pt idx="1">
                  <c:v>RC-PACK</c:v>
                </c:pt>
                <c:pt idx="2">
                  <c:v>RC-QC</c:v>
                </c:pt>
                <c:pt idx="3">
                  <c:v>RC-FWD</c:v>
                </c:pt>
                <c:pt idx="4">
                  <c:v>RC-LAST</c:v>
                </c:pt>
                <c:pt idx="5">
                  <c:v>RC-LIST</c:v>
                </c:pt>
                <c:pt idx="6">
                  <c:v>RC-CX</c:v>
                </c:pt>
                <c:pt idx="7">
                  <c:v>RC-CUST</c:v>
                </c:pt>
              </c:strCache>
            </c:strRef>
          </c:cat>
          <c:val>
            <c:numRef>
              <c:f>DASHBOARD!$Q$51:$Q$58</c:f>
              <c:numCache>
                <c:formatCode>0</c:formatCode>
                <c:ptCount val="8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45745501"/>
        <c:axId val="31265379"/>
      </c:barChart>
      <c:catAx>
        <c:axId val="4574550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65379"/>
        <c:crosses val="autoZero"/>
        <c:auto val="1"/>
        <c:lblAlgn val="ctr"/>
        <c:lblOffset val="100"/>
        <c:noMultiLvlLbl val="0"/>
      </c:catAx>
      <c:valAx>
        <c:axId val="3126537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455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182520</xdr:rowOff>
    </xdr:from>
    <xdr:to>
      <xdr:col>6</xdr:col>
      <xdr:colOff>450360</xdr:colOff>
      <xdr:row>26</xdr:row>
      <xdr:rowOff>106920</xdr:rowOff>
    </xdr:to>
    <xdr:graphicFrame>
      <xdr:nvGraphicFramePr>
        <xdr:cNvPr id="0" name="Chart 1"/>
        <xdr:cNvGraphicFramePr/>
      </xdr:nvGraphicFramePr>
      <xdr:xfrm>
        <a:off x="211320" y="285768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182520</xdr:rowOff>
    </xdr:from>
    <xdr:to>
      <xdr:col>12</xdr:col>
      <xdr:colOff>450360</xdr:colOff>
      <xdr:row>26</xdr:row>
      <xdr:rowOff>106920</xdr:rowOff>
    </xdr:to>
    <xdr:graphicFrame>
      <xdr:nvGraphicFramePr>
        <xdr:cNvPr id="1" name="Chart 2"/>
        <xdr:cNvGraphicFramePr/>
      </xdr:nvGraphicFramePr>
      <xdr:xfrm>
        <a:off x="5286240" y="285768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182160</xdr:rowOff>
    </xdr:from>
    <xdr:to>
      <xdr:col>6</xdr:col>
      <xdr:colOff>450360</xdr:colOff>
      <xdr:row>41</xdr:row>
      <xdr:rowOff>106920</xdr:rowOff>
    </xdr:to>
    <xdr:graphicFrame>
      <xdr:nvGraphicFramePr>
        <xdr:cNvPr id="2" name="Chart 3"/>
        <xdr:cNvGraphicFramePr/>
      </xdr:nvGraphicFramePr>
      <xdr:xfrm>
        <a:off x="211320" y="571500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182160</xdr:rowOff>
    </xdr:from>
    <xdr:to>
      <xdr:col>12</xdr:col>
      <xdr:colOff>450360</xdr:colOff>
      <xdr:row>41</xdr:row>
      <xdr:rowOff>106920</xdr:rowOff>
    </xdr:to>
    <xdr:graphicFrame>
      <xdr:nvGraphicFramePr>
        <xdr:cNvPr id="3" name="Chart 4"/>
        <xdr:cNvGraphicFramePr/>
      </xdr:nvGraphicFramePr>
      <xdr:xfrm>
        <a:off x="5286240" y="571500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42</xdr:row>
      <xdr:rowOff>182520</xdr:rowOff>
    </xdr:from>
    <xdr:to>
      <xdr:col>6</xdr:col>
      <xdr:colOff>450360</xdr:colOff>
      <xdr:row>56</xdr:row>
      <xdr:rowOff>106920</xdr:rowOff>
    </xdr:to>
    <xdr:graphicFrame>
      <xdr:nvGraphicFramePr>
        <xdr:cNvPr id="4" name="Chart 5"/>
        <xdr:cNvGraphicFramePr/>
      </xdr:nvGraphicFramePr>
      <xdr:xfrm>
        <a:off x="211320" y="857268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6.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  <c r="C6" s="5" t="s">
        <v>4</v>
      </c>
    </row>
    <row r="7" customFormat="false" ht="15" hidden="false" customHeight="false" outlineLevel="0" collapsed="false">
      <c r="B7" s="3" t="s">
        <v>5</v>
      </c>
      <c r="C7" s="5" t="s">
        <v>6</v>
      </c>
    </row>
    <row r="8" customFormat="false" ht="15" hidden="false" customHeight="false" outlineLevel="0" collapsed="false">
      <c r="B8" s="3" t="s">
        <v>7</v>
      </c>
      <c r="C8" s="5" t="s">
        <v>8</v>
      </c>
    </row>
    <row r="9" customFormat="false" ht="15" hidden="false" customHeight="false" outlineLevel="0" collapsed="false">
      <c r="B9" s="3" t="s">
        <v>9</v>
      </c>
      <c r="C9" s="5" t="s">
        <v>10</v>
      </c>
    </row>
    <row r="10" customFormat="false" ht="15" hidden="false" customHeight="false" outlineLevel="0" collapsed="false">
      <c r="B10" s="3" t="s">
        <v>11</v>
      </c>
      <c r="C10" s="5" t="s">
        <v>12</v>
      </c>
    </row>
    <row r="11" customFormat="false" ht="15" hidden="false" customHeight="false" outlineLevel="0" collapsed="false">
      <c r="B11" s="3" t="s">
        <v>13</v>
      </c>
      <c r="C11" s="5" t="s">
        <v>14</v>
      </c>
    </row>
    <row r="12" customFormat="false" ht="15" hidden="false" customHeight="false" outlineLevel="0" collapsed="false">
      <c r="B12" s="3" t="s">
        <v>15</v>
      </c>
      <c r="C12" s="5" t="s">
        <v>16</v>
      </c>
    </row>
    <row r="13" customFormat="false" ht="15" hidden="false" customHeight="false" outlineLevel="0" collapsed="false">
      <c r="B13" s="3" t="s">
        <v>17</v>
      </c>
      <c r="C13" s="5" t="s">
        <v>18</v>
      </c>
    </row>
    <row r="14" customFormat="false" ht="15" hidden="false" customHeight="false" outlineLevel="0" collapsed="false">
      <c r="B14" s="3"/>
    </row>
    <row r="15" customFormat="false" ht="16.15" hidden="false" customHeight="false" outlineLevel="0" collapsed="false">
      <c r="B15" s="4" t="s">
        <v>19</v>
      </c>
    </row>
    <row r="16" customFormat="false" ht="15" hidden="false" customHeight="false" outlineLevel="0" collapsed="false">
      <c r="B16" s="3" t="s">
        <v>20</v>
      </c>
      <c r="C16" s="5" t="s">
        <v>21</v>
      </c>
    </row>
    <row r="17" customFormat="false" ht="15" hidden="false" customHeight="false" outlineLevel="0" collapsed="false">
      <c r="B17" s="3" t="s">
        <v>22</v>
      </c>
      <c r="C17" s="5" t="s">
        <v>23</v>
      </c>
    </row>
    <row r="18" customFormat="false" ht="15" hidden="false" customHeight="false" outlineLevel="0" collapsed="false">
      <c r="B18" s="3" t="s">
        <v>24</v>
      </c>
      <c r="C18" s="5" t="s">
        <v>25</v>
      </c>
    </row>
    <row r="19" customFormat="false" ht="15" hidden="false" customHeight="false" outlineLevel="0" collapsed="false">
      <c r="B19" s="3" t="s">
        <v>26</v>
      </c>
      <c r="C19" s="5" t="s">
        <v>27</v>
      </c>
    </row>
    <row r="20" customFormat="false" ht="15" hidden="false" customHeight="false" outlineLevel="0" collapsed="false">
      <c r="B20" s="3" t="s">
        <v>28</v>
      </c>
      <c r="C20" s="5" t="s">
        <v>29</v>
      </c>
    </row>
    <row r="21" customFormat="false" ht="15" hidden="false" customHeight="false" outlineLevel="0" collapsed="false">
      <c r="B21" s="3" t="s">
        <v>30</v>
      </c>
      <c r="C21" s="5" t="s">
        <v>31</v>
      </c>
    </row>
    <row r="22" customFormat="false" ht="15" hidden="false" customHeight="false" outlineLevel="0" collapsed="false">
      <c r="B22" s="3" t="s">
        <v>32</v>
      </c>
      <c r="C22" s="5" t="s">
        <v>33</v>
      </c>
    </row>
    <row r="23" customFormat="false" ht="15" hidden="false" customHeight="false" outlineLevel="0" collapsed="false">
      <c r="B23" s="3" t="s">
        <v>34</v>
      </c>
      <c r="C23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Q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2"/>
    <col collapsed="false" customWidth="true" hidden="false" outlineLevel="0" max="16" min="16" style="0" width="24"/>
    <col collapsed="false" customWidth="true" hidden="false" outlineLevel="0" max="17" min="17" style="0" width="9"/>
  </cols>
  <sheetData>
    <row r="2" customFormat="false" ht="22.05" hidden="false" customHeight="false" outlineLevel="0" collapsed="false">
      <c r="B2" s="1" t="s">
        <v>36</v>
      </c>
    </row>
    <row r="3" customFormat="false" ht="15" hidden="false" customHeight="false" outlineLevel="0" collapsed="false">
      <c r="B3" s="2" t="str">
        <f aca="true">"Cập nhật theo ngày: "&amp;TEXT(TODAY(),"dd/mm/yyyy")&amp;"  ·  dữ liệu từ tab DON và CASE"</f>
        <v>Cập nhật theo ngày: 04/10/2026  ·  dữ liệu từ tab DON và CASE</v>
      </c>
    </row>
    <row r="5" customFormat="false" ht="15" hidden="false" customHeight="false" outlineLevel="0" collapsed="false">
      <c r="B5" s="6" t="s">
        <v>37</v>
      </c>
      <c r="C5" s="7"/>
      <c r="E5" s="6" t="s">
        <v>38</v>
      </c>
      <c r="F5" s="7"/>
      <c r="H5" s="6" t="s">
        <v>39</v>
      </c>
      <c r="I5" s="7"/>
      <c r="K5" s="6" t="s">
        <v>40</v>
      </c>
      <c r="L5" s="7"/>
      <c r="P5" s="8" t="s">
        <v>41</v>
      </c>
    </row>
    <row r="6" customFormat="false" ht="26.8" hidden="false" customHeight="false" outlineLevel="0" collapsed="false">
      <c r="B6" s="9" t="n">
        <f aca="false">COUNTA(DON!$A$3:$A$402)-COUNTIF(DON!$T$3:$T$402,"99*")-COUNTIF(DON!$T$3:$T$402,"95*")</f>
        <v>10</v>
      </c>
      <c r="C6" s="10"/>
      <c r="E6" s="11" t="n">
        <f aca="false">IFERROR(COUNTIF(DON!$AB$3:$AB$402,"Có")/(COUNTIF(DON!$AB$3:$AB$402,"Có")+COUNTIF(DON!$AB$3:$AB$402,"Không")),"–")</f>
        <v>1</v>
      </c>
      <c r="F6" s="10"/>
      <c r="H6" s="11" t="n">
        <f aca="false">IFERROR(COUNTIFS(DON!$AE$3:$AE$402,"&lt;=1")/COUNT(DON!$AE$3:$AE$402),"–")</f>
        <v>0.888888888888889</v>
      </c>
      <c r="I6" s="10"/>
      <c r="K6" s="9" t="n">
        <f aca="false">COUNTIF(DON!$W$3:$AA$402,"⚑")</f>
        <v>8</v>
      </c>
      <c r="L6" s="10"/>
      <c r="P6" s="12" t="s">
        <v>42</v>
      </c>
      <c r="Q6" s="12" t="s">
        <v>43</v>
      </c>
    </row>
    <row r="7" customFormat="false" ht="15" hidden="false" customHeight="false" outlineLevel="0" collapsed="false">
      <c r="B7" s="13"/>
      <c r="C7" s="10"/>
      <c r="E7" s="13"/>
      <c r="F7" s="10"/>
      <c r="H7" s="13"/>
      <c r="I7" s="10"/>
      <c r="K7" s="13"/>
      <c r="L7" s="10"/>
      <c r="P7" s="14" t="s">
        <v>44</v>
      </c>
      <c r="Q7" s="15" t="n">
        <f aca="false">COUNTIF(DON!$T$3:$T$402,"10 Mới")</f>
        <v>0</v>
      </c>
    </row>
    <row r="8" customFormat="false" ht="15" hidden="false" customHeight="false" outlineLevel="0" collapsed="false">
      <c r="B8" s="16"/>
      <c r="C8" s="17"/>
      <c r="E8" s="18" t="s">
        <v>45</v>
      </c>
      <c r="F8" s="17"/>
      <c r="H8" s="18" t="s">
        <v>46</v>
      </c>
      <c r="I8" s="17"/>
      <c r="K8" s="18" t="s">
        <v>47</v>
      </c>
      <c r="L8" s="17"/>
      <c r="P8" s="14" t="s">
        <v>48</v>
      </c>
      <c r="Q8" s="15" t="n">
        <f aca="false">COUNTIF(DON!$T$3:$T$402,"20 Đã xác nhận")</f>
        <v>2</v>
      </c>
    </row>
    <row r="9" customFormat="false" ht="15" hidden="false" customHeight="false" outlineLevel="0" collapsed="false">
      <c r="P9" s="14" t="s">
        <v>49</v>
      </c>
      <c r="Q9" s="15" t="n">
        <f aca="false">COUNTIF(DON!$T$3:$T$402,"30 Đã đặt NCC")</f>
        <v>2</v>
      </c>
    </row>
    <row r="10" customFormat="false" ht="15" hidden="false" customHeight="false" outlineLevel="0" collapsed="false">
      <c r="B10" s="6" t="s">
        <v>50</v>
      </c>
      <c r="C10" s="7"/>
      <c r="E10" s="6" t="s">
        <v>51</v>
      </c>
      <c r="F10" s="7"/>
      <c r="H10" s="6" t="s">
        <v>52</v>
      </c>
      <c r="I10" s="7"/>
      <c r="K10" s="6" t="s">
        <v>53</v>
      </c>
      <c r="L10" s="7"/>
      <c r="P10" s="14" t="s">
        <v>54</v>
      </c>
      <c r="Q10" s="15" t="n">
        <f aca="false">COUNTIF(DON!$T$3:$T$402,"40 NCC đã gửi")</f>
        <v>0</v>
      </c>
    </row>
    <row r="11" customFormat="false" ht="26.8" hidden="false" customHeight="false" outlineLevel="0" collapsed="false">
      <c r="B11" s="19" t="n">
        <f aca="false">IFERROR(COUNTA(CASE!$A$3:$A$202)/COUNTA(DON!$A$3:$A$402),"–")</f>
        <v>0.416666666666667</v>
      </c>
      <c r="C11" s="10"/>
      <c r="E11" s="20" t="n">
        <f aca="false">IFERROR(MEDIAN(CASE!$T$3:$T$202),"–")</f>
        <v>2</v>
      </c>
      <c r="F11" s="10"/>
      <c r="H11" s="19" t="n">
        <f aca="false">IFERROR(COUNTIF(CASE!$C$3:$C$202,"C7*")/COUNTA(DON!$A$3:$A$402),"–")</f>
        <v>0</v>
      </c>
      <c r="I11" s="10"/>
      <c r="K11" s="21" t="n">
        <f aca="false">SUM(CASE!$S$3:$S$202)</f>
        <v>714</v>
      </c>
      <c r="L11" s="10"/>
      <c r="P11" s="14" t="s">
        <v>55</v>
      </c>
      <c r="Q11" s="15" t="n">
        <f aca="false">COUNTIF(DON!$T$3:$T$402,"50 QC đạt")</f>
        <v>1</v>
      </c>
    </row>
    <row r="12" customFormat="false" ht="15" hidden="false" customHeight="false" outlineLevel="0" collapsed="false">
      <c r="B12" s="13"/>
      <c r="C12" s="10"/>
      <c r="E12" s="13"/>
      <c r="F12" s="10"/>
      <c r="H12" s="13"/>
      <c r="I12" s="10"/>
      <c r="K12" s="13"/>
      <c r="L12" s="10"/>
      <c r="P12" s="14" t="s">
        <v>56</v>
      </c>
      <c r="Q12" s="15" t="n">
        <f aca="false">COUNTIF(DON!$T$3:$T$402,"60 Đã xuất")</f>
        <v>2</v>
      </c>
    </row>
    <row r="13" customFormat="false" ht="15" hidden="false" customHeight="false" outlineLevel="0" collapsed="false">
      <c r="B13" s="18" t="s">
        <v>57</v>
      </c>
      <c r="C13" s="17"/>
      <c r="E13" s="18" t="s">
        <v>58</v>
      </c>
      <c r="F13" s="17"/>
      <c r="H13" s="18" t="s">
        <v>59</v>
      </c>
      <c r="I13" s="17"/>
      <c r="K13" s="16"/>
      <c r="L13" s="17"/>
      <c r="P13" s="14" t="s">
        <v>60</v>
      </c>
      <c r="Q13" s="15" t="n">
        <f aca="false">COUNTIF(DON!$T$3:$T$402,"70 Thông quan")</f>
        <v>1</v>
      </c>
    </row>
    <row r="14" customFormat="false" ht="15" hidden="false" customHeight="false" outlineLevel="0" collapsed="false">
      <c r="P14" s="14" t="s">
        <v>61</v>
      </c>
      <c r="Q14" s="15" t="n">
        <f aca="false">COUNTIF(DON!$T$3:$T$402,"80 Đang giao")</f>
        <v>0</v>
      </c>
    </row>
    <row r="15" customFormat="false" ht="15" hidden="false" customHeight="false" outlineLevel="0" collapsed="false">
      <c r="P15" s="14" t="s">
        <v>62</v>
      </c>
      <c r="Q15" s="15" t="n">
        <f aca="false">COUNTIF(DON!$T$3:$T$402,"90 Đã giao")</f>
        <v>2</v>
      </c>
    </row>
    <row r="16" customFormat="false" ht="15" hidden="false" customHeight="false" outlineLevel="0" collapsed="false">
      <c r="P16" s="14" t="s">
        <v>63</v>
      </c>
      <c r="Q16" s="15" t="n">
        <f aca="false">COUNTIF(DON!$T$3:$T$402,"95 Hủy/hoàn")</f>
        <v>1</v>
      </c>
    </row>
    <row r="17" customFormat="false" ht="15" hidden="false" customHeight="false" outlineLevel="0" collapsed="false">
      <c r="P17" s="14" t="s">
        <v>64</v>
      </c>
      <c r="Q17" s="15" t="n">
        <f aca="false">COUNTIF(DON!$T$3:$T$402,"99 Đóng")</f>
        <v>1</v>
      </c>
    </row>
    <row r="19" customFormat="false" ht="15" hidden="false" customHeight="false" outlineLevel="0" collapsed="false">
      <c r="P19" s="8" t="s">
        <v>65</v>
      </c>
    </row>
    <row r="20" customFormat="false" ht="15" hidden="false" customHeight="false" outlineLevel="0" collapsed="false">
      <c r="P20" s="12" t="s">
        <v>66</v>
      </c>
      <c r="Q20" s="12" t="s">
        <v>67</v>
      </c>
    </row>
    <row r="21" customFormat="false" ht="15" hidden="false" customHeight="false" outlineLevel="0" collapsed="false">
      <c r="P21" s="14" t="s">
        <v>68</v>
      </c>
      <c r="Q21" s="22" t="n">
        <f aca="false">IFERROR(AVERAGE(DON!$AE$3:$AE$402),0)</f>
        <v>1.11111111111111</v>
      </c>
    </row>
    <row r="22" customFormat="false" ht="15" hidden="false" customHeight="false" outlineLevel="0" collapsed="false">
      <c r="P22" s="14" t="s">
        <v>69</v>
      </c>
      <c r="Q22" s="22" t="n">
        <f aca="false">IFERROR(AVERAGE(DON!$AF$3:$AF$402),0)</f>
        <v>16.5714285714286</v>
      </c>
    </row>
    <row r="23" customFormat="false" ht="15" hidden="false" customHeight="false" outlineLevel="0" collapsed="false">
      <c r="P23" s="14" t="s">
        <v>70</v>
      </c>
      <c r="Q23" s="22" t="n">
        <f aca="false">IFERROR(AVERAGE(DON!$AG$3:$AG$402),0)</f>
        <v>4</v>
      </c>
    </row>
    <row r="24" customFormat="false" ht="15" hidden="false" customHeight="false" outlineLevel="0" collapsed="false">
      <c r="P24" s="14" t="s">
        <v>71</v>
      </c>
      <c r="Q24" s="22" t="n">
        <f aca="false">IFERROR(AVERAGE(DON!$AH$3:$AH$402),0)</f>
        <v>4.66666666666667</v>
      </c>
    </row>
    <row r="25" customFormat="false" ht="15" hidden="false" customHeight="false" outlineLevel="0" collapsed="false">
      <c r="P25" s="14" t="s">
        <v>72</v>
      </c>
      <c r="Q25" s="22" t="n">
        <f aca="false">IFERROR(AVERAGE(DON!$AI$3:$AI$402),0)</f>
        <v>30</v>
      </c>
    </row>
    <row r="27" customFormat="false" ht="15" hidden="false" customHeight="false" outlineLevel="0" collapsed="false">
      <c r="P27" s="8" t="s">
        <v>73</v>
      </c>
    </row>
    <row r="28" customFormat="false" ht="15" hidden="false" customHeight="false" outlineLevel="0" collapsed="false">
      <c r="P28" s="12" t="s">
        <v>42</v>
      </c>
      <c r="Q28" s="12" t="s">
        <v>43</v>
      </c>
    </row>
    <row r="29" customFormat="false" ht="15" hidden="false" customHeight="false" outlineLevel="0" collapsed="false">
      <c r="P29" s="14" t="s">
        <v>74</v>
      </c>
      <c r="Q29" s="15" t="n">
        <f aca="false">COUNTIF(DON!$W$3:$W$402,"⚑")</f>
        <v>1</v>
      </c>
    </row>
    <row r="30" customFormat="false" ht="15" hidden="false" customHeight="false" outlineLevel="0" collapsed="false">
      <c r="P30" s="14" t="s">
        <v>75</v>
      </c>
      <c r="Q30" s="15" t="n">
        <f aca="false">COUNTIF(DON!$X$3:$X$402,"⚑")</f>
        <v>2</v>
      </c>
    </row>
    <row r="31" customFormat="false" ht="15" hidden="false" customHeight="false" outlineLevel="0" collapsed="false">
      <c r="P31" s="14" t="s">
        <v>76</v>
      </c>
      <c r="Q31" s="15" t="n">
        <f aca="false">COUNTIF(DON!$Y$3:$Y$402,"⚑")</f>
        <v>0</v>
      </c>
    </row>
    <row r="32" customFormat="false" ht="15" hidden="false" customHeight="false" outlineLevel="0" collapsed="false">
      <c r="P32" s="14" t="s">
        <v>77</v>
      </c>
      <c r="Q32" s="15" t="n">
        <f aca="false">COUNTIF(DON!$Z$3:$Z$402,"⚑")</f>
        <v>0</v>
      </c>
    </row>
    <row r="33" customFormat="false" ht="15" hidden="false" customHeight="false" outlineLevel="0" collapsed="false">
      <c r="P33" s="14" t="s">
        <v>78</v>
      </c>
      <c r="Q33" s="15" t="n">
        <f aca="false">COUNTIF(DON!$AA$3:$AA$402,"⚑")</f>
        <v>5</v>
      </c>
    </row>
    <row r="34" customFormat="false" ht="15" hidden="false" customHeight="false" outlineLevel="0" collapsed="false">
      <c r="P34" s="14" t="s">
        <v>79</v>
      </c>
      <c r="Q34" s="15" t="n">
        <f aca="false">COUNTIF(CASE!$V$3:$V$202,"⚑")</f>
        <v>1</v>
      </c>
    </row>
    <row r="35" customFormat="false" ht="15" hidden="false" customHeight="false" outlineLevel="0" collapsed="false">
      <c r="P35" s="14" t="s">
        <v>80</v>
      </c>
      <c r="Q35" s="15" t="n">
        <f aca="false">COUNTIF(CASE!$W$3:$W$202,"⚑")</f>
        <v>1</v>
      </c>
    </row>
    <row r="36" customFormat="false" ht="15" hidden="false" customHeight="false" outlineLevel="0" collapsed="false">
      <c r="P36" s="14" t="s">
        <v>81</v>
      </c>
      <c r="Q36" s="15" t="n">
        <f aca="false">COUNTIF(CASE!$X$3:$X$202,"⚑")</f>
        <v>1</v>
      </c>
    </row>
    <row r="38" customFormat="false" ht="15" hidden="false" customHeight="false" outlineLevel="0" collapsed="false">
      <c r="P38" s="8" t="s">
        <v>82</v>
      </c>
    </row>
    <row r="39" customFormat="false" ht="15" hidden="false" customHeight="false" outlineLevel="0" collapsed="false">
      <c r="P39" s="12" t="s">
        <v>42</v>
      </c>
      <c r="Q39" s="12" t="s">
        <v>43</v>
      </c>
    </row>
    <row r="40" customFormat="false" ht="15" hidden="false" customHeight="false" outlineLevel="0" collapsed="false">
      <c r="P40" s="14" t="s">
        <v>83</v>
      </c>
      <c r="Q40" s="15" t="n">
        <f aca="false">COUNTIF(CASE!$C$3:$C$202,"C1 Hủy đơn")</f>
        <v>1</v>
      </c>
    </row>
    <row r="41" customFormat="false" ht="15" hidden="false" customHeight="false" outlineLevel="0" collapsed="false">
      <c r="P41" s="14" t="s">
        <v>84</v>
      </c>
      <c r="Q41" s="15" t="n">
        <f aca="false">COUNTIF(CASE!$C$3:$C$202,"C2 Trễ hạn")</f>
        <v>1</v>
      </c>
    </row>
    <row r="42" customFormat="false" ht="15" hidden="false" customHeight="false" outlineLevel="0" collapsed="false">
      <c r="P42" s="14" t="s">
        <v>85</v>
      </c>
      <c r="Q42" s="15" t="n">
        <f aca="false">COUNTIF(CASE!$C$3:$C$202,"C3 Hư hỏng")</f>
        <v>1</v>
      </c>
    </row>
    <row r="43" customFormat="false" ht="15" hidden="false" customHeight="false" outlineLevel="0" collapsed="false">
      <c r="P43" s="14" t="s">
        <v>86</v>
      </c>
      <c r="Q43" s="15" t="n">
        <f aca="false">COUNTIF(CASE!$C$3:$C$202,"C4 Thiếu kiện/phụ kiện")</f>
        <v>1</v>
      </c>
    </row>
    <row r="44" customFormat="false" ht="15" hidden="false" customHeight="false" outlineLevel="0" collapsed="false">
      <c r="P44" s="14" t="s">
        <v>87</v>
      </c>
      <c r="Q44" s="15" t="n">
        <f aca="false">COUNTIF(CASE!$C$3:$C$202,"C5 Sai hàng/khác mô tả")</f>
        <v>0</v>
      </c>
    </row>
    <row r="45" customFormat="false" ht="15" hidden="false" customHeight="false" outlineLevel="0" collapsed="false">
      <c r="P45" s="14" t="s">
        <v>88</v>
      </c>
      <c r="Q45" s="15" t="n">
        <f aca="false">COUNTIF(CASE!$C$3:$C$202,"C6 Đổi ý")</f>
        <v>0</v>
      </c>
    </row>
    <row r="46" customFormat="false" ht="15" hidden="false" customHeight="false" outlineLevel="0" collapsed="false">
      <c r="P46" s="14" t="s">
        <v>89</v>
      </c>
      <c r="Q46" s="15" t="n">
        <f aca="false">COUNTIF(CASE!$C$3:$C$202,"C7 Chargeback")</f>
        <v>0</v>
      </c>
    </row>
    <row r="47" customFormat="false" ht="15" hidden="false" customHeight="false" outlineLevel="0" collapsed="false">
      <c r="P47" s="14" t="s">
        <v>90</v>
      </c>
      <c r="Q47" s="15" t="n">
        <f aca="false">COUNTIF(CASE!$C$3:$C$202,"C8 Bảo hành")</f>
        <v>1</v>
      </c>
    </row>
    <row r="49" customFormat="false" ht="15" hidden="false" customHeight="false" outlineLevel="0" collapsed="false">
      <c r="P49" s="8" t="s">
        <v>91</v>
      </c>
    </row>
    <row r="50" customFormat="false" ht="15" hidden="false" customHeight="false" outlineLevel="0" collapsed="false">
      <c r="P50" s="12" t="s">
        <v>42</v>
      </c>
      <c r="Q50" s="12" t="s">
        <v>43</v>
      </c>
    </row>
    <row r="51" customFormat="false" ht="15" hidden="false" customHeight="false" outlineLevel="0" collapsed="false">
      <c r="P51" s="14" t="s">
        <v>92</v>
      </c>
      <c r="Q51" s="15" t="n">
        <f aca="false">COUNTIF(CASE!$P$3:$P$202,"RC-NCC")</f>
        <v>2</v>
      </c>
    </row>
    <row r="52" customFormat="false" ht="15" hidden="false" customHeight="false" outlineLevel="0" collapsed="false">
      <c r="P52" s="14" t="s">
        <v>93</v>
      </c>
      <c r="Q52" s="15" t="n">
        <f aca="false">COUNTIF(CASE!$P$3:$P$202,"RC-PACK")</f>
        <v>1</v>
      </c>
    </row>
    <row r="53" customFormat="false" ht="15" hidden="false" customHeight="false" outlineLevel="0" collapsed="false">
      <c r="P53" s="14" t="s">
        <v>94</v>
      </c>
      <c r="Q53" s="15" t="n">
        <f aca="false">COUNTIF(CASE!$P$3:$P$202,"RC-QC")</f>
        <v>0</v>
      </c>
    </row>
    <row r="54" customFormat="false" ht="15" hidden="false" customHeight="false" outlineLevel="0" collapsed="false">
      <c r="P54" s="14" t="s">
        <v>95</v>
      </c>
      <c r="Q54" s="15" t="n">
        <f aca="false">COUNTIF(CASE!$P$3:$P$202,"RC-FWD")</f>
        <v>0</v>
      </c>
    </row>
    <row r="55" customFormat="false" ht="15" hidden="false" customHeight="false" outlineLevel="0" collapsed="false">
      <c r="P55" s="14" t="s">
        <v>96</v>
      </c>
      <c r="Q55" s="15" t="n">
        <f aca="false">COUNTIF(CASE!$P$3:$P$202,"RC-LAST")</f>
        <v>1</v>
      </c>
    </row>
    <row r="56" customFormat="false" ht="15" hidden="false" customHeight="false" outlineLevel="0" collapsed="false">
      <c r="P56" s="14" t="s">
        <v>97</v>
      </c>
      <c r="Q56" s="15" t="n">
        <f aca="false">COUNTIF(CASE!$P$3:$P$202,"RC-LIST")</f>
        <v>0</v>
      </c>
    </row>
    <row r="57" customFormat="false" ht="15" hidden="false" customHeight="false" outlineLevel="0" collapsed="false">
      <c r="P57" s="14" t="s">
        <v>98</v>
      </c>
      <c r="Q57" s="15" t="n">
        <f aca="false">COUNTIF(CASE!$P$3:$P$202,"RC-CX")</f>
        <v>0</v>
      </c>
    </row>
    <row r="58" customFormat="false" ht="15" hidden="false" customHeight="false" outlineLevel="0" collapsed="false">
      <c r="P58" s="14" t="s">
        <v>99</v>
      </c>
      <c r="Q58" s="15" t="n">
        <f aca="false">COUNTIF(CASE!$P$3:$P$202,"RC-CUST")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2" min="8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8" min="17" style="0" width="11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2" min="21" style="0" width="10"/>
    <col collapsed="false" customWidth="true" hidden="false" outlineLevel="0" max="25" min="23" style="0" width="11"/>
    <col collapsed="false" customWidth="true" hidden="false" outlineLevel="0" max="26" min="26" style="0" width="9"/>
    <col collapsed="false" customWidth="true" hidden="false" outlineLevel="0" max="27" min="27" style="0" width="11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8"/>
    <col collapsed="false" customWidth="true" hidden="false" outlineLevel="0" max="35" min="31" style="0" width="10"/>
  </cols>
  <sheetData>
    <row r="1" customFormat="false" ht="15" hidden="false" customHeight="false" outlineLevel="0" collapsed="false">
      <c r="A1" s="8" t="s">
        <v>100</v>
      </c>
    </row>
    <row r="2" customFormat="false" ht="43.5" hidden="false" customHeight="true" outlineLevel="0" collapsed="false">
      <c r="A2" s="23" t="s">
        <v>101</v>
      </c>
      <c r="B2" s="23" t="s">
        <v>102</v>
      </c>
      <c r="C2" s="23" t="s">
        <v>103</v>
      </c>
      <c r="D2" s="23" t="s">
        <v>104</v>
      </c>
      <c r="E2" s="23" t="s">
        <v>105</v>
      </c>
      <c r="F2" s="24" t="s">
        <v>106</v>
      </c>
      <c r="G2" s="24" t="s">
        <v>107</v>
      </c>
      <c r="H2" s="23" t="s">
        <v>108</v>
      </c>
      <c r="I2" s="25" t="s">
        <v>109</v>
      </c>
      <c r="J2" s="25" t="s">
        <v>110</v>
      </c>
      <c r="K2" s="25" t="s">
        <v>111</v>
      </c>
      <c r="L2" s="25" t="s">
        <v>55</v>
      </c>
      <c r="M2" s="26" t="s">
        <v>112</v>
      </c>
      <c r="N2" s="26" t="s">
        <v>60</v>
      </c>
      <c r="O2" s="26" t="s">
        <v>113</v>
      </c>
      <c r="P2" s="26" t="s">
        <v>114</v>
      </c>
      <c r="Q2" s="27" t="s">
        <v>64</v>
      </c>
      <c r="R2" s="28" t="s">
        <v>63</v>
      </c>
      <c r="S2" s="23" t="s">
        <v>115</v>
      </c>
      <c r="T2" s="24" t="s">
        <v>116</v>
      </c>
      <c r="U2" s="24" t="s">
        <v>117</v>
      </c>
      <c r="V2" s="24" t="s">
        <v>118</v>
      </c>
      <c r="W2" s="24" t="s">
        <v>20</v>
      </c>
      <c r="X2" s="24" t="s">
        <v>22</v>
      </c>
      <c r="Y2" s="24" t="s">
        <v>119</v>
      </c>
      <c r="Z2" s="24" t="s">
        <v>26</v>
      </c>
      <c r="AA2" s="24" t="s">
        <v>28</v>
      </c>
      <c r="AB2" s="24" t="s">
        <v>38</v>
      </c>
      <c r="AC2" s="24" t="s">
        <v>120</v>
      </c>
      <c r="AD2" s="24" t="s">
        <v>121</v>
      </c>
      <c r="AE2" s="24" t="s">
        <v>68</v>
      </c>
      <c r="AF2" s="24" t="s">
        <v>69</v>
      </c>
      <c r="AG2" s="24" t="s">
        <v>70</v>
      </c>
      <c r="AH2" s="24" t="s">
        <v>71</v>
      </c>
      <c r="AI2" s="24" t="s">
        <v>72</v>
      </c>
    </row>
    <row r="3" customFormat="false" ht="15" hidden="false" customHeight="false" outlineLevel="0" collapsed="false">
      <c r="A3" s="29" t="s">
        <v>122</v>
      </c>
      <c r="B3" s="29" t="s">
        <v>123</v>
      </c>
      <c r="C3" s="29" t="s">
        <v>124</v>
      </c>
      <c r="D3" s="30" t="n">
        <v>980</v>
      </c>
      <c r="E3" s="31" t="n">
        <v>46204</v>
      </c>
      <c r="F3" s="32" t="n">
        <f aca="false">IF($E3="","",$E3+7*IFERROR(VLOOKUP($B3,DS!$K$2:$M$4,2,FALSE()),12))</f>
        <v>46260</v>
      </c>
      <c r="G3" s="32" t="n">
        <f aca="false">IF($E3="","",$E3+7*IFERROR(VLOOKUP($B3,DS!$K$2:$M$4,3,FALSE()),12))</f>
        <v>46288</v>
      </c>
      <c r="H3" s="31" t="n">
        <v>46204</v>
      </c>
      <c r="I3" s="31" t="n">
        <v>46205</v>
      </c>
      <c r="J3" s="31" t="n">
        <v>46219</v>
      </c>
      <c r="K3" s="31" t="n">
        <v>46220</v>
      </c>
      <c r="L3" s="31" t="n">
        <v>46225</v>
      </c>
      <c r="M3" s="31" t="n">
        <v>46229</v>
      </c>
      <c r="N3" s="31" t="n">
        <v>46254</v>
      </c>
      <c r="O3" s="31" t="n">
        <v>46263</v>
      </c>
      <c r="P3" s="31" t="n">
        <v>46266</v>
      </c>
      <c r="Q3" s="31" t="n">
        <v>46280</v>
      </c>
      <c r="R3" s="31"/>
      <c r="S3" s="31" t="n">
        <v>46259</v>
      </c>
      <c r="T3" s="33" t="str">
        <f aca="false">IF($A3="","",IF($R3&lt;&gt;"","95 Hủy/hoàn",IF($Q3&lt;&gt;"","99 Đóng",IF($P3&lt;&gt;"","90 Đã giao",IF($O3&lt;&gt;"","80 Đang giao",IF($N3&lt;&gt;"","70 Thông quan",IF($M3&lt;&gt;"","60 Đã xuất",IF($L3&lt;&gt;"","50 QC đạt",IF($K3&lt;&gt;"","40 NCC đã gửi",IF($I3&lt;&gt;"","30 Đã đặt NCC",IF($H3&lt;&gt;"","20 Đã xác nhận","10 Mới")))))))))))</f>
        <v>99 Đóng</v>
      </c>
      <c r="U3" s="33" t="str">
        <f aca="false">IF($T3="","",IFERROR(VLOOKUP($T3,DS!$A$2:$B$12,2,FALSE()),""))</f>
        <v>–</v>
      </c>
      <c r="V3" s="34" t="str">
        <f aca="true">IF(OR($T3="",LEFT($T3,2)="99",LEFT($T3,2)="95"),"",TODAY()-MAX($E3,$H3:$P3))</f>
        <v/>
      </c>
      <c r="W3" s="34" t="str">
        <f aca="true">IF(AND($E3&lt;&gt;"",$I3="",$R3=""),IF(TODAY()-$E3&gt;1,"⚑",""),"")</f>
        <v/>
      </c>
      <c r="X3" s="34" t="str">
        <f aca="true">IF(AND($J3&lt;&gt;"",$K3="",$R3=""),IF(TODAY()-$J3&gt;2,"⚑",""),"")</f>
        <v/>
      </c>
      <c r="Y3" s="34" t="str">
        <f aca="true">IF(AND($G3&lt;&gt;"",$M3="",$R3=""),IF(AND($G3-TODAY()&lt;=14,$G3&gt;=TODAY()),"⚑",""),"")</f>
        <v/>
      </c>
      <c r="Z3" s="34" t="str">
        <f aca="true">IF(AND($G3&lt;&gt;"",$P3="",$R3=""),IF(TODAY()&gt;$G3,"⚑",""),"")</f>
        <v/>
      </c>
      <c r="AA3" s="34" t="str">
        <f aca="true">IF(AND($E3&lt;&gt;"",$P3="",$R3=""),IF(TODAY()-MAX($E3,$H3,$M3,$S3)&gt;7,"⚑",""),"")</f>
        <v/>
      </c>
      <c r="AB3" s="34" t="str">
        <f aca="false">IF(OR($P3="",$G3=""),"",IF($P3&lt;=$G3,"Có","Không"))</f>
        <v>Có</v>
      </c>
      <c r="AC3" s="34" t="n">
        <f aca="false">IF(OR($P3="",$E3=""),"",$P3-$E3)</f>
        <v>62</v>
      </c>
      <c r="AD3" s="35" t="n">
        <f aca="false">IF($A3="","",COUNTIF(CASE!$B$3:$B$202,$A3))</f>
        <v>1</v>
      </c>
      <c r="AE3" s="34" t="n">
        <f aca="false">IF(OR($I3="",$E3=""),"",$I3-$E3)</f>
        <v>1</v>
      </c>
      <c r="AF3" s="34" t="n">
        <f aca="false">IF(OR($K3="",$I3=""),"",$K3-$I3)</f>
        <v>15</v>
      </c>
      <c r="AG3" s="34" t="n">
        <f aca="false">IF(OR($L3="",$K3=""),"",$L3-$K3)</f>
        <v>5</v>
      </c>
      <c r="AH3" s="34" t="n">
        <f aca="false">IF(OR($M3="",$L3=""),"",$M3-$L3)</f>
        <v>4</v>
      </c>
      <c r="AI3" s="34" t="n">
        <f aca="false">IF(OR($P3="",$M3=""),"",$P3-$M3)</f>
        <v>37</v>
      </c>
    </row>
    <row r="4" customFormat="false" ht="15" hidden="false" customHeight="false" outlineLevel="0" collapsed="false">
      <c r="A4" s="29" t="s">
        <v>125</v>
      </c>
      <c r="B4" s="29" t="s">
        <v>123</v>
      </c>
      <c r="C4" s="29" t="s">
        <v>126</v>
      </c>
      <c r="D4" s="30" t="n">
        <v>720</v>
      </c>
      <c r="E4" s="31" t="n">
        <v>46211</v>
      </c>
      <c r="F4" s="32" t="n">
        <f aca="false">IF($E4="","",$E4+7*IFERROR(VLOOKUP($B4,DS!$K$2:$M$4,2,FALSE()),12))</f>
        <v>46267</v>
      </c>
      <c r="G4" s="32" t="n">
        <f aca="false">IF($E4="","",$E4+7*IFERROR(VLOOKUP($B4,DS!$K$2:$M$4,3,FALSE()),12))</f>
        <v>46295</v>
      </c>
      <c r="H4" s="31" t="n">
        <v>46211</v>
      </c>
      <c r="I4" s="31" t="n">
        <v>46213</v>
      </c>
      <c r="J4" s="31" t="n">
        <v>46226</v>
      </c>
      <c r="K4" s="31" t="n">
        <v>46228</v>
      </c>
      <c r="L4" s="31" t="n">
        <v>46232</v>
      </c>
      <c r="M4" s="31" t="n">
        <v>46236</v>
      </c>
      <c r="N4" s="31" t="n">
        <v>46259</v>
      </c>
      <c r="O4" s="31" t="n">
        <v>46265</v>
      </c>
      <c r="P4" s="31" t="n">
        <v>46269</v>
      </c>
      <c r="Q4" s="31"/>
      <c r="R4" s="31"/>
      <c r="S4" s="31" t="n">
        <v>46264</v>
      </c>
      <c r="T4" s="33" t="str">
        <f aca="false">IF($A4="","",IF($R4&lt;&gt;"","95 Hủy/hoàn",IF($Q4&lt;&gt;"","99 Đóng",IF($P4&lt;&gt;"","90 Đã giao",IF($O4&lt;&gt;"","80 Đang giao",IF($N4&lt;&gt;"","70 Thông quan",IF($M4&lt;&gt;"","60 Đã xuất",IF($L4&lt;&gt;"","50 QC đạt",IF($K4&lt;&gt;"","40 NCC đã gửi",IF($I4&lt;&gt;"","30 Đã đặt NCC",IF($H4&lt;&gt;"","20 Đã xác nhận","10 Mới")))))))))))</f>
        <v>90 Đã giao</v>
      </c>
      <c r="U4" s="33" t="str">
        <f aca="false">IF($T4="","",IFERROR(VLOOKUP($T4,DS!$A$2:$B$12,2,FALSE()),""))</f>
        <v>CX</v>
      </c>
      <c r="V4" s="34" t="n">
        <f aca="true">IF(OR($T4="",LEFT($T4,2)="99",LEFT($T4,2)="95"),"",TODAY()-MAX($E4,$H4:$P4))</f>
        <v>30</v>
      </c>
      <c r="W4" s="34" t="str">
        <f aca="true">IF(AND($E4&lt;&gt;"",$I4="",$R4=""),IF(TODAY()-$E4&gt;1,"⚑",""),"")</f>
        <v/>
      </c>
      <c r="X4" s="34" t="str">
        <f aca="true">IF(AND($J4&lt;&gt;"",$K4="",$R4=""),IF(TODAY()-$J4&gt;2,"⚑",""),"")</f>
        <v/>
      </c>
      <c r="Y4" s="34" t="str">
        <f aca="true">IF(AND($G4&lt;&gt;"",$M4="",$R4=""),IF(AND($G4-TODAY()&lt;=14,$G4&gt;=TODAY()),"⚑",""),"")</f>
        <v/>
      </c>
      <c r="Z4" s="34" t="str">
        <f aca="true">IF(AND($G4&lt;&gt;"",$P4="",$R4=""),IF(TODAY()&gt;$G4,"⚑",""),"")</f>
        <v/>
      </c>
      <c r="AA4" s="34" t="str">
        <f aca="true">IF(AND($E4&lt;&gt;"",$P4="",$R4=""),IF(TODAY()-MAX($E4,$H4,$M4,$S4)&gt;7,"⚑",""),"")</f>
        <v/>
      </c>
      <c r="AB4" s="34" t="str">
        <f aca="false">IF(OR($P4="",$G4=""),"",IF($P4&lt;=$G4,"Có","Không"))</f>
        <v>Có</v>
      </c>
      <c r="AC4" s="34" t="n">
        <f aca="false">IF(OR($P4="",$E4=""),"",$P4-$E4)</f>
        <v>58</v>
      </c>
      <c r="AD4" s="35" t="n">
        <f aca="false">IF($A4="","",COUNTIF(CASE!$B$3:$B$202,$A4))</f>
        <v>1</v>
      </c>
      <c r="AE4" s="34" t="n">
        <f aca="false">IF(OR($I4="",$E4=""),"",$I4-$E4)</f>
        <v>2</v>
      </c>
      <c r="AF4" s="34" t="n">
        <f aca="false">IF(OR($K4="",$I4=""),"",$K4-$I4)</f>
        <v>15</v>
      </c>
      <c r="AG4" s="34" t="n">
        <f aca="false">IF(OR($L4="",$K4=""),"",$L4-$K4)</f>
        <v>4</v>
      </c>
      <c r="AH4" s="34" t="n">
        <f aca="false">IF(OR($M4="",$L4=""),"",$M4-$L4)</f>
        <v>4</v>
      </c>
      <c r="AI4" s="34" t="n">
        <f aca="false">IF(OR($P4="",$M4=""),"",$P4-$M4)</f>
        <v>33</v>
      </c>
    </row>
    <row r="5" customFormat="false" ht="15" hidden="false" customHeight="false" outlineLevel="0" collapsed="false">
      <c r="A5" s="29" t="s">
        <v>127</v>
      </c>
      <c r="B5" s="29" t="s">
        <v>128</v>
      </c>
      <c r="C5" s="29" t="s">
        <v>129</v>
      </c>
      <c r="D5" s="30" t="n">
        <v>540</v>
      </c>
      <c r="E5" s="31" t="n">
        <v>46254</v>
      </c>
      <c r="F5" s="32" t="n">
        <f aca="false">IF($E5="","",$E5+7*IFERROR(VLOOKUP($B5,DS!$K$2:$M$4,2,FALSE()),12))</f>
        <v>46289</v>
      </c>
      <c r="G5" s="32" t="n">
        <f aca="false">IF($E5="","",$E5+7*IFERROR(VLOOKUP($B5,DS!$K$2:$M$4,3,FALSE()),12))</f>
        <v>46310</v>
      </c>
      <c r="H5" s="31" t="n">
        <v>46254</v>
      </c>
      <c r="I5" s="31" t="n">
        <v>46255</v>
      </c>
      <c r="J5" s="31" t="n">
        <v>46267</v>
      </c>
      <c r="K5" s="31" t="n">
        <v>46268</v>
      </c>
      <c r="L5" s="31" t="n">
        <v>46272</v>
      </c>
      <c r="M5" s="31" t="n">
        <v>46278</v>
      </c>
      <c r="N5" s="31" t="n">
        <v>46293</v>
      </c>
      <c r="O5" s="31" t="n">
        <v>46296</v>
      </c>
      <c r="P5" s="31" t="n">
        <v>46298</v>
      </c>
      <c r="Q5" s="31"/>
      <c r="R5" s="31"/>
      <c r="S5" s="31" t="n">
        <v>46293</v>
      </c>
      <c r="T5" s="33" t="str">
        <f aca="false">IF($A5="","",IF($R5&lt;&gt;"","95 Hủy/hoàn",IF($Q5&lt;&gt;"","99 Đóng",IF($P5&lt;&gt;"","90 Đã giao",IF($O5&lt;&gt;"","80 Đang giao",IF($N5&lt;&gt;"","70 Thông quan",IF($M5&lt;&gt;"","60 Đã xuất",IF($L5&lt;&gt;"","50 QC đạt",IF($K5&lt;&gt;"","40 NCC đã gửi",IF($I5&lt;&gt;"","30 Đã đặt NCC",IF($H5&lt;&gt;"","20 Đã xác nhận","10 Mới")))))))))))</f>
        <v>90 Đã giao</v>
      </c>
      <c r="U5" s="33" t="str">
        <f aca="false">IF($T5="","",IFERROR(VLOOKUP($T5,DS!$A$2:$B$12,2,FALSE()),""))</f>
        <v>CX</v>
      </c>
      <c r="V5" s="34" t="n">
        <f aca="true">IF(OR($T5="",LEFT($T5,2)="99",LEFT($T5,2)="95"),"",TODAY()-MAX($E5,$H5:$P5))</f>
        <v>1</v>
      </c>
      <c r="W5" s="34" t="str">
        <f aca="true">IF(AND($E5&lt;&gt;"",$I5="",$R5=""),IF(TODAY()-$E5&gt;1,"⚑",""),"")</f>
        <v/>
      </c>
      <c r="X5" s="34" t="str">
        <f aca="true">IF(AND($J5&lt;&gt;"",$K5="",$R5=""),IF(TODAY()-$J5&gt;2,"⚑",""),"")</f>
        <v/>
      </c>
      <c r="Y5" s="34" t="str">
        <f aca="true">IF(AND($G5&lt;&gt;"",$M5="",$R5=""),IF(AND($G5-TODAY()&lt;=14,$G5&gt;=TODAY()),"⚑",""),"")</f>
        <v/>
      </c>
      <c r="Z5" s="34" t="str">
        <f aca="true">IF(AND($G5&lt;&gt;"",$P5="",$R5=""),IF(TODAY()&gt;$G5,"⚑",""),"")</f>
        <v/>
      </c>
      <c r="AA5" s="34" t="str">
        <f aca="true">IF(AND($E5&lt;&gt;"",$P5="",$R5=""),IF(TODAY()-MAX($E5,$H5,$M5,$S5)&gt;7,"⚑",""),"")</f>
        <v/>
      </c>
      <c r="AB5" s="34" t="str">
        <f aca="false">IF(OR($P5="",$G5=""),"",IF($P5&lt;=$G5,"Có","Không"))</f>
        <v>Có</v>
      </c>
      <c r="AC5" s="34" t="n">
        <f aca="false">IF(OR($P5="",$E5=""),"",$P5-$E5)</f>
        <v>44</v>
      </c>
      <c r="AD5" s="35" t="n">
        <f aca="false">IF($A5="","",COUNTIF(CASE!$B$3:$B$202,$A5))</f>
        <v>1</v>
      </c>
      <c r="AE5" s="34" t="n">
        <f aca="false">IF(OR($I5="",$E5=""),"",$I5-$E5)</f>
        <v>1</v>
      </c>
      <c r="AF5" s="34" t="n">
        <f aca="false">IF(OR($K5="",$I5=""),"",$K5-$I5)</f>
        <v>13</v>
      </c>
      <c r="AG5" s="34" t="n">
        <f aca="false">IF(OR($L5="",$K5=""),"",$L5-$K5)</f>
        <v>4</v>
      </c>
      <c r="AH5" s="34" t="n">
        <f aca="false">IF(OR($M5="",$L5=""),"",$M5-$L5)</f>
        <v>6</v>
      </c>
      <c r="AI5" s="34" t="n">
        <f aca="false">IF(OR($P5="",$M5=""),"",$P5-$M5)</f>
        <v>20</v>
      </c>
    </row>
    <row r="6" customFormat="false" ht="15" hidden="false" customHeight="false" outlineLevel="0" collapsed="false">
      <c r="A6" s="29" t="s">
        <v>130</v>
      </c>
      <c r="B6" s="29" t="s">
        <v>123</v>
      </c>
      <c r="C6" s="29" t="s">
        <v>131</v>
      </c>
      <c r="D6" s="30" t="n">
        <v>1250</v>
      </c>
      <c r="E6" s="31" t="n">
        <v>46229</v>
      </c>
      <c r="F6" s="32" t="n">
        <f aca="false">IF($E6="","",$E6+7*IFERROR(VLOOKUP($B6,DS!$K$2:$M$4,2,FALSE()),12))</f>
        <v>46285</v>
      </c>
      <c r="G6" s="32" t="n">
        <f aca="false">IF($E6="","",$E6+7*IFERROR(VLOOKUP($B6,DS!$K$2:$M$4,3,FALSE()),12))</f>
        <v>46313</v>
      </c>
      <c r="H6" s="31" t="n">
        <v>46229</v>
      </c>
      <c r="I6" s="31" t="n">
        <v>46230</v>
      </c>
      <c r="J6" s="31" t="n">
        <v>46244</v>
      </c>
      <c r="K6" s="31" t="n">
        <v>46249</v>
      </c>
      <c r="L6" s="31" t="n">
        <v>46253</v>
      </c>
      <c r="M6" s="31" t="n">
        <v>46258</v>
      </c>
      <c r="N6" s="31" t="n">
        <v>46287</v>
      </c>
      <c r="O6" s="31"/>
      <c r="P6" s="31"/>
      <c r="Q6" s="31"/>
      <c r="R6" s="31"/>
      <c r="S6" s="31" t="n">
        <v>46287</v>
      </c>
      <c r="T6" s="33" t="str">
        <f aca="false">IF($A6="","",IF($R6&lt;&gt;"","95 Hủy/hoàn",IF($Q6&lt;&gt;"","99 Đóng",IF($P6&lt;&gt;"","90 Đã giao",IF($O6&lt;&gt;"","80 Đang giao",IF($N6&lt;&gt;"","70 Thông quan",IF($M6&lt;&gt;"","60 Đã xuất",IF($L6&lt;&gt;"","50 QC đạt",IF($K6&lt;&gt;"","40 NCC đã gửi",IF($I6&lt;&gt;"","30 Đã đặt NCC",IF($H6&lt;&gt;"","20 Đã xác nhận","10 Mới")))))))))))</f>
        <v>70 Thông quan</v>
      </c>
      <c r="U6" s="33" t="str">
        <f aca="false">IF($T6="","",IFERROR(VLOOKUP($T6,DS!$A$2:$B$12,2,FALSE()),""))</f>
        <v>LOG</v>
      </c>
      <c r="V6" s="34" t="n">
        <f aca="true">IF(OR($T6="",LEFT($T6,2)="99",LEFT($T6,2)="95"),"",TODAY()-MAX($E6,$H6:$P6))</f>
        <v>12</v>
      </c>
      <c r="W6" s="34" t="str">
        <f aca="true">IF(AND($E6&lt;&gt;"",$I6="",$R6=""),IF(TODAY()-$E6&gt;1,"⚑",""),"")</f>
        <v/>
      </c>
      <c r="X6" s="34" t="str">
        <f aca="true">IF(AND($J6&lt;&gt;"",$K6="",$R6=""),IF(TODAY()-$J6&gt;2,"⚑",""),"")</f>
        <v/>
      </c>
      <c r="Y6" s="34" t="str">
        <f aca="true">IF(AND($G6&lt;&gt;"",$M6="",$R6=""),IF(AND($G6-TODAY()&lt;=14,$G6&gt;=TODAY()),"⚑",""),"")</f>
        <v/>
      </c>
      <c r="Z6" s="34" t="str">
        <f aca="true">IF(AND($G6&lt;&gt;"",$P6="",$R6=""),IF(TODAY()&gt;$G6,"⚑",""),"")</f>
        <v/>
      </c>
      <c r="AA6" s="34" t="str">
        <f aca="true">IF(AND($E6&lt;&gt;"",$P6="",$R6=""),IF(TODAY()-MAX($E6,$H6,$M6,$S6)&gt;7,"⚑",""),"")</f>
        <v>⚑</v>
      </c>
      <c r="AB6" s="34" t="str">
        <f aca="false">IF(OR($P6="",$G6=""),"",IF($P6&lt;=$G6,"Có","Không"))</f>
        <v/>
      </c>
      <c r="AC6" s="34" t="str">
        <f aca="false">IF(OR($P6="",$E6=""),"",$P6-$E6)</f>
        <v/>
      </c>
      <c r="AD6" s="35" t="n">
        <f aca="false">IF($A6="","",COUNTIF(CASE!$B$3:$B$202,$A6))</f>
        <v>0</v>
      </c>
      <c r="AE6" s="34" t="n">
        <f aca="false">IF(OR($I6="",$E6=""),"",$I6-$E6)</f>
        <v>1</v>
      </c>
      <c r="AF6" s="34" t="n">
        <f aca="false">IF(OR($K6="",$I6=""),"",$K6-$I6)</f>
        <v>19</v>
      </c>
      <c r="AG6" s="34" t="n">
        <f aca="false">IF(OR($L6="",$K6=""),"",$L6-$K6)</f>
        <v>4</v>
      </c>
      <c r="AH6" s="34" t="n">
        <f aca="false">IF(OR($M6="",$L6=""),"",$M6-$L6)</f>
        <v>5</v>
      </c>
      <c r="AI6" s="34" t="str">
        <f aca="false">IF(OR($P6="",$M6=""),"",$P6-$M6)</f>
        <v/>
      </c>
    </row>
    <row r="7" customFormat="false" ht="15" hidden="false" customHeight="false" outlineLevel="0" collapsed="false">
      <c r="A7" s="29" t="s">
        <v>132</v>
      </c>
      <c r="B7" s="29" t="s">
        <v>123</v>
      </c>
      <c r="C7" s="29" t="s">
        <v>133</v>
      </c>
      <c r="D7" s="30" t="n">
        <v>610</v>
      </c>
      <c r="E7" s="31" t="n">
        <v>46239</v>
      </c>
      <c r="F7" s="32" t="n">
        <f aca="false">IF($E7="","",$E7+7*IFERROR(VLOOKUP($B7,DS!$K$2:$M$4,2,FALSE()),12))</f>
        <v>46295</v>
      </c>
      <c r="G7" s="32" t="n">
        <f aca="false">IF($E7="","",$E7+7*IFERROR(VLOOKUP($B7,DS!$K$2:$M$4,3,FALSE()),12))</f>
        <v>46323</v>
      </c>
      <c r="H7" s="31" t="n">
        <v>46239</v>
      </c>
      <c r="I7" s="31" t="n">
        <v>46240</v>
      </c>
      <c r="J7" s="31" t="n">
        <v>46254</v>
      </c>
      <c r="K7" s="31" t="n">
        <v>46255</v>
      </c>
      <c r="L7" s="31" t="n">
        <v>46259</v>
      </c>
      <c r="M7" s="31" t="n">
        <v>46264</v>
      </c>
      <c r="N7" s="31"/>
      <c r="O7" s="31"/>
      <c r="P7" s="31"/>
      <c r="Q7" s="31"/>
      <c r="R7" s="31"/>
      <c r="S7" s="31" t="n">
        <v>46289</v>
      </c>
      <c r="T7" s="33" t="str">
        <f aca="false">IF($A7="","",IF($R7&lt;&gt;"","95 Hủy/hoàn",IF($Q7&lt;&gt;"","99 Đóng",IF($P7&lt;&gt;"","90 Đã giao",IF($O7&lt;&gt;"","80 Đang giao",IF($N7&lt;&gt;"","70 Thông quan",IF($M7&lt;&gt;"","60 Đã xuất",IF($L7&lt;&gt;"","50 QC đạt",IF($K7&lt;&gt;"","40 NCC đã gửi",IF($I7&lt;&gt;"","30 Đã đặt NCC",IF($H7&lt;&gt;"","20 Đã xác nhận","10 Mới")))))))))))</f>
        <v>60 Đã xuất</v>
      </c>
      <c r="U7" s="33" t="str">
        <f aca="false">IF($T7="","",IFERROR(VLOOKUP($T7,DS!$A$2:$B$12,2,FALSE()),""))</f>
        <v>LOG</v>
      </c>
      <c r="V7" s="34" t="n">
        <f aca="true">IF(OR($T7="",LEFT($T7,2)="99",LEFT($T7,2)="95"),"",TODAY()-MAX($E7,$H7:$P7))</f>
        <v>35</v>
      </c>
      <c r="W7" s="34" t="str">
        <f aca="true">IF(AND($E7&lt;&gt;"",$I7="",$R7=""),IF(TODAY()-$E7&gt;1,"⚑",""),"")</f>
        <v/>
      </c>
      <c r="X7" s="34" t="str">
        <f aca="true">IF(AND($J7&lt;&gt;"",$K7="",$R7=""),IF(TODAY()-$J7&gt;2,"⚑",""),"")</f>
        <v/>
      </c>
      <c r="Y7" s="34" t="str">
        <f aca="true">IF(AND($G7&lt;&gt;"",$M7="",$R7=""),IF(AND($G7-TODAY()&lt;=14,$G7&gt;=TODAY()),"⚑",""),"")</f>
        <v/>
      </c>
      <c r="Z7" s="34" t="str">
        <f aca="true">IF(AND($G7&lt;&gt;"",$P7="",$R7=""),IF(TODAY()&gt;$G7,"⚑",""),"")</f>
        <v/>
      </c>
      <c r="AA7" s="34" t="str">
        <f aca="true">IF(AND($E7&lt;&gt;"",$P7="",$R7=""),IF(TODAY()-MAX($E7,$H7,$M7,$S7)&gt;7,"⚑",""),"")</f>
        <v>⚑</v>
      </c>
      <c r="AB7" s="34" t="str">
        <f aca="false">IF(OR($P7="",$G7=""),"",IF($P7&lt;=$G7,"Có","Không"))</f>
        <v/>
      </c>
      <c r="AC7" s="34" t="str">
        <f aca="false">IF(OR($P7="",$E7=""),"",$P7-$E7)</f>
        <v/>
      </c>
      <c r="AD7" s="35" t="n">
        <f aca="false">IF($A7="","",COUNTIF(CASE!$B$3:$B$202,$A7))</f>
        <v>0</v>
      </c>
      <c r="AE7" s="34" t="n">
        <f aca="false">IF(OR($I7="",$E7=""),"",$I7-$E7)</f>
        <v>1</v>
      </c>
      <c r="AF7" s="34" t="n">
        <f aca="false">IF(OR($K7="",$I7=""),"",$K7-$I7)</f>
        <v>15</v>
      </c>
      <c r="AG7" s="34" t="n">
        <f aca="false">IF(OR($L7="",$K7=""),"",$L7-$K7)</f>
        <v>4</v>
      </c>
      <c r="AH7" s="34" t="n">
        <f aca="false">IF(OR($M7="",$L7=""),"",$M7-$L7)</f>
        <v>5</v>
      </c>
      <c r="AI7" s="34" t="str">
        <f aca="false">IF(OR($P7="",$M7=""),"",$P7-$M7)</f>
        <v/>
      </c>
    </row>
    <row r="8" customFormat="false" ht="15" hidden="false" customHeight="false" outlineLevel="0" collapsed="false">
      <c r="A8" s="29" t="s">
        <v>134</v>
      </c>
      <c r="B8" s="29" t="s">
        <v>123</v>
      </c>
      <c r="C8" s="29" t="s">
        <v>135</v>
      </c>
      <c r="D8" s="30" t="n">
        <v>1490</v>
      </c>
      <c r="E8" s="31" t="n">
        <v>46259</v>
      </c>
      <c r="F8" s="32" t="n">
        <f aca="false">IF($E8="","",$E8+7*IFERROR(VLOOKUP($B8,DS!$K$2:$M$4,2,FALSE()),12))</f>
        <v>46315</v>
      </c>
      <c r="G8" s="32" t="n">
        <f aca="false">IF($E8="","",$E8+7*IFERROR(VLOOKUP($B8,DS!$K$2:$M$4,3,FALSE()),12))</f>
        <v>46343</v>
      </c>
      <c r="H8" s="31" t="n">
        <v>46259</v>
      </c>
      <c r="I8" s="31" t="n">
        <v>46260</v>
      </c>
      <c r="J8" s="31" t="n">
        <v>46275</v>
      </c>
      <c r="K8" s="31" t="n">
        <v>46284</v>
      </c>
      <c r="L8" s="31" t="n">
        <v>46287</v>
      </c>
      <c r="M8" s="31"/>
      <c r="N8" s="31"/>
      <c r="O8" s="31"/>
      <c r="P8" s="31"/>
      <c r="Q8" s="31"/>
      <c r="R8" s="31"/>
      <c r="S8" s="31" t="n">
        <v>46290</v>
      </c>
      <c r="T8" s="33" t="str">
        <f aca="false">IF($A8="","",IF($R8&lt;&gt;"","95 Hủy/hoàn",IF($Q8&lt;&gt;"","99 Đóng",IF($P8&lt;&gt;"","90 Đã giao",IF($O8&lt;&gt;"","80 Đang giao",IF($N8&lt;&gt;"","70 Thông quan",IF($M8&lt;&gt;"","60 Đã xuất",IF($L8&lt;&gt;"","50 QC đạt",IF($K8&lt;&gt;"","40 NCC đã gửi",IF($I8&lt;&gt;"","30 Đã đặt NCC",IF($H8&lt;&gt;"","20 Đã xác nhận","10 Mới")))))))))))</f>
        <v>50 QC đạt</v>
      </c>
      <c r="U8" s="33" t="str">
        <f aca="false">IF($T8="","",IFERROR(VLOOKUP($T8,DS!$A$2:$B$12,2,FALSE()),""))</f>
        <v>LOG</v>
      </c>
      <c r="V8" s="34" t="n">
        <f aca="true">IF(OR($T8="",LEFT($T8,2)="99",LEFT($T8,2)="95"),"",TODAY()-MAX($E8,$H8:$P8))</f>
        <v>12</v>
      </c>
      <c r="W8" s="34" t="str">
        <f aca="true">IF(AND($E8&lt;&gt;"",$I8="",$R8=""),IF(TODAY()-$E8&gt;1,"⚑",""),"")</f>
        <v/>
      </c>
      <c r="X8" s="34" t="str">
        <f aca="true">IF(AND($J8&lt;&gt;"",$K8="",$R8=""),IF(TODAY()-$J8&gt;2,"⚑",""),"")</f>
        <v/>
      </c>
      <c r="Y8" s="34" t="str">
        <f aca="true">IF(AND($G8&lt;&gt;"",$M8="",$R8=""),IF(AND($G8-TODAY()&lt;=14,$G8&gt;=TODAY()),"⚑",""),"")</f>
        <v/>
      </c>
      <c r="Z8" s="34" t="str">
        <f aca="true">IF(AND($G8&lt;&gt;"",$P8="",$R8=""),IF(TODAY()&gt;$G8,"⚑",""),"")</f>
        <v/>
      </c>
      <c r="AA8" s="34" t="str">
        <f aca="true">IF(AND($E8&lt;&gt;"",$P8="",$R8=""),IF(TODAY()-MAX($E8,$H8,$M8,$S8)&gt;7,"⚑",""),"")</f>
        <v>⚑</v>
      </c>
      <c r="AB8" s="34" t="str">
        <f aca="false">IF(OR($P8="",$G8=""),"",IF($P8&lt;=$G8,"Có","Không"))</f>
        <v/>
      </c>
      <c r="AC8" s="34" t="str">
        <f aca="false">IF(OR($P8="",$E8=""),"",$P8-$E8)</f>
        <v/>
      </c>
      <c r="AD8" s="35" t="n">
        <f aca="false">IF($A8="","",COUNTIF(CASE!$B$3:$B$202,$A8))</f>
        <v>0</v>
      </c>
      <c r="AE8" s="34" t="n">
        <f aca="false">IF(OR($I8="",$E8=""),"",$I8-$E8)</f>
        <v>1</v>
      </c>
      <c r="AF8" s="34" t="n">
        <f aca="false">IF(OR($K8="",$I8=""),"",$K8-$I8)</f>
        <v>24</v>
      </c>
      <c r="AG8" s="34" t="n">
        <f aca="false">IF(OR($L8="",$K8=""),"",$L8-$K8)</f>
        <v>3</v>
      </c>
      <c r="AH8" s="34" t="str">
        <f aca="false">IF(OR($M8="",$L8=""),"",$M8-$L8)</f>
        <v/>
      </c>
      <c r="AI8" s="34" t="str">
        <f aca="false">IF(OR($P8="",$M8=""),"",$P8-$M8)</f>
        <v/>
      </c>
    </row>
    <row r="9" customFormat="false" ht="15" hidden="false" customHeight="false" outlineLevel="0" collapsed="false">
      <c r="A9" s="29" t="s">
        <v>136</v>
      </c>
      <c r="B9" s="29" t="s">
        <v>128</v>
      </c>
      <c r="C9" s="29" t="s">
        <v>137</v>
      </c>
      <c r="D9" s="30" t="n">
        <v>830</v>
      </c>
      <c r="E9" s="31" t="n">
        <v>46279</v>
      </c>
      <c r="F9" s="32" t="n">
        <f aca="false">IF($E9="","",$E9+7*IFERROR(VLOOKUP($B9,DS!$K$2:$M$4,2,FALSE()),12))</f>
        <v>46314</v>
      </c>
      <c r="G9" s="32" t="n">
        <f aca="false">IF($E9="","",$E9+7*IFERROR(VLOOKUP($B9,DS!$K$2:$M$4,3,FALSE()),12))</f>
        <v>46335</v>
      </c>
      <c r="H9" s="31" t="n">
        <v>46279</v>
      </c>
      <c r="I9" s="31" t="n">
        <v>46280</v>
      </c>
      <c r="J9" s="31" t="n">
        <v>46293</v>
      </c>
      <c r="K9" s="31"/>
      <c r="L9" s="31"/>
      <c r="M9" s="31"/>
      <c r="N9" s="31"/>
      <c r="O9" s="31"/>
      <c r="P9" s="31"/>
      <c r="Q9" s="31"/>
      <c r="R9" s="31"/>
      <c r="S9" s="31" t="n">
        <v>46293</v>
      </c>
      <c r="T9" s="33" t="str">
        <f aca="false">IF($A9="","",IF($R9&lt;&gt;"","95 Hủy/hoàn",IF($Q9&lt;&gt;"","99 Đóng",IF($P9&lt;&gt;"","90 Đã giao",IF($O9&lt;&gt;"","80 Đang giao",IF($N9&lt;&gt;"","70 Thông quan",IF($M9&lt;&gt;"","60 Đã xuất",IF($L9&lt;&gt;"","50 QC đạt",IF($K9&lt;&gt;"","40 NCC đã gửi",IF($I9&lt;&gt;"","30 Đã đặt NCC",IF($H9&lt;&gt;"","20 Đã xác nhận","10 Mới")))))))))))</f>
        <v>30 Đã đặt NCC</v>
      </c>
      <c r="U9" s="33" t="str">
        <f aca="false">IF($T9="","",IFERROR(VLOOKUP($T9,DS!$A$2:$B$12,2,FALSE()),""))</f>
        <v>SRC</v>
      </c>
      <c r="V9" s="34" t="n">
        <f aca="true">IF(OR($T9="",LEFT($T9,2)="99",LEFT($T9,2)="95"),"",TODAY()-MAX($E9,$H9:$P9))</f>
        <v>6</v>
      </c>
      <c r="W9" s="34" t="str">
        <f aca="true">IF(AND($E9&lt;&gt;"",$I9="",$R9=""),IF(TODAY()-$E9&gt;1,"⚑",""),"")</f>
        <v/>
      </c>
      <c r="X9" s="34" t="str">
        <f aca="true">IF(AND($J9&lt;&gt;"",$K9="",$R9=""),IF(TODAY()-$J9&gt;2,"⚑",""),"")</f>
        <v>⚑</v>
      </c>
      <c r="Y9" s="34" t="str">
        <f aca="true">IF(AND($G9&lt;&gt;"",$M9="",$R9=""),IF(AND($G9-TODAY()&lt;=14,$G9&gt;=TODAY()),"⚑",""),"")</f>
        <v/>
      </c>
      <c r="Z9" s="34" t="str">
        <f aca="true">IF(AND($G9&lt;&gt;"",$P9="",$R9=""),IF(TODAY()&gt;$G9,"⚑",""),"")</f>
        <v/>
      </c>
      <c r="AA9" s="34" t="str">
        <f aca="true">IF(AND($E9&lt;&gt;"",$P9="",$R9=""),IF(TODAY()-MAX($E9,$H9,$M9,$S9)&gt;7,"⚑",""),"")</f>
        <v/>
      </c>
      <c r="AB9" s="34" t="str">
        <f aca="false">IF(OR($P9="",$G9=""),"",IF($P9&lt;=$G9,"Có","Không"))</f>
        <v/>
      </c>
      <c r="AC9" s="34" t="str">
        <f aca="false">IF(OR($P9="",$E9=""),"",$P9-$E9)</f>
        <v/>
      </c>
      <c r="AD9" s="35" t="n">
        <f aca="false">IF($A9="","",COUNTIF(CASE!$B$3:$B$202,$A9))</f>
        <v>0</v>
      </c>
      <c r="AE9" s="34" t="n">
        <f aca="false">IF(OR($I9="",$E9=""),"",$I9-$E9)</f>
        <v>1</v>
      </c>
      <c r="AF9" s="34" t="str">
        <f aca="false">IF(OR($K9="",$I9=""),"",$K9-$I9)</f>
        <v/>
      </c>
      <c r="AG9" s="34" t="str">
        <f aca="false">IF(OR($L9="",$K9=""),"",$L9-$K9)</f>
        <v/>
      </c>
      <c r="AH9" s="34" t="str">
        <f aca="false">IF(OR($M9="",$L9=""),"",$M9-$L9)</f>
        <v/>
      </c>
      <c r="AI9" s="34" t="str">
        <f aca="false">IF(OR($P9="",$M9=""),"",$P9-$M9)</f>
        <v/>
      </c>
    </row>
    <row r="10" customFormat="false" ht="15" hidden="false" customHeight="false" outlineLevel="0" collapsed="false">
      <c r="A10" s="29" t="s">
        <v>138</v>
      </c>
      <c r="B10" s="29" t="s">
        <v>123</v>
      </c>
      <c r="C10" s="29" t="s">
        <v>139</v>
      </c>
      <c r="D10" s="30" t="n">
        <v>690</v>
      </c>
      <c r="E10" s="31" t="n">
        <v>46287</v>
      </c>
      <c r="F10" s="32" t="n">
        <f aca="false">IF($E10="","",$E10+7*IFERROR(VLOOKUP($B10,DS!$K$2:$M$4,2,FALSE()),12))</f>
        <v>46343</v>
      </c>
      <c r="G10" s="32" t="n">
        <f aca="false">IF($E10="","",$E10+7*IFERROR(VLOOKUP($B10,DS!$K$2:$M$4,3,FALSE()),12))</f>
        <v>46371</v>
      </c>
      <c r="H10" s="31" t="n">
        <v>46287</v>
      </c>
      <c r="I10" s="31" t="n">
        <v>46288</v>
      </c>
      <c r="J10" s="31" t="n">
        <v>46296</v>
      </c>
      <c r="K10" s="31"/>
      <c r="L10" s="31"/>
      <c r="M10" s="31"/>
      <c r="N10" s="31"/>
      <c r="O10" s="31"/>
      <c r="P10" s="31"/>
      <c r="Q10" s="31"/>
      <c r="R10" s="31"/>
      <c r="S10" s="31" t="n">
        <v>46287</v>
      </c>
      <c r="T10" s="33" t="str">
        <f aca="false">IF($A10="","",IF($R10&lt;&gt;"","95 Hủy/hoàn",IF($Q10&lt;&gt;"","99 Đóng",IF($P10&lt;&gt;"","90 Đã giao",IF($O10&lt;&gt;"","80 Đang giao",IF($N10&lt;&gt;"","70 Thông quan",IF($M10&lt;&gt;"","60 Đã xuất",IF($L10&lt;&gt;"","50 QC đạt",IF($K10&lt;&gt;"","40 NCC đã gửi",IF($I10&lt;&gt;"","30 Đã đặt NCC",IF($H10&lt;&gt;"","20 Đã xác nhận","10 Mới")))))))))))</f>
        <v>30 Đã đặt NCC</v>
      </c>
      <c r="U10" s="33" t="str">
        <f aca="false">IF($T10="","",IFERROR(VLOOKUP($T10,DS!$A$2:$B$12,2,FALSE()),""))</f>
        <v>SRC</v>
      </c>
      <c r="V10" s="34" t="n">
        <f aca="true">IF(OR($T10="",LEFT($T10,2)="99",LEFT($T10,2)="95"),"",TODAY()-MAX($E10,$H10:$P10))</f>
        <v>3</v>
      </c>
      <c r="W10" s="34" t="str">
        <f aca="true">IF(AND($E10&lt;&gt;"",$I10="",$R10=""),IF(TODAY()-$E10&gt;1,"⚑",""),"")</f>
        <v/>
      </c>
      <c r="X10" s="34" t="str">
        <f aca="true">IF(AND($J10&lt;&gt;"",$K10="",$R10=""),IF(TODAY()-$J10&gt;2,"⚑",""),"")</f>
        <v>⚑</v>
      </c>
      <c r="Y10" s="34" t="str">
        <f aca="true">IF(AND($G10&lt;&gt;"",$M10="",$R10=""),IF(AND($G10-TODAY()&lt;=14,$G10&gt;=TODAY()),"⚑",""),"")</f>
        <v/>
      </c>
      <c r="Z10" s="34" t="str">
        <f aca="true">IF(AND($G10&lt;&gt;"",$P10="",$R10=""),IF(TODAY()&gt;$G10,"⚑",""),"")</f>
        <v/>
      </c>
      <c r="AA10" s="34" t="str">
        <f aca="true">IF(AND($E10&lt;&gt;"",$P10="",$R10=""),IF(TODAY()-MAX($E10,$H10,$M10,$S10)&gt;7,"⚑",""),"")</f>
        <v>⚑</v>
      </c>
      <c r="AB10" s="34" t="str">
        <f aca="false">IF(OR($P10="",$G10=""),"",IF($P10&lt;=$G10,"Có","Không"))</f>
        <v/>
      </c>
      <c r="AC10" s="34" t="str">
        <f aca="false">IF(OR($P10="",$E10=""),"",$P10-$E10)</f>
        <v/>
      </c>
      <c r="AD10" s="35" t="n">
        <f aca="false">IF($A10="","",COUNTIF(CASE!$B$3:$B$202,$A10))</f>
        <v>0</v>
      </c>
      <c r="AE10" s="34" t="n">
        <f aca="false">IF(OR($I10="",$E10=""),"",$I10-$E10)</f>
        <v>1</v>
      </c>
      <c r="AF10" s="34" t="str">
        <f aca="false">IF(OR($K10="",$I10=""),"",$K10-$I10)</f>
        <v/>
      </c>
      <c r="AG10" s="34" t="str">
        <f aca="false">IF(OR($L10="",$K10=""),"",$L10-$K10)</f>
        <v/>
      </c>
      <c r="AH10" s="34" t="str">
        <f aca="false">IF(OR($M10="",$L10=""),"",$M10-$L10)</f>
        <v/>
      </c>
      <c r="AI10" s="34" t="str">
        <f aca="false">IF(OR($P10="",$M10=""),"",$P10-$M10)</f>
        <v/>
      </c>
    </row>
    <row r="11" customFormat="false" ht="15" hidden="false" customHeight="false" outlineLevel="0" collapsed="false">
      <c r="A11" s="29" t="s">
        <v>140</v>
      </c>
      <c r="B11" s="29" t="s">
        <v>123</v>
      </c>
      <c r="C11" s="29" t="s">
        <v>141</v>
      </c>
      <c r="D11" s="30" t="n">
        <v>560</v>
      </c>
      <c r="E11" s="31" t="n">
        <v>46296</v>
      </c>
      <c r="F11" s="32" t="n">
        <f aca="false">IF($E11="","",$E11+7*IFERROR(VLOOKUP($B11,DS!$K$2:$M$4,2,FALSE()),12))</f>
        <v>46352</v>
      </c>
      <c r="G11" s="32" t="n">
        <f aca="false">IF($E11="","",$E11+7*IFERROR(VLOOKUP($B11,DS!$K$2:$M$4,3,FALSE()),12))</f>
        <v>46380</v>
      </c>
      <c r="H11" s="31" t="n">
        <v>46296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 t="n">
        <v>46296</v>
      </c>
      <c r="T11" s="33" t="str">
        <f aca="false">IF($A11="","",IF($R11&lt;&gt;"","95 Hủy/hoàn",IF($Q11&lt;&gt;"","99 Đóng",IF($P11&lt;&gt;"","90 Đã giao",IF($O11&lt;&gt;"","80 Đang giao",IF($N11&lt;&gt;"","70 Thông quan",IF($M11&lt;&gt;"","60 Đã xuất",IF($L11&lt;&gt;"","50 QC đạt",IF($K11&lt;&gt;"","40 NCC đã gửi",IF($I11&lt;&gt;"","30 Đã đặt NCC",IF($H11&lt;&gt;"","20 Đã xác nhận","10 Mới")))))))))))</f>
        <v>20 Đã xác nhận</v>
      </c>
      <c r="U11" s="33" t="str">
        <f aca="false">IF($T11="","",IFERROR(VLOOKUP($T11,DS!$A$2:$B$12,2,FALSE()),""))</f>
        <v>SRC</v>
      </c>
      <c r="V11" s="34" t="n">
        <f aca="true">IF(OR($T11="",LEFT($T11,2)="99",LEFT($T11,2)="95"),"",TODAY()-MAX($E11,$H11:$P11))</f>
        <v>3</v>
      </c>
      <c r="W11" s="34" t="str">
        <f aca="true">IF(AND($E11&lt;&gt;"",$I11="",$R11=""),IF(TODAY()-$E11&gt;1,"⚑",""),"")</f>
        <v>⚑</v>
      </c>
      <c r="X11" s="34" t="str">
        <f aca="true">IF(AND($J11&lt;&gt;"",$K11="",$R11=""),IF(TODAY()-$J11&gt;2,"⚑",""),"")</f>
        <v/>
      </c>
      <c r="Y11" s="34" t="str">
        <f aca="true">IF(AND($G11&lt;&gt;"",$M11="",$R11=""),IF(AND($G11-TODAY()&lt;=14,$G11&gt;=TODAY()),"⚑",""),"")</f>
        <v/>
      </c>
      <c r="Z11" s="34" t="str">
        <f aca="true">IF(AND($G11&lt;&gt;"",$P11="",$R11=""),IF(TODAY()&gt;$G11,"⚑",""),"")</f>
        <v/>
      </c>
      <c r="AA11" s="34" t="str">
        <f aca="true">IF(AND($E11&lt;&gt;"",$P11="",$R11=""),IF(TODAY()-MAX($E11,$H11,$M11,$S11)&gt;7,"⚑",""),"")</f>
        <v/>
      </c>
      <c r="AB11" s="34" t="str">
        <f aca="false">IF(OR($P11="",$G11=""),"",IF($P11&lt;=$G11,"Có","Không"))</f>
        <v/>
      </c>
      <c r="AC11" s="34" t="str">
        <f aca="false">IF(OR($P11="",$E11=""),"",$P11-$E11)</f>
        <v/>
      </c>
      <c r="AD11" s="35" t="n">
        <f aca="false">IF($A11="","",COUNTIF(CASE!$B$3:$B$202,$A11))</f>
        <v>0</v>
      </c>
      <c r="AE11" s="34" t="str">
        <f aca="false">IF(OR($I11="",$E11=""),"",$I11-$E11)</f>
        <v/>
      </c>
      <c r="AF11" s="34" t="str">
        <f aca="false">IF(OR($K11="",$I11=""),"",$K11-$I11)</f>
        <v/>
      </c>
      <c r="AG11" s="34" t="str">
        <f aca="false">IF(OR($L11="",$K11=""),"",$L11-$K11)</f>
        <v/>
      </c>
      <c r="AH11" s="34" t="str">
        <f aca="false">IF(OR($M11="",$L11=""),"",$M11-$L11)</f>
        <v/>
      </c>
      <c r="AI11" s="34" t="str">
        <f aca="false">IF(OR($P11="",$M11=""),"",$P11-$M11)</f>
        <v/>
      </c>
    </row>
    <row r="12" customFormat="false" ht="15" hidden="false" customHeight="false" outlineLevel="0" collapsed="false">
      <c r="A12" s="29" t="s">
        <v>142</v>
      </c>
      <c r="B12" s="29" t="s">
        <v>123</v>
      </c>
      <c r="C12" s="29" t="s">
        <v>143</v>
      </c>
      <c r="D12" s="30" t="n">
        <v>1100</v>
      </c>
      <c r="E12" s="31" t="n">
        <v>46298</v>
      </c>
      <c r="F12" s="32" t="n">
        <f aca="false">IF($E12="","",$E12+7*IFERROR(VLOOKUP($B12,DS!$K$2:$M$4,2,FALSE()),12))</f>
        <v>46354</v>
      </c>
      <c r="G12" s="32" t="n">
        <f aca="false">IF($E12="","",$E12+7*IFERROR(VLOOKUP($B12,DS!$K$2:$M$4,3,FALSE()),12))</f>
        <v>46382</v>
      </c>
      <c r="H12" s="31" t="n">
        <v>46298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 t="n">
        <v>46298</v>
      </c>
      <c r="T12" s="33" t="str">
        <f aca="false">IF($A12="","",IF($R12&lt;&gt;"","95 Hủy/hoàn",IF($Q12&lt;&gt;"","99 Đóng",IF($P12&lt;&gt;"","90 Đã giao",IF($O12&lt;&gt;"","80 Đang giao",IF($N12&lt;&gt;"","70 Thông quan",IF($M12&lt;&gt;"","60 Đã xuất",IF($L12&lt;&gt;"","50 QC đạt",IF($K12&lt;&gt;"","40 NCC đã gửi",IF($I12&lt;&gt;"","30 Đã đặt NCC",IF($H12&lt;&gt;"","20 Đã xác nhận","10 Mới")))))))))))</f>
        <v>20 Đã xác nhận</v>
      </c>
      <c r="U12" s="33" t="str">
        <f aca="false">IF($T12="","",IFERROR(VLOOKUP($T12,DS!$A$2:$B$12,2,FALSE()),""))</f>
        <v>SRC</v>
      </c>
      <c r="V12" s="34" t="n">
        <f aca="true">IF(OR($T12="",LEFT($T12,2)="99",LEFT($T12,2)="95"),"",TODAY()-MAX($E12,$H12:$P12))</f>
        <v>1</v>
      </c>
      <c r="W12" s="34" t="str">
        <f aca="true">IF(AND($E12&lt;&gt;"",$I12="",$R12=""),IF(TODAY()-$E12&gt;1,"⚑",""),"")</f>
        <v/>
      </c>
      <c r="X12" s="34" t="str">
        <f aca="true">IF(AND($J12&lt;&gt;"",$K12="",$R12=""),IF(TODAY()-$J12&gt;2,"⚑",""),"")</f>
        <v/>
      </c>
      <c r="Y12" s="34" t="str">
        <f aca="true">IF(AND($G12&lt;&gt;"",$M12="",$R12=""),IF(AND($G12-TODAY()&lt;=14,$G12&gt;=TODAY()),"⚑",""),"")</f>
        <v/>
      </c>
      <c r="Z12" s="34" t="str">
        <f aca="true">IF(AND($G12&lt;&gt;"",$P12="",$R12=""),IF(TODAY()&gt;$G12,"⚑",""),"")</f>
        <v/>
      </c>
      <c r="AA12" s="34" t="str">
        <f aca="true">IF(AND($E12&lt;&gt;"",$P12="",$R12=""),IF(TODAY()-MAX($E12,$H12,$M12,$S12)&gt;7,"⚑",""),"")</f>
        <v/>
      </c>
      <c r="AB12" s="34" t="str">
        <f aca="false">IF(OR($P12="",$G12=""),"",IF($P12&lt;=$G12,"Có","Không"))</f>
        <v/>
      </c>
      <c r="AC12" s="34" t="str">
        <f aca="false">IF(OR($P12="",$E12=""),"",$P12-$E12)</f>
        <v/>
      </c>
      <c r="AD12" s="35" t="n">
        <f aca="false">IF($A12="","",COUNTIF(CASE!$B$3:$B$202,$A12))</f>
        <v>0</v>
      </c>
      <c r="AE12" s="34" t="str">
        <f aca="false">IF(OR($I12="",$E12=""),"",$I12-$E12)</f>
        <v/>
      </c>
      <c r="AF12" s="34" t="str">
        <f aca="false">IF(OR($K12="",$I12=""),"",$K12-$I12)</f>
        <v/>
      </c>
      <c r="AG12" s="34" t="str">
        <f aca="false">IF(OR($L12="",$K12=""),"",$L12-$K12)</f>
        <v/>
      </c>
      <c r="AH12" s="34" t="str">
        <f aca="false">IF(OR($M12="",$L12=""),"",$M12-$L12)</f>
        <v/>
      </c>
      <c r="AI12" s="34" t="str">
        <f aca="false">IF(OR($P12="",$M12=""),"",$P12-$M12)</f>
        <v/>
      </c>
    </row>
    <row r="13" customFormat="false" ht="15" hidden="false" customHeight="false" outlineLevel="0" collapsed="false">
      <c r="A13" s="29" t="s">
        <v>144</v>
      </c>
      <c r="B13" s="29" t="s">
        <v>123</v>
      </c>
      <c r="C13" s="29" t="s">
        <v>145</v>
      </c>
      <c r="D13" s="30" t="n">
        <v>1320</v>
      </c>
      <c r="E13" s="31" t="n">
        <v>46219</v>
      </c>
      <c r="F13" s="32" t="n">
        <f aca="false">IF($E13="","",$E13+7*IFERROR(VLOOKUP($B13,DS!$K$2:$M$4,2,FALSE()),12))</f>
        <v>46275</v>
      </c>
      <c r="G13" s="32" t="n">
        <f aca="false">IF($E13="","",$E13+7*IFERROR(VLOOKUP($B13,DS!$K$2:$M$4,3,FALSE()),12))</f>
        <v>46303</v>
      </c>
      <c r="H13" s="31" t="n">
        <v>46219</v>
      </c>
      <c r="I13" s="31" t="n">
        <v>46220</v>
      </c>
      <c r="J13" s="31" t="n">
        <v>46234</v>
      </c>
      <c r="K13" s="31" t="n">
        <v>46235</v>
      </c>
      <c r="L13" s="31" t="n">
        <v>46239</v>
      </c>
      <c r="M13" s="31" t="n">
        <v>46243</v>
      </c>
      <c r="N13" s="31"/>
      <c r="O13" s="31"/>
      <c r="P13" s="31"/>
      <c r="Q13" s="31"/>
      <c r="R13" s="31"/>
      <c r="S13" s="31" t="n">
        <v>46291</v>
      </c>
      <c r="T13" s="33" t="str">
        <f aca="false">IF($A13="","",IF($R13&lt;&gt;"","95 Hủy/hoàn",IF($Q13&lt;&gt;"","99 Đóng",IF($P13&lt;&gt;"","90 Đã giao",IF($O13&lt;&gt;"","80 Đang giao",IF($N13&lt;&gt;"","70 Thông quan",IF($M13&lt;&gt;"","60 Đã xuất",IF($L13&lt;&gt;"","50 QC đạt",IF($K13&lt;&gt;"","40 NCC đã gửi",IF($I13&lt;&gt;"","30 Đã đặt NCC",IF($H13&lt;&gt;"","20 Đã xác nhận","10 Mới")))))))))))</f>
        <v>60 Đã xuất</v>
      </c>
      <c r="U13" s="33" t="str">
        <f aca="false">IF($T13="","",IFERROR(VLOOKUP($T13,DS!$A$2:$B$12,2,FALSE()),""))</f>
        <v>LOG</v>
      </c>
      <c r="V13" s="34" t="n">
        <f aca="true">IF(OR($T13="",LEFT($T13,2)="99",LEFT($T13,2)="95"),"",TODAY()-MAX($E13,$H13:$P13))</f>
        <v>56</v>
      </c>
      <c r="W13" s="34" t="str">
        <f aca="true">IF(AND($E13&lt;&gt;"",$I13="",$R13=""),IF(TODAY()-$E13&gt;1,"⚑",""),"")</f>
        <v/>
      </c>
      <c r="X13" s="34" t="str">
        <f aca="true">IF(AND($J13&lt;&gt;"",$K13="",$R13=""),IF(TODAY()-$J13&gt;2,"⚑",""),"")</f>
        <v/>
      </c>
      <c r="Y13" s="34" t="str">
        <f aca="true">IF(AND($G13&lt;&gt;"",$M13="",$R13=""),IF(AND($G13-TODAY()&lt;=14,$G13&gt;=TODAY()),"⚑",""),"")</f>
        <v/>
      </c>
      <c r="Z13" s="34" t="str">
        <f aca="true">IF(AND($G13&lt;&gt;"",$P13="",$R13=""),IF(TODAY()&gt;$G13,"⚑",""),"")</f>
        <v/>
      </c>
      <c r="AA13" s="34" t="str">
        <f aca="true">IF(AND($E13&lt;&gt;"",$P13="",$R13=""),IF(TODAY()-MAX($E13,$H13,$M13,$S13)&gt;7,"⚑",""),"")</f>
        <v>⚑</v>
      </c>
      <c r="AB13" s="34" t="str">
        <f aca="false">IF(OR($P13="",$G13=""),"",IF($P13&lt;=$G13,"Có","Không"))</f>
        <v/>
      </c>
      <c r="AC13" s="34" t="str">
        <f aca="false">IF(OR($P13="",$E13=""),"",$P13-$E13)</f>
        <v/>
      </c>
      <c r="AD13" s="35" t="n">
        <f aca="false">IF($A13="","",COUNTIF(CASE!$B$3:$B$202,$A13))</f>
        <v>1</v>
      </c>
      <c r="AE13" s="34" t="n">
        <f aca="false">IF(OR($I13="",$E13=""),"",$I13-$E13)</f>
        <v>1</v>
      </c>
      <c r="AF13" s="34" t="n">
        <f aca="false">IF(OR($K13="",$I13=""),"",$K13-$I13)</f>
        <v>15</v>
      </c>
      <c r="AG13" s="34" t="n">
        <f aca="false">IF(OR($L13="",$K13=""),"",$L13-$K13)</f>
        <v>4</v>
      </c>
      <c r="AH13" s="34" t="n">
        <f aca="false">IF(OR($M13="",$L13=""),"",$M13-$L13)</f>
        <v>4</v>
      </c>
      <c r="AI13" s="34" t="str">
        <f aca="false">IF(OR($P13="",$M13=""),"",$P13-$M13)</f>
        <v/>
      </c>
    </row>
    <row r="14" customFormat="false" ht="15" hidden="false" customHeight="false" outlineLevel="0" collapsed="false">
      <c r="A14" s="29" t="s">
        <v>146</v>
      </c>
      <c r="B14" s="29" t="s">
        <v>123</v>
      </c>
      <c r="C14" s="29" t="s">
        <v>147</v>
      </c>
      <c r="D14" s="30" t="n">
        <v>650</v>
      </c>
      <c r="E14" s="31" t="n">
        <v>46269</v>
      </c>
      <c r="F14" s="32" t="n">
        <f aca="false">IF($E14="","",$E14+7*IFERROR(VLOOKUP($B14,DS!$K$2:$M$4,2,FALSE()),12))</f>
        <v>46325</v>
      </c>
      <c r="G14" s="32" t="n">
        <f aca="false">IF($E14="","",$E14+7*IFERROR(VLOOKUP($B14,DS!$K$2:$M$4,3,FALSE()),12))</f>
        <v>46353</v>
      </c>
      <c r="H14" s="31" t="n">
        <v>46269</v>
      </c>
      <c r="I14" s="31"/>
      <c r="J14" s="31"/>
      <c r="K14" s="31"/>
      <c r="L14" s="31"/>
      <c r="M14" s="31"/>
      <c r="N14" s="31"/>
      <c r="O14" s="31"/>
      <c r="P14" s="31"/>
      <c r="Q14" s="31"/>
      <c r="R14" s="31" t="n">
        <v>46270</v>
      </c>
      <c r="S14" s="31" t="n">
        <v>46270</v>
      </c>
      <c r="T14" s="33" t="str">
        <f aca="false">IF($A14="","",IF($R14&lt;&gt;"","95 Hủy/hoàn",IF($Q14&lt;&gt;"","99 Đóng",IF($P14&lt;&gt;"","90 Đã giao",IF($O14&lt;&gt;"","80 Đang giao",IF($N14&lt;&gt;"","70 Thông quan",IF($M14&lt;&gt;"","60 Đã xuất",IF($L14&lt;&gt;"","50 QC đạt",IF($K14&lt;&gt;"","40 NCC đã gửi",IF($I14&lt;&gt;"","30 Đã đặt NCC",IF($H14&lt;&gt;"","20 Đã xác nhận","10 Mới")))))))))))</f>
        <v>95 Hủy/hoàn</v>
      </c>
      <c r="U14" s="33" t="str">
        <f aca="false">IF($T14="","",IFERROR(VLOOKUP($T14,DS!$A$2:$B$12,2,FALSE()),""))</f>
        <v>–</v>
      </c>
      <c r="V14" s="34" t="str">
        <f aca="true">IF(OR($T14="",LEFT($T14,2)="99",LEFT($T14,2)="95"),"",TODAY()-MAX($E14,$H14:$P14))</f>
        <v/>
      </c>
      <c r="W14" s="34" t="str">
        <f aca="true">IF(AND($E14&lt;&gt;"",$I14="",$R14=""),IF(TODAY()-$E14&gt;1,"⚑",""),"")</f>
        <v/>
      </c>
      <c r="X14" s="34" t="str">
        <f aca="true">IF(AND($J14&lt;&gt;"",$K14="",$R14=""),IF(TODAY()-$J14&gt;2,"⚑",""),"")</f>
        <v/>
      </c>
      <c r="Y14" s="34" t="str">
        <f aca="true">IF(AND($G14&lt;&gt;"",$M14="",$R14=""),IF(AND($G14-TODAY()&lt;=14,$G14&gt;=TODAY()),"⚑",""),"")</f>
        <v/>
      </c>
      <c r="Z14" s="34" t="str">
        <f aca="true">IF(AND($G14&lt;&gt;"",$P14="",$R14=""),IF(TODAY()&gt;$G14,"⚑",""),"")</f>
        <v/>
      </c>
      <c r="AA14" s="34" t="str">
        <f aca="true">IF(AND($E14&lt;&gt;"",$P14="",$R14=""),IF(TODAY()-MAX($E14,$H14,$M14,$S14)&gt;7,"⚑",""),"")</f>
        <v/>
      </c>
      <c r="AB14" s="34" t="str">
        <f aca="false">IF(OR($P14="",$G14=""),"",IF($P14&lt;=$G14,"Có","Không"))</f>
        <v/>
      </c>
      <c r="AC14" s="34" t="str">
        <f aca="false">IF(OR($P14="",$E14=""),"",$P14-$E14)</f>
        <v/>
      </c>
      <c r="AD14" s="35" t="n">
        <f aca="false">IF($A14="","",COUNTIF(CASE!$B$3:$B$202,$A14))</f>
        <v>1</v>
      </c>
      <c r="AE14" s="34" t="str">
        <f aca="false">IF(OR($I14="",$E14=""),"",$I14-$E14)</f>
        <v/>
      </c>
      <c r="AF14" s="34" t="str">
        <f aca="false">IF(OR($K14="",$I14=""),"",$K14-$I14)</f>
        <v/>
      </c>
      <c r="AG14" s="34" t="str">
        <f aca="false">IF(OR($L14="",$K14=""),"",$L14-$K14)</f>
        <v/>
      </c>
      <c r="AH14" s="34" t="str">
        <f aca="false">IF(OR($M14="",$L14=""),"",$M14-$L14)</f>
        <v/>
      </c>
      <c r="AI14" s="34" t="str">
        <f aca="false">IF(OR($P14="",$M14=""),"",$P14-$M14)</f>
        <v/>
      </c>
    </row>
    <row r="15" customFormat="false" ht="15" hidden="false" customHeight="false" outlineLevel="0" collapsed="false">
      <c r="A15" s="29"/>
      <c r="B15" s="29"/>
      <c r="C15" s="29"/>
      <c r="D15" s="30"/>
      <c r="E15" s="31"/>
      <c r="F15" s="32" t="str">
        <f aca="false">IF($E15="","",$E15+7*IFERROR(VLOOKUP($B15,DS!$K$2:$M$4,2,FALSE()),12))</f>
        <v/>
      </c>
      <c r="G15" s="32" t="str">
        <f aca="false">IF($E15="","",$E15+7*IFERROR(VLOOKUP($B15,DS!$K$2:$M$4,3,FALSE()),12))</f>
        <v/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3" t="str">
        <f aca="false">IF($A15="","",IF($R15&lt;&gt;"","95 Hủy/hoàn",IF($Q15&lt;&gt;"","99 Đóng",IF($P15&lt;&gt;"","90 Đã giao",IF($O15&lt;&gt;"","80 Đang giao",IF($N15&lt;&gt;"","70 Thông quan",IF($M15&lt;&gt;"","60 Đã xuất",IF($L15&lt;&gt;"","50 QC đạt",IF($K15&lt;&gt;"","40 NCC đã gửi",IF($I15&lt;&gt;"","30 Đã đặt NCC",IF($H15&lt;&gt;"","20 Đã xác nhận","10 Mới")))))))))))</f>
        <v/>
      </c>
      <c r="U15" s="33" t="str">
        <f aca="false">IF($T15="","",IFERROR(VLOOKUP($T15,DS!$A$2:$B$12,2,FALSE()),""))</f>
        <v/>
      </c>
      <c r="V15" s="34" t="str">
        <f aca="true">IF(OR($T15="",LEFT($T15,2)="99",LEFT($T15,2)="95"),"",TODAY()-MAX($E15,$H15:$P15))</f>
        <v/>
      </c>
      <c r="W15" s="34" t="str">
        <f aca="true">IF(AND($E15&lt;&gt;"",$I15="",$R15=""),IF(TODAY()-$E15&gt;1,"⚑",""),"")</f>
        <v/>
      </c>
      <c r="X15" s="34" t="str">
        <f aca="true">IF(AND($J15&lt;&gt;"",$K15="",$R15=""),IF(TODAY()-$J15&gt;2,"⚑",""),"")</f>
        <v/>
      </c>
      <c r="Y15" s="34" t="str">
        <f aca="true">IF(AND($G15&lt;&gt;"",$M15="",$R15=""),IF(AND($G15-TODAY()&lt;=14,$G15&gt;=TODAY()),"⚑",""),"")</f>
        <v/>
      </c>
      <c r="Z15" s="34" t="str">
        <f aca="true">IF(AND($G15&lt;&gt;"",$P15="",$R15=""),IF(TODAY()&gt;$G15,"⚑",""),"")</f>
        <v/>
      </c>
      <c r="AA15" s="34" t="str">
        <f aca="true">IF(AND($E15&lt;&gt;"",$P15="",$R15=""),IF(TODAY()-MAX($E15,$H15,$M15,$S15)&gt;7,"⚑",""),"")</f>
        <v/>
      </c>
      <c r="AB15" s="34" t="str">
        <f aca="false">IF(OR($P15="",$G15=""),"",IF($P15&lt;=$G15,"Có","Không"))</f>
        <v/>
      </c>
      <c r="AC15" s="34" t="str">
        <f aca="false">IF(OR($P15="",$E15=""),"",$P15-$E15)</f>
        <v/>
      </c>
      <c r="AD15" s="35" t="str">
        <f aca="false">IF($A15="","",COUNTIF(CASE!$B$3:$B$202,$A15))</f>
        <v/>
      </c>
      <c r="AE15" s="34" t="str">
        <f aca="false">IF(OR($I15="",$E15=""),"",$I15-$E15)</f>
        <v/>
      </c>
      <c r="AF15" s="34" t="str">
        <f aca="false">IF(OR($K15="",$I15=""),"",$K15-$I15)</f>
        <v/>
      </c>
      <c r="AG15" s="34" t="str">
        <f aca="false">IF(OR($L15="",$K15=""),"",$L15-$K15)</f>
        <v/>
      </c>
      <c r="AH15" s="34" t="str">
        <f aca="false">IF(OR($M15="",$L15=""),"",$M15-$L15)</f>
        <v/>
      </c>
      <c r="AI15" s="34" t="str">
        <f aca="false">IF(OR($P15="",$M15=""),"",$P15-$M15)</f>
        <v/>
      </c>
    </row>
    <row r="16" customFormat="false" ht="15" hidden="false" customHeight="false" outlineLevel="0" collapsed="false">
      <c r="A16" s="29"/>
      <c r="B16" s="29"/>
      <c r="C16" s="29"/>
      <c r="D16" s="30"/>
      <c r="E16" s="31"/>
      <c r="F16" s="32" t="str">
        <f aca="false">IF($E16="","",$E16+7*IFERROR(VLOOKUP($B16,DS!$K$2:$M$4,2,FALSE()),12))</f>
        <v/>
      </c>
      <c r="G16" s="32" t="str">
        <f aca="false">IF($E16="","",$E16+7*IFERROR(VLOOKUP($B16,DS!$K$2:$M$4,3,FALSE()),12))</f>
        <v/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3" t="str">
        <f aca="false">IF($A16="","",IF($R16&lt;&gt;"","95 Hủy/hoàn",IF($Q16&lt;&gt;"","99 Đóng",IF($P16&lt;&gt;"","90 Đã giao",IF($O16&lt;&gt;"","80 Đang giao",IF($N16&lt;&gt;"","70 Thông quan",IF($M16&lt;&gt;"","60 Đã xuất",IF($L16&lt;&gt;"","50 QC đạt",IF($K16&lt;&gt;"","40 NCC đã gửi",IF($I16&lt;&gt;"","30 Đã đặt NCC",IF($H16&lt;&gt;"","20 Đã xác nhận","10 Mới")))))))))))</f>
        <v/>
      </c>
      <c r="U16" s="33" t="str">
        <f aca="false">IF($T16="","",IFERROR(VLOOKUP($T16,DS!$A$2:$B$12,2,FALSE()),""))</f>
        <v/>
      </c>
      <c r="V16" s="34" t="str">
        <f aca="true">IF(OR($T16="",LEFT($T16,2)="99",LEFT($T16,2)="95"),"",TODAY()-MAX($E16,$H16:$P16))</f>
        <v/>
      </c>
      <c r="W16" s="34" t="str">
        <f aca="true">IF(AND($E16&lt;&gt;"",$I16="",$R16=""),IF(TODAY()-$E16&gt;1,"⚑",""),"")</f>
        <v/>
      </c>
      <c r="X16" s="34" t="str">
        <f aca="true">IF(AND($J16&lt;&gt;"",$K16="",$R16=""),IF(TODAY()-$J16&gt;2,"⚑",""),"")</f>
        <v/>
      </c>
      <c r="Y16" s="34" t="str">
        <f aca="true">IF(AND($G16&lt;&gt;"",$M16="",$R16=""),IF(AND($G16-TODAY()&lt;=14,$G16&gt;=TODAY()),"⚑",""),"")</f>
        <v/>
      </c>
      <c r="Z16" s="34" t="str">
        <f aca="true">IF(AND($G16&lt;&gt;"",$P16="",$R16=""),IF(TODAY()&gt;$G16,"⚑",""),"")</f>
        <v/>
      </c>
      <c r="AA16" s="34" t="str">
        <f aca="true">IF(AND($E16&lt;&gt;"",$P16="",$R16=""),IF(TODAY()-MAX($E16,$H16,$M16,$S16)&gt;7,"⚑",""),"")</f>
        <v/>
      </c>
      <c r="AB16" s="34" t="str">
        <f aca="false">IF(OR($P16="",$G16=""),"",IF($P16&lt;=$G16,"Có","Không"))</f>
        <v/>
      </c>
      <c r="AC16" s="34" t="str">
        <f aca="false">IF(OR($P16="",$E16=""),"",$P16-$E16)</f>
        <v/>
      </c>
      <c r="AD16" s="35" t="str">
        <f aca="false">IF($A16="","",COUNTIF(CASE!$B$3:$B$202,$A16))</f>
        <v/>
      </c>
      <c r="AE16" s="34" t="str">
        <f aca="false">IF(OR($I16="",$E16=""),"",$I16-$E16)</f>
        <v/>
      </c>
      <c r="AF16" s="34" t="str">
        <f aca="false">IF(OR($K16="",$I16=""),"",$K16-$I16)</f>
        <v/>
      </c>
      <c r="AG16" s="34" t="str">
        <f aca="false">IF(OR($L16="",$K16=""),"",$L16-$K16)</f>
        <v/>
      </c>
      <c r="AH16" s="34" t="str">
        <f aca="false">IF(OR($M16="",$L16=""),"",$M16-$L16)</f>
        <v/>
      </c>
      <c r="AI16" s="34" t="str">
        <f aca="false">IF(OR($P16="",$M16=""),"",$P16-$M16)</f>
        <v/>
      </c>
    </row>
    <row r="17" customFormat="false" ht="15" hidden="false" customHeight="false" outlineLevel="0" collapsed="false">
      <c r="A17" s="29"/>
      <c r="B17" s="29"/>
      <c r="C17" s="29"/>
      <c r="D17" s="30"/>
      <c r="E17" s="31"/>
      <c r="F17" s="32" t="str">
        <f aca="false">IF($E17="","",$E17+7*IFERROR(VLOOKUP($B17,DS!$K$2:$M$4,2,FALSE()),12))</f>
        <v/>
      </c>
      <c r="G17" s="32" t="str">
        <f aca="false">IF($E17="","",$E17+7*IFERROR(VLOOKUP($B17,DS!$K$2:$M$4,3,FALSE()),12))</f>
        <v/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3" t="str">
        <f aca="false">IF($A17="","",IF($R17&lt;&gt;"","95 Hủy/hoàn",IF($Q17&lt;&gt;"","99 Đóng",IF($P17&lt;&gt;"","90 Đã giao",IF($O17&lt;&gt;"","80 Đang giao",IF($N17&lt;&gt;"","70 Thông quan",IF($M17&lt;&gt;"","60 Đã xuất",IF($L17&lt;&gt;"","50 QC đạt",IF($K17&lt;&gt;"","40 NCC đã gửi",IF($I17&lt;&gt;"","30 Đã đặt NCC",IF($H17&lt;&gt;"","20 Đã xác nhận","10 Mới")))))))))))</f>
        <v/>
      </c>
      <c r="U17" s="33" t="str">
        <f aca="false">IF($T17="","",IFERROR(VLOOKUP($T17,DS!$A$2:$B$12,2,FALSE()),""))</f>
        <v/>
      </c>
      <c r="V17" s="34" t="str">
        <f aca="true">IF(OR($T17="",LEFT($T17,2)="99",LEFT($T17,2)="95"),"",TODAY()-MAX($E17,$H17:$P17))</f>
        <v/>
      </c>
      <c r="W17" s="34" t="str">
        <f aca="true">IF(AND($E17&lt;&gt;"",$I17="",$R17=""),IF(TODAY()-$E17&gt;1,"⚑",""),"")</f>
        <v/>
      </c>
      <c r="X17" s="34" t="str">
        <f aca="true">IF(AND($J17&lt;&gt;"",$K17="",$R17=""),IF(TODAY()-$J17&gt;2,"⚑",""),"")</f>
        <v/>
      </c>
      <c r="Y17" s="34" t="str">
        <f aca="true">IF(AND($G17&lt;&gt;"",$M17="",$R17=""),IF(AND($G17-TODAY()&lt;=14,$G17&gt;=TODAY()),"⚑",""),"")</f>
        <v/>
      </c>
      <c r="Z17" s="34" t="str">
        <f aca="true">IF(AND($G17&lt;&gt;"",$P17="",$R17=""),IF(TODAY()&gt;$G17,"⚑",""),"")</f>
        <v/>
      </c>
      <c r="AA17" s="34" t="str">
        <f aca="true">IF(AND($E17&lt;&gt;"",$P17="",$R17=""),IF(TODAY()-MAX($E17,$H17,$M17,$S17)&gt;7,"⚑",""),"")</f>
        <v/>
      </c>
      <c r="AB17" s="34" t="str">
        <f aca="false">IF(OR($P17="",$G17=""),"",IF($P17&lt;=$G17,"Có","Không"))</f>
        <v/>
      </c>
      <c r="AC17" s="34" t="str">
        <f aca="false">IF(OR($P17="",$E17=""),"",$P17-$E17)</f>
        <v/>
      </c>
      <c r="AD17" s="35" t="str">
        <f aca="false">IF($A17="","",COUNTIF(CASE!$B$3:$B$202,$A17))</f>
        <v/>
      </c>
      <c r="AE17" s="34" t="str">
        <f aca="false">IF(OR($I17="",$E17=""),"",$I17-$E17)</f>
        <v/>
      </c>
      <c r="AF17" s="34" t="str">
        <f aca="false">IF(OR($K17="",$I17=""),"",$K17-$I17)</f>
        <v/>
      </c>
      <c r="AG17" s="34" t="str">
        <f aca="false">IF(OR($L17="",$K17=""),"",$L17-$K17)</f>
        <v/>
      </c>
      <c r="AH17" s="34" t="str">
        <f aca="false">IF(OR($M17="",$L17=""),"",$M17-$L17)</f>
        <v/>
      </c>
      <c r="AI17" s="34" t="str">
        <f aca="false">IF(OR($P17="",$M17=""),"",$P17-$M17)</f>
        <v/>
      </c>
    </row>
    <row r="18" customFormat="false" ht="15" hidden="false" customHeight="false" outlineLevel="0" collapsed="false">
      <c r="A18" s="29"/>
      <c r="B18" s="29"/>
      <c r="C18" s="29"/>
      <c r="D18" s="30"/>
      <c r="E18" s="31"/>
      <c r="F18" s="32" t="str">
        <f aca="false">IF($E18="","",$E18+7*IFERROR(VLOOKUP($B18,DS!$K$2:$M$4,2,FALSE()),12))</f>
        <v/>
      </c>
      <c r="G18" s="32" t="str">
        <f aca="false">IF($E18="","",$E18+7*IFERROR(VLOOKUP($B18,DS!$K$2:$M$4,3,FALSE()),12))</f>
        <v/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3" t="str">
        <f aca="false">IF($A18="","",IF($R18&lt;&gt;"","95 Hủy/hoàn",IF($Q18&lt;&gt;"","99 Đóng",IF($P18&lt;&gt;"","90 Đã giao",IF($O18&lt;&gt;"","80 Đang giao",IF($N18&lt;&gt;"","70 Thông quan",IF($M18&lt;&gt;"","60 Đã xuất",IF($L18&lt;&gt;"","50 QC đạt",IF($K18&lt;&gt;"","40 NCC đã gửi",IF($I18&lt;&gt;"","30 Đã đặt NCC",IF($H18&lt;&gt;"","20 Đã xác nhận","10 Mới")))))))))))</f>
        <v/>
      </c>
      <c r="U18" s="33" t="str">
        <f aca="false">IF($T18="","",IFERROR(VLOOKUP($T18,DS!$A$2:$B$12,2,FALSE()),""))</f>
        <v/>
      </c>
      <c r="V18" s="34" t="str">
        <f aca="true">IF(OR($T18="",LEFT($T18,2)="99",LEFT($T18,2)="95"),"",TODAY()-MAX($E18,$H18:$P18))</f>
        <v/>
      </c>
      <c r="W18" s="34" t="str">
        <f aca="true">IF(AND($E18&lt;&gt;"",$I18="",$R18=""),IF(TODAY()-$E18&gt;1,"⚑",""),"")</f>
        <v/>
      </c>
      <c r="X18" s="34" t="str">
        <f aca="true">IF(AND($J18&lt;&gt;"",$K18="",$R18=""),IF(TODAY()-$J18&gt;2,"⚑",""),"")</f>
        <v/>
      </c>
      <c r="Y18" s="34" t="str">
        <f aca="true">IF(AND($G18&lt;&gt;"",$M18="",$R18=""),IF(AND($G18-TODAY()&lt;=14,$G18&gt;=TODAY()),"⚑",""),"")</f>
        <v/>
      </c>
      <c r="Z18" s="34" t="str">
        <f aca="true">IF(AND($G18&lt;&gt;"",$P18="",$R18=""),IF(TODAY()&gt;$G18,"⚑",""),"")</f>
        <v/>
      </c>
      <c r="AA18" s="34" t="str">
        <f aca="true">IF(AND($E18&lt;&gt;"",$P18="",$R18=""),IF(TODAY()-MAX($E18,$H18,$M18,$S18)&gt;7,"⚑",""),"")</f>
        <v/>
      </c>
      <c r="AB18" s="34" t="str">
        <f aca="false">IF(OR($P18="",$G18=""),"",IF($P18&lt;=$G18,"Có","Không"))</f>
        <v/>
      </c>
      <c r="AC18" s="34" t="str">
        <f aca="false">IF(OR($P18="",$E18=""),"",$P18-$E18)</f>
        <v/>
      </c>
      <c r="AD18" s="35" t="str">
        <f aca="false">IF($A18="","",COUNTIF(CASE!$B$3:$B$202,$A18))</f>
        <v/>
      </c>
      <c r="AE18" s="34" t="str">
        <f aca="false">IF(OR($I18="",$E18=""),"",$I18-$E18)</f>
        <v/>
      </c>
      <c r="AF18" s="34" t="str">
        <f aca="false">IF(OR($K18="",$I18=""),"",$K18-$I18)</f>
        <v/>
      </c>
      <c r="AG18" s="34" t="str">
        <f aca="false">IF(OR($L18="",$K18=""),"",$L18-$K18)</f>
        <v/>
      </c>
      <c r="AH18" s="34" t="str">
        <f aca="false">IF(OR($M18="",$L18=""),"",$M18-$L18)</f>
        <v/>
      </c>
      <c r="AI18" s="34" t="str">
        <f aca="false">IF(OR($P18="",$M18=""),"",$P18-$M18)</f>
        <v/>
      </c>
    </row>
    <row r="19" customFormat="false" ht="15" hidden="false" customHeight="false" outlineLevel="0" collapsed="false">
      <c r="A19" s="29"/>
      <c r="B19" s="29"/>
      <c r="C19" s="29"/>
      <c r="D19" s="30"/>
      <c r="E19" s="31"/>
      <c r="F19" s="32" t="str">
        <f aca="false">IF($E19="","",$E19+7*IFERROR(VLOOKUP($B19,DS!$K$2:$M$4,2,FALSE()),12))</f>
        <v/>
      </c>
      <c r="G19" s="32" t="str">
        <f aca="false">IF($E19="","",$E19+7*IFERROR(VLOOKUP($B19,DS!$K$2:$M$4,3,FALSE()),12))</f>
        <v/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3" t="str">
        <f aca="false">IF($A19="","",IF($R19&lt;&gt;"","95 Hủy/hoàn",IF($Q19&lt;&gt;"","99 Đóng",IF($P19&lt;&gt;"","90 Đã giao",IF($O19&lt;&gt;"","80 Đang giao",IF($N19&lt;&gt;"","70 Thông quan",IF($M19&lt;&gt;"","60 Đã xuất",IF($L19&lt;&gt;"","50 QC đạt",IF($K19&lt;&gt;"","40 NCC đã gửi",IF($I19&lt;&gt;"","30 Đã đặt NCC",IF($H19&lt;&gt;"","20 Đã xác nhận","10 Mới")))))))))))</f>
        <v/>
      </c>
      <c r="U19" s="33" t="str">
        <f aca="false">IF($T19="","",IFERROR(VLOOKUP($T19,DS!$A$2:$B$12,2,FALSE()),""))</f>
        <v/>
      </c>
      <c r="V19" s="34" t="str">
        <f aca="true">IF(OR($T19="",LEFT($T19,2)="99",LEFT($T19,2)="95"),"",TODAY()-MAX($E19,$H19:$P19))</f>
        <v/>
      </c>
      <c r="W19" s="34" t="str">
        <f aca="true">IF(AND($E19&lt;&gt;"",$I19="",$R19=""),IF(TODAY()-$E19&gt;1,"⚑",""),"")</f>
        <v/>
      </c>
      <c r="X19" s="34" t="str">
        <f aca="true">IF(AND($J19&lt;&gt;"",$K19="",$R19=""),IF(TODAY()-$J19&gt;2,"⚑",""),"")</f>
        <v/>
      </c>
      <c r="Y19" s="34" t="str">
        <f aca="true">IF(AND($G19&lt;&gt;"",$M19="",$R19=""),IF(AND($G19-TODAY()&lt;=14,$G19&gt;=TODAY()),"⚑",""),"")</f>
        <v/>
      </c>
      <c r="Z19" s="34" t="str">
        <f aca="true">IF(AND($G19&lt;&gt;"",$P19="",$R19=""),IF(TODAY()&gt;$G19,"⚑",""),"")</f>
        <v/>
      </c>
      <c r="AA19" s="34" t="str">
        <f aca="true">IF(AND($E19&lt;&gt;"",$P19="",$R19=""),IF(TODAY()-MAX($E19,$H19,$M19,$S19)&gt;7,"⚑",""),"")</f>
        <v/>
      </c>
      <c r="AB19" s="34" t="str">
        <f aca="false">IF(OR($P19="",$G19=""),"",IF($P19&lt;=$G19,"Có","Không"))</f>
        <v/>
      </c>
      <c r="AC19" s="34" t="str">
        <f aca="false">IF(OR($P19="",$E19=""),"",$P19-$E19)</f>
        <v/>
      </c>
      <c r="AD19" s="35" t="str">
        <f aca="false">IF($A19="","",COUNTIF(CASE!$B$3:$B$202,$A19))</f>
        <v/>
      </c>
      <c r="AE19" s="34" t="str">
        <f aca="false">IF(OR($I19="",$E19=""),"",$I19-$E19)</f>
        <v/>
      </c>
      <c r="AF19" s="34" t="str">
        <f aca="false">IF(OR($K19="",$I19=""),"",$K19-$I19)</f>
        <v/>
      </c>
      <c r="AG19" s="34" t="str">
        <f aca="false">IF(OR($L19="",$K19=""),"",$L19-$K19)</f>
        <v/>
      </c>
      <c r="AH19" s="34" t="str">
        <f aca="false">IF(OR($M19="",$L19=""),"",$M19-$L19)</f>
        <v/>
      </c>
      <c r="AI19" s="34" t="str">
        <f aca="false">IF(OR($P19="",$M19=""),"",$P19-$M19)</f>
        <v/>
      </c>
    </row>
    <row r="20" customFormat="false" ht="15" hidden="false" customHeight="false" outlineLevel="0" collapsed="false">
      <c r="A20" s="29"/>
      <c r="B20" s="29"/>
      <c r="C20" s="29"/>
      <c r="D20" s="30"/>
      <c r="E20" s="31"/>
      <c r="F20" s="32" t="str">
        <f aca="false">IF($E20="","",$E20+7*IFERROR(VLOOKUP($B20,DS!$K$2:$M$4,2,FALSE()),12))</f>
        <v/>
      </c>
      <c r="G20" s="32" t="str">
        <f aca="false">IF($E20="","",$E20+7*IFERROR(VLOOKUP($B20,DS!$K$2:$M$4,3,FALSE()),12))</f>
        <v/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3" t="str">
        <f aca="false">IF($A20="","",IF($R20&lt;&gt;"","95 Hủy/hoàn",IF($Q20&lt;&gt;"","99 Đóng",IF($P20&lt;&gt;"","90 Đã giao",IF($O20&lt;&gt;"","80 Đang giao",IF($N20&lt;&gt;"","70 Thông quan",IF($M20&lt;&gt;"","60 Đã xuất",IF($L20&lt;&gt;"","50 QC đạt",IF($K20&lt;&gt;"","40 NCC đã gửi",IF($I20&lt;&gt;"","30 Đã đặt NCC",IF($H20&lt;&gt;"","20 Đã xác nhận","10 Mới")))))))))))</f>
        <v/>
      </c>
      <c r="U20" s="33" t="str">
        <f aca="false">IF($T20="","",IFERROR(VLOOKUP($T20,DS!$A$2:$B$12,2,FALSE()),""))</f>
        <v/>
      </c>
      <c r="V20" s="34" t="str">
        <f aca="true">IF(OR($T20="",LEFT($T20,2)="99",LEFT($T20,2)="95"),"",TODAY()-MAX($E20,$H20:$P20))</f>
        <v/>
      </c>
      <c r="W20" s="34" t="str">
        <f aca="true">IF(AND($E20&lt;&gt;"",$I20="",$R20=""),IF(TODAY()-$E20&gt;1,"⚑",""),"")</f>
        <v/>
      </c>
      <c r="X20" s="34" t="str">
        <f aca="true">IF(AND($J20&lt;&gt;"",$K20="",$R20=""),IF(TODAY()-$J20&gt;2,"⚑",""),"")</f>
        <v/>
      </c>
      <c r="Y20" s="34" t="str">
        <f aca="true">IF(AND($G20&lt;&gt;"",$M20="",$R20=""),IF(AND($G20-TODAY()&lt;=14,$G20&gt;=TODAY()),"⚑",""),"")</f>
        <v/>
      </c>
      <c r="Z20" s="34" t="str">
        <f aca="true">IF(AND($G20&lt;&gt;"",$P20="",$R20=""),IF(TODAY()&gt;$G20,"⚑",""),"")</f>
        <v/>
      </c>
      <c r="AA20" s="34" t="str">
        <f aca="true">IF(AND($E20&lt;&gt;"",$P20="",$R20=""),IF(TODAY()-MAX($E20,$H20,$M20,$S20)&gt;7,"⚑",""),"")</f>
        <v/>
      </c>
      <c r="AB20" s="34" t="str">
        <f aca="false">IF(OR($P20="",$G20=""),"",IF($P20&lt;=$G20,"Có","Không"))</f>
        <v/>
      </c>
      <c r="AC20" s="34" t="str">
        <f aca="false">IF(OR($P20="",$E20=""),"",$P20-$E20)</f>
        <v/>
      </c>
      <c r="AD20" s="35" t="str">
        <f aca="false">IF($A20="","",COUNTIF(CASE!$B$3:$B$202,$A20))</f>
        <v/>
      </c>
      <c r="AE20" s="34" t="str">
        <f aca="false">IF(OR($I20="",$E20=""),"",$I20-$E20)</f>
        <v/>
      </c>
      <c r="AF20" s="34" t="str">
        <f aca="false">IF(OR($K20="",$I20=""),"",$K20-$I20)</f>
        <v/>
      </c>
      <c r="AG20" s="34" t="str">
        <f aca="false">IF(OR($L20="",$K20=""),"",$L20-$K20)</f>
        <v/>
      </c>
      <c r="AH20" s="34" t="str">
        <f aca="false">IF(OR($M20="",$L20=""),"",$M20-$L20)</f>
        <v/>
      </c>
      <c r="AI20" s="34" t="str">
        <f aca="false">IF(OR($P20="",$M20=""),"",$P20-$M20)</f>
        <v/>
      </c>
    </row>
    <row r="21" customFormat="false" ht="15" hidden="false" customHeight="false" outlineLevel="0" collapsed="false">
      <c r="A21" s="29"/>
      <c r="B21" s="29"/>
      <c r="C21" s="29"/>
      <c r="D21" s="30"/>
      <c r="E21" s="31"/>
      <c r="F21" s="32" t="str">
        <f aca="false">IF($E21="","",$E21+7*IFERROR(VLOOKUP($B21,DS!$K$2:$M$4,2,FALSE()),12))</f>
        <v/>
      </c>
      <c r="G21" s="32" t="str">
        <f aca="false">IF($E21="","",$E21+7*IFERROR(VLOOKUP($B21,DS!$K$2:$M$4,3,FALSE()),12))</f>
        <v/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3" t="str">
        <f aca="false">IF($A21="","",IF($R21&lt;&gt;"","95 Hủy/hoàn",IF($Q21&lt;&gt;"","99 Đóng",IF($P21&lt;&gt;"","90 Đã giao",IF($O21&lt;&gt;"","80 Đang giao",IF($N21&lt;&gt;"","70 Thông quan",IF($M21&lt;&gt;"","60 Đã xuất",IF($L21&lt;&gt;"","50 QC đạt",IF($K21&lt;&gt;"","40 NCC đã gửi",IF($I21&lt;&gt;"","30 Đã đặt NCC",IF($H21&lt;&gt;"","20 Đã xác nhận","10 Mới")))))))))))</f>
        <v/>
      </c>
      <c r="U21" s="33" t="str">
        <f aca="false">IF($T21="","",IFERROR(VLOOKUP($T21,DS!$A$2:$B$12,2,FALSE()),""))</f>
        <v/>
      </c>
      <c r="V21" s="34" t="str">
        <f aca="true">IF(OR($T21="",LEFT($T21,2)="99",LEFT($T21,2)="95"),"",TODAY()-MAX($E21,$H21:$P21))</f>
        <v/>
      </c>
      <c r="W21" s="34" t="str">
        <f aca="true">IF(AND($E21&lt;&gt;"",$I21="",$R21=""),IF(TODAY()-$E21&gt;1,"⚑",""),"")</f>
        <v/>
      </c>
      <c r="X21" s="34" t="str">
        <f aca="true">IF(AND($J21&lt;&gt;"",$K21="",$R21=""),IF(TODAY()-$J21&gt;2,"⚑",""),"")</f>
        <v/>
      </c>
      <c r="Y21" s="34" t="str">
        <f aca="true">IF(AND($G21&lt;&gt;"",$M21="",$R21=""),IF(AND($G21-TODAY()&lt;=14,$G21&gt;=TODAY()),"⚑",""),"")</f>
        <v/>
      </c>
      <c r="Z21" s="34" t="str">
        <f aca="true">IF(AND($G21&lt;&gt;"",$P21="",$R21=""),IF(TODAY()&gt;$G21,"⚑",""),"")</f>
        <v/>
      </c>
      <c r="AA21" s="34" t="str">
        <f aca="true">IF(AND($E21&lt;&gt;"",$P21="",$R21=""),IF(TODAY()-MAX($E21,$H21,$M21,$S21)&gt;7,"⚑",""),"")</f>
        <v/>
      </c>
      <c r="AB21" s="34" t="str">
        <f aca="false">IF(OR($P21="",$G21=""),"",IF($P21&lt;=$G21,"Có","Không"))</f>
        <v/>
      </c>
      <c r="AC21" s="34" t="str">
        <f aca="false">IF(OR($P21="",$E21=""),"",$P21-$E21)</f>
        <v/>
      </c>
      <c r="AD21" s="35" t="str">
        <f aca="false">IF($A21="","",COUNTIF(CASE!$B$3:$B$202,$A21))</f>
        <v/>
      </c>
      <c r="AE21" s="34" t="str">
        <f aca="false">IF(OR($I21="",$E21=""),"",$I21-$E21)</f>
        <v/>
      </c>
      <c r="AF21" s="34" t="str">
        <f aca="false">IF(OR($K21="",$I21=""),"",$K21-$I21)</f>
        <v/>
      </c>
      <c r="AG21" s="34" t="str">
        <f aca="false">IF(OR($L21="",$K21=""),"",$L21-$K21)</f>
        <v/>
      </c>
      <c r="AH21" s="34" t="str">
        <f aca="false">IF(OR($M21="",$L21=""),"",$M21-$L21)</f>
        <v/>
      </c>
      <c r="AI21" s="34" t="str">
        <f aca="false">IF(OR($P21="",$M21=""),"",$P21-$M21)</f>
        <v/>
      </c>
    </row>
    <row r="22" customFormat="false" ht="15" hidden="false" customHeight="false" outlineLevel="0" collapsed="false">
      <c r="A22" s="29"/>
      <c r="B22" s="29"/>
      <c r="C22" s="29"/>
      <c r="D22" s="30"/>
      <c r="E22" s="31"/>
      <c r="F22" s="32" t="str">
        <f aca="false">IF($E22="","",$E22+7*IFERROR(VLOOKUP($B22,DS!$K$2:$M$4,2,FALSE()),12))</f>
        <v/>
      </c>
      <c r="G22" s="32" t="str">
        <f aca="false">IF($E22="","",$E22+7*IFERROR(VLOOKUP($B22,DS!$K$2:$M$4,3,FALSE()),12))</f>
        <v/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3" t="str">
        <f aca="false">IF($A22="","",IF($R22&lt;&gt;"","95 Hủy/hoàn",IF($Q22&lt;&gt;"","99 Đóng",IF($P22&lt;&gt;"","90 Đã giao",IF($O22&lt;&gt;"","80 Đang giao",IF($N22&lt;&gt;"","70 Thông quan",IF($M22&lt;&gt;"","60 Đã xuất",IF($L22&lt;&gt;"","50 QC đạt",IF($K22&lt;&gt;"","40 NCC đã gửi",IF($I22&lt;&gt;"","30 Đã đặt NCC",IF($H22&lt;&gt;"","20 Đã xác nhận","10 Mới")))))))))))</f>
        <v/>
      </c>
      <c r="U22" s="33" t="str">
        <f aca="false">IF($T22="","",IFERROR(VLOOKUP($T22,DS!$A$2:$B$12,2,FALSE()),""))</f>
        <v/>
      </c>
      <c r="V22" s="34" t="str">
        <f aca="true">IF(OR($T22="",LEFT($T22,2)="99",LEFT($T22,2)="95"),"",TODAY()-MAX($E22,$H22:$P22))</f>
        <v/>
      </c>
      <c r="W22" s="34" t="str">
        <f aca="true">IF(AND($E22&lt;&gt;"",$I22="",$R22=""),IF(TODAY()-$E22&gt;1,"⚑",""),"")</f>
        <v/>
      </c>
      <c r="X22" s="34" t="str">
        <f aca="true">IF(AND($J22&lt;&gt;"",$K22="",$R22=""),IF(TODAY()-$J22&gt;2,"⚑",""),"")</f>
        <v/>
      </c>
      <c r="Y22" s="34" t="str">
        <f aca="true">IF(AND($G22&lt;&gt;"",$M22="",$R22=""),IF(AND($G22-TODAY()&lt;=14,$G22&gt;=TODAY()),"⚑",""),"")</f>
        <v/>
      </c>
      <c r="Z22" s="34" t="str">
        <f aca="true">IF(AND($G22&lt;&gt;"",$P22="",$R22=""),IF(TODAY()&gt;$G22,"⚑",""),"")</f>
        <v/>
      </c>
      <c r="AA22" s="34" t="str">
        <f aca="true">IF(AND($E22&lt;&gt;"",$P22="",$R22=""),IF(TODAY()-MAX($E22,$H22,$M22,$S22)&gt;7,"⚑",""),"")</f>
        <v/>
      </c>
      <c r="AB22" s="34" t="str">
        <f aca="false">IF(OR($P22="",$G22=""),"",IF($P22&lt;=$G22,"Có","Không"))</f>
        <v/>
      </c>
      <c r="AC22" s="34" t="str">
        <f aca="false">IF(OR($P22="",$E22=""),"",$P22-$E22)</f>
        <v/>
      </c>
      <c r="AD22" s="35" t="str">
        <f aca="false">IF($A22="","",COUNTIF(CASE!$B$3:$B$202,$A22))</f>
        <v/>
      </c>
      <c r="AE22" s="34" t="str">
        <f aca="false">IF(OR($I22="",$E22=""),"",$I22-$E22)</f>
        <v/>
      </c>
      <c r="AF22" s="34" t="str">
        <f aca="false">IF(OR($K22="",$I22=""),"",$K22-$I22)</f>
        <v/>
      </c>
      <c r="AG22" s="34" t="str">
        <f aca="false">IF(OR($L22="",$K22=""),"",$L22-$K22)</f>
        <v/>
      </c>
      <c r="AH22" s="34" t="str">
        <f aca="false">IF(OR($M22="",$L22=""),"",$M22-$L22)</f>
        <v/>
      </c>
      <c r="AI22" s="34" t="str">
        <f aca="false">IF(OR($P22="",$M22=""),"",$P22-$M22)</f>
        <v/>
      </c>
    </row>
    <row r="23" customFormat="false" ht="15" hidden="false" customHeight="false" outlineLevel="0" collapsed="false">
      <c r="A23" s="29"/>
      <c r="B23" s="29"/>
      <c r="C23" s="29"/>
      <c r="D23" s="30"/>
      <c r="E23" s="31"/>
      <c r="F23" s="32" t="str">
        <f aca="false">IF($E23="","",$E23+7*IFERROR(VLOOKUP($B23,DS!$K$2:$M$4,2,FALSE()),12))</f>
        <v/>
      </c>
      <c r="G23" s="32" t="str">
        <f aca="false">IF($E23="","",$E23+7*IFERROR(VLOOKUP($B23,DS!$K$2:$M$4,3,FALSE()),12))</f>
        <v/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3" t="str">
        <f aca="false">IF($A23="","",IF($R23&lt;&gt;"","95 Hủy/hoàn",IF($Q23&lt;&gt;"","99 Đóng",IF($P23&lt;&gt;"","90 Đã giao",IF($O23&lt;&gt;"","80 Đang giao",IF($N23&lt;&gt;"","70 Thông quan",IF($M23&lt;&gt;"","60 Đã xuất",IF($L23&lt;&gt;"","50 QC đạt",IF($K23&lt;&gt;"","40 NCC đã gửi",IF($I23&lt;&gt;"","30 Đã đặt NCC",IF($H23&lt;&gt;"","20 Đã xác nhận","10 Mới")))))))))))</f>
        <v/>
      </c>
      <c r="U23" s="33" t="str">
        <f aca="false">IF($T23="","",IFERROR(VLOOKUP($T23,DS!$A$2:$B$12,2,FALSE()),""))</f>
        <v/>
      </c>
      <c r="V23" s="34" t="str">
        <f aca="true">IF(OR($T23="",LEFT($T23,2)="99",LEFT($T23,2)="95"),"",TODAY()-MAX($E23,$H23:$P23))</f>
        <v/>
      </c>
      <c r="W23" s="34" t="str">
        <f aca="true">IF(AND($E23&lt;&gt;"",$I23="",$R23=""),IF(TODAY()-$E23&gt;1,"⚑",""),"")</f>
        <v/>
      </c>
      <c r="X23" s="34" t="str">
        <f aca="true">IF(AND($J23&lt;&gt;"",$K23="",$R23=""),IF(TODAY()-$J23&gt;2,"⚑",""),"")</f>
        <v/>
      </c>
      <c r="Y23" s="34" t="str">
        <f aca="true">IF(AND($G23&lt;&gt;"",$M23="",$R23=""),IF(AND($G23-TODAY()&lt;=14,$G23&gt;=TODAY()),"⚑",""),"")</f>
        <v/>
      </c>
      <c r="Z23" s="34" t="str">
        <f aca="true">IF(AND($G23&lt;&gt;"",$P23="",$R23=""),IF(TODAY()&gt;$G23,"⚑",""),"")</f>
        <v/>
      </c>
      <c r="AA23" s="34" t="str">
        <f aca="true">IF(AND($E23&lt;&gt;"",$P23="",$R23=""),IF(TODAY()-MAX($E23,$H23,$M23,$S23)&gt;7,"⚑",""),"")</f>
        <v/>
      </c>
      <c r="AB23" s="34" t="str">
        <f aca="false">IF(OR($P23="",$G23=""),"",IF($P23&lt;=$G23,"Có","Không"))</f>
        <v/>
      </c>
      <c r="AC23" s="34" t="str">
        <f aca="false">IF(OR($P23="",$E23=""),"",$P23-$E23)</f>
        <v/>
      </c>
      <c r="AD23" s="35" t="str">
        <f aca="false">IF($A23="","",COUNTIF(CASE!$B$3:$B$202,$A23))</f>
        <v/>
      </c>
      <c r="AE23" s="34" t="str">
        <f aca="false">IF(OR($I23="",$E23=""),"",$I23-$E23)</f>
        <v/>
      </c>
      <c r="AF23" s="34" t="str">
        <f aca="false">IF(OR($K23="",$I23=""),"",$K23-$I23)</f>
        <v/>
      </c>
      <c r="AG23" s="34" t="str">
        <f aca="false">IF(OR($L23="",$K23=""),"",$L23-$K23)</f>
        <v/>
      </c>
      <c r="AH23" s="34" t="str">
        <f aca="false">IF(OR($M23="",$L23=""),"",$M23-$L23)</f>
        <v/>
      </c>
      <c r="AI23" s="34" t="str">
        <f aca="false">IF(OR($P23="",$M23=""),"",$P23-$M23)</f>
        <v/>
      </c>
    </row>
    <row r="24" customFormat="false" ht="15" hidden="false" customHeight="false" outlineLevel="0" collapsed="false">
      <c r="A24" s="29"/>
      <c r="B24" s="29"/>
      <c r="C24" s="29"/>
      <c r="D24" s="30"/>
      <c r="E24" s="31"/>
      <c r="F24" s="32" t="str">
        <f aca="false">IF($E24="","",$E24+7*IFERROR(VLOOKUP($B24,DS!$K$2:$M$4,2,FALSE()),12))</f>
        <v/>
      </c>
      <c r="G24" s="32" t="str">
        <f aca="false">IF($E24="","",$E24+7*IFERROR(VLOOKUP($B24,DS!$K$2:$M$4,3,FALSE()),12))</f>
        <v/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3" t="str">
        <f aca="false">IF($A24="","",IF($R24&lt;&gt;"","95 Hủy/hoàn",IF($Q24&lt;&gt;"","99 Đóng",IF($P24&lt;&gt;"","90 Đã giao",IF($O24&lt;&gt;"","80 Đang giao",IF($N24&lt;&gt;"","70 Thông quan",IF($M24&lt;&gt;"","60 Đã xuất",IF($L24&lt;&gt;"","50 QC đạt",IF($K24&lt;&gt;"","40 NCC đã gửi",IF($I24&lt;&gt;"","30 Đã đặt NCC",IF($H24&lt;&gt;"","20 Đã xác nhận","10 Mới")))))))))))</f>
        <v/>
      </c>
      <c r="U24" s="33" t="str">
        <f aca="false">IF($T24="","",IFERROR(VLOOKUP($T24,DS!$A$2:$B$12,2,FALSE()),""))</f>
        <v/>
      </c>
      <c r="V24" s="34" t="str">
        <f aca="true">IF(OR($T24="",LEFT($T24,2)="99",LEFT($T24,2)="95"),"",TODAY()-MAX($E24,$H24:$P24))</f>
        <v/>
      </c>
      <c r="W24" s="34" t="str">
        <f aca="true">IF(AND($E24&lt;&gt;"",$I24="",$R24=""),IF(TODAY()-$E24&gt;1,"⚑",""),"")</f>
        <v/>
      </c>
      <c r="X24" s="34" t="str">
        <f aca="true">IF(AND($J24&lt;&gt;"",$K24="",$R24=""),IF(TODAY()-$J24&gt;2,"⚑",""),"")</f>
        <v/>
      </c>
      <c r="Y24" s="34" t="str">
        <f aca="true">IF(AND($G24&lt;&gt;"",$M24="",$R24=""),IF(AND($G24-TODAY()&lt;=14,$G24&gt;=TODAY()),"⚑",""),"")</f>
        <v/>
      </c>
      <c r="Z24" s="34" t="str">
        <f aca="true">IF(AND($G24&lt;&gt;"",$P24="",$R24=""),IF(TODAY()&gt;$G24,"⚑",""),"")</f>
        <v/>
      </c>
      <c r="AA24" s="34" t="str">
        <f aca="true">IF(AND($E24&lt;&gt;"",$P24="",$R24=""),IF(TODAY()-MAX($E24,$H24,$M24,$S24)&gt;7,"⚑",""),"")</f>
        <v/>
      </c>
      <c r="AB24" s="34" t="str">
        <f aca="false">IF(OR($P24="",$G24=""),"",IF($P24&lt;=$G24,"Có","Không"))</f>
        <v/>
      </c>
      <c r="AC24" s="34" t="str">
        <f aca="false">IF(OR($P24="",$E24=""),"",$P24-$E24)</f>
        <v/>
      </c>
      <c r="AD24" s="35" t="str">
        <f aca="false">IF($A24="","",COUNTIF(CASE!$B$3:$B$202,$A24))</f>
        <v/>
      </c>
      <c r="AE24" s="34" t="str">
        <f aca="false">IF(OR($I24="",$E24=""),"",$I24-$E24)</f>
        <v/>
      </c>
      <c r="AF24" s="34" t="str">
        <f aca="false">IF(OR($K24="",$I24=""),"",$K24-$I24)</f>
        <v/>
      </c>
      <c r="AG24" s="34" t="str">
        <f aca="false">IF(OR($L24="",$K24=""),"",$L24-$K24)</f>
        <v/>
      </c>
      <c r="AH24" s="34" t="str">
        <f aca="false">IF(OR($M24="",$L24=""),"",$M24-$L24)</f>
        <v/>
      </c>
      <c r="AI24" s="34" t="str">
        <f aca="false">IF(OR($P24="",$M24=""),"",$P24-$M24)</f>
        <v/>
      </c>
    </row>
    <row r="25" customFormat="false" ht="15" hidden="false" customHeight="false" outlineLevel="0" collapsed="false">
      <c r="A25" s="29"/>
      <c r="B25" s="29"/>
      <c r="C25" s="29"/>
      <c r="D25" s="30"/>
      <c r="E25" s="31"/>
      <c r="F25" s="32" t="str">
        <f aca="false">IF($E25="","",$E25+7*IFERROR(VLOOKUP($B25,DS!$K$2:$M$4,2,FALSE()),12))</f>
        <v/>
      </c>
      <c r="G25" s="32" t="str">
        <f aca="false">IF($E25="","",$E25+7*IFERROR(VLOOKUP($B25,DS!$K$2:$M$4,3,FALSE()),12))</f>
        <v/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3" t="str">
        <f aca="false">IF($A25="","",IF($R25&lt;&gt;"","95 Hủy/hoàn",IF($Q25&lt;&gt;"","99 Đóng",IF($P25&lt;&gt;"","90 Đã giao",IF($O25&lt;&gt;"","80 Đang giao",IF($N25&lt;&gt;"","70 Thông quan",IF($M25&lt;&gt;"","60 Đã xuất",IF($L25&lt;&gt;"","50 QC đạt",IF($K25&lt;&gt;"","40 NCC đã gửi",IF($I25&lt;&gt;"","30 Đã đặt NCC",IF($H25&lt;&gt;"","20 Đã xác nhận","10 Mới")))))))))))</f>
        <v/>
      </c>
      <c r="U25" s="33" t="str">
        <f aca="false">IF($T25="","",IFERROR(VLOOKUP($T25,DS!$A$2:$B$12,2,FALSE()),""))</f>
        <v/>
      </c>
      <c r="V25" s="34" t="str">
        <f aca="true">IF(OR($T25="",LEFT($T25,2)="99",LEFT($T25,2)="95"),"",TODAY()-MAX($E25,$H25:$P25))</f>
        <v/>
      </c>
      <c r="W25" s="34" t="str">
        <f aca="true">IF(AND($E25&lt;&gt;"",$I25="",$R25=""),IF(TODAY()-$E25&gt;1,"⚑",""),"")</f>
        <v/>
      </c>
      <c r="X25" s="34" t="str">
        <f aca="true">IF(AND($J25&lt;&gt;"",$K25="",$R25=""),IF(TODAY()-$J25&gt;2,"⚑",""),"")</f>
        <v/>
      </c>
      <c r="Y25" s="34" t="str">
        <f aca="true">IF(AND($G25&lt;&gt;"",$M25="",$R25=""),IF(AND($G25-TODAY()&lt;=14,$G25&gt;=TODAY()),"⚑",""),"")</f>
        <v/>
      </c>
      <c r="Z25" s="34" t="str">
        <f aca="true">IF(AND($G25&lt;&gt;"",$P25="",$R25=""),IF(TODAY()&gt;$G25,"⚑",""),"")</f>
        <v/>
      </c>
      <c r="AA25" s="34" t="str">
        <f aca="true">IF(AND($E25&lt;&gt;"",$P25="",$R25=""),IF(TODAY()-MAX($E25,$H25,$M25,$S25)&gt;7,"⚑",""),"")</f>
        <v/>
      </c>
      <c r="AB25" s="34" t="str">
        <f aca="false">IF(OR($P25="",$G25=""),"",IF($P25&lt;=$G25,"Có","Không"))</f>
        <v/>
      </c>
      <c r="AC25" s="34" t="str">
        <f aca="false">IF(OR($P25="",$E25=""),"",$P25-$E25)</f>
        <v/>
      </c>
      <c r="AD25" s="35" t="str">
        <f aca="false">IF($A25="","",COUNTIF(CASE!$B$3:$B$202,$A25))</f>
        <v/>
      </c>
      <c r="AE25" s="34" t="str">
        <f aca="false">IF(OR($I25="",$E25=""),"",$I25-$E25)</f>
        <v/>
      </c>
      <c r="AF25" s="34" t="str">
        <f aca="false">IF(OR($K25="",$I25=""),"",$K25-$I25)</f>
        <v/>
      </c>
      <c r="AG25" s="34" t="str">
        <f aca="false">IF(OR($L25="",$K25=""),"",$L25-$K25)</f>
        <v/>
      </c>
      <c r="AH25" s="34" t="str">
        <f aca="false">IF(OR($M25="",$L25=""),"",$M25-$L25)</f>
        <v/>
      </c>
      <c r="AI25" s="34" t="str">
        <f aca="false">IF(OR($P25="",$M25=""),"",$P25-$M25)</f>
        <v/>
      </c>
    </row>
    <row r="26" customFormat="false" ht="15" hidden="false" customHeight="false" outlineLevel="0" collapsed="false">
      <c r="A26" s="29"/>
      <c r="B26" s="29"/>
      <c r="C26" s="29"/>
      <c r="D26" s="30"/>
      <c r="E26" s="31"/>
      <c r="F26" s="32" t="str">
        <f aca="false">IF($E26="","",$E26+7*IFERROR(VLOOKUP($B26,DS!$K$2:$M$4,2,FALSE()),12))</f>
        <v/>
      </c>
      <c r="G26" s="32" t="str">
        <f aca="false">IF($E26="","",$E26+7*IFERROR(VLOOKUP($B26,DS!$K$2:$M$4,3,FALSE()),12))</f>
        <v/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3" t="str">
        <f aca="false">IF($A26="","",IF($R26&lt;&gt;"","95 Hủy/hoàn",IF($Q26&lt;&gt;"","99 Đóng",IF($P26&lt;&gt;"","90 Đã giao",IF($O26&lt;&gt;"","80 Đang giao",IF($N26&lt;&gt;"","70 Thông quan",IF($M26&lt;&gt;"","60 Đã xuất",IF($L26&lt;&gt;"","50 QC đạt",IF($K26&lt;&gt;"","40 NCC đã gửi",IF($I26&lt;&gt;"","30 Đã đặt NCC",IF($H26&lt;&gt;"","20 Đã xác nhận","10 Mới")))))))))))</f>
        <v/>
      </c>
      <c r="U26" s="33" t="str">
        <f aca="false">IF($T26="","",IFERROR(VLOOKUP($T26,DS!$A$2:$B$12,2,FALSE()),""))</f>
        <v/>
      </c>
      <c r="V26" s="34" t="str">
        <f aca="true">IF(OR($T26="",LEFT($T26,2)="99",LEFT($T26,2)="95"),"",TODAY()-MAX($E26,$H26:$P26))</f>
        <v/>
      </c>
      <c r="W26" s="34" t="str">
        <f aca="true">IF(AND($E26&lt;&gt;"",$I26="",$R26=""),IF(TODAY()-$E26&gt;1,"⚑",""),"")</f>
        <v/>
      </c>
      <c r="X26" s="34" t="str">
        <f aca="true">IF(AND($J26&lt;&gt;"",$K26="",$R26=""),IF(TODAY()-$J26&gt;2,"⚑",""),"")</f>
        <v/>
      </c>
      <c r="Y26" s="34" t="str">
        <f aca="true">IF(AND($G26&lt;&gt;"",$M26="",$R26=""),IF(AND($G26-TODAY()&lt;=14,$G26&gt;=TODAY()),"⚑",""),"")</f>
        <v/>
      </c>
      <c r="Z26" s="34" t="str">
        <f aca="true">IF(AND($G26&lt;&gt;"",$P26="",$R26=""),IF(TODAY()&gt;$G26,"⚑",""),"")</f>
        <v/>
      </c>
      <c r="AA26" s="34" t="str">
        <f aca="true">IF(AND($E26&lt;&gt;"",$P26="",$R26=""),IF(TODAY()-MAX($E26,$H26,$M26,$S26)&gt;7,"⚑",""),"")</f>
        <v/>
      </c>
      <c r="AB26" s="34" t="str">
        <f aca="false">IF(OR($P26="",$G26=""),"",IF($P26&lt;=$G26,"Có","Không"))</f>
        <v/>
      </c>
      <c r="AC26" s="34" t="str">
        <f aca="false">IF(OR($P26="",$E26=""),"",$P26-$E26)</f>
        <v/>
      </c>
      <c r="AD26" s="35" t="str">
        <f aca="false">IF($A26="","",COUNTIF(CASE!$B$3:$B$202,$A26))</f>
        <v/>
      </c>
      <c r="AE26" s="34" t="str">
        <f aca="false">IF(OR($I26="",$E26=""),"",$I26-$E26)</f>
        <v/>
      </c>
      <c r="AF26" s="34" t="str">
        <f aca="false">IF(OR($K26="",$I26=""),"",$K26-$I26)</f>
        <v/>
      </c>
      <c r="AG26" s="34" t="str">
        <f aca="false">IF(OR($L26="",$K26=""),"",$L26-$K26)</f>
        <v/>
      </c>
      <c r="AH26" s="34" t="str">
        <f aca="false">IF(OR($M26="",$L26=""),"",$M26-$L26)</f>
        <v/>
      </c>
      <c r="AI26" s="34" t="str">
        <f aca="false">IF(OR($P26="",$M26=""),"",$P26-$M26)</f>
        <v/>
      </c>
    </row>
    <row r="27" customFormat="false" ht="15" hidden="false" customHeight="false" outlineLevel="0" collapsed="false">
      <c r="A27" s="29"/>
      <c r="B27" s="29"/>
      <c r="C27" s="29"/>
      <c r="D27" s="30"/>
      <c r="E27" s="31"/>
      <c r="F27" s="32" t="str">
        <f aca="false">IF($E27="","",$E27+7*IFERROR(VLOOKUP($B27,DS!$K$2:$M$4,2,FALSE()),12))</f>
        <v/>
      </c>
      <c r="G27" s="32" t="str">
        <f aca="false">IF($E27="","",$E27+7*IFERROR(VLOOKUP($B27,DS!$K$2:$M$4,3,FALSE()),12))</f>
        <v/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3" t="str">
        <f aca="false">IF($A27="","",IF($R27&lt;&gt;"","95 Hủy/hoàn",IF($Q27&lt;&gt;"","99 Đóng",IF($P27&lt;&gt;"","90 Đã giao",IF($O27&lt;&gt;"","80 Đang giao",IF($N27&lt;&gt;"","70 Thông quan",IF($M27&lt;&gt;"","60 Đã xuất",IF($L27&lt;&gt;"","50 QC đạt",IF($K27&lt;&gt;"","40 NCC đã gửi",IF($I27&lt;&gt;"","30 Đã đặt NCC",IF($H27&lt;&gt;"","20 Đã xác nhận","10 Mới")))))))))))</f>
        <v/>
      </c>
      <c r="U27" s="33" t="str">
        <f aca="false">IF($T27="","",IFERROR(VLOOKUP($T27,DS!$A$2:$B$12,2,FALSE()),""))</f>
        <v/>
      </c>
      <c r="V27" s="34" t="str">
        <f aca="true">IF(OR($T27="",LEFT($T27,2)="99",LEFT($T27,2)="95"),"",TODAY()-MAX($E27,$H27:$P27))</f>
        <v/>
      </c>
      <c r="W27" s="34" t="str">
        <f aca="true">IF(AND($E27&lt;&gt;"",$I27="",$R27=""),IF(TODAY()-$E27&gt;1,"⚑",""),"")</f>
        <v/>
      </c>
      <c r="X27" s="34" t="str">
        <f aca="true">IF(AND($J27&lt;&gt;"",$K27="",$R27=""),IF(TODAY()-$J27&gt;2,"⚑",""),"")</f>
        <v/>
      </c>
      <c r="Y27" s="34" t="str">
        <f aca="true">IF(AND($G27&lt;&gt;"",$M27="",$R27=""),IF(AND($G27-TODAY()&lt;=14,$G27&gt;=TODAY()),"⚑",""),"")</f>
        <v/>
      </c>
      <c r="Z27" s="34" t="str">
        <f aca="true">IF(AND($G27&lt;&gt;"",$P27="",$R27=""),IF(TODAY()&gt;$G27,"⚑",""),"")</f>
        <v/>
      </c>
      <c r="AA27" s="34" t="str">
        <f aca="true">IF(AND($E27&lt;&gt;"",$P27="",$R27=""),IF(TODAY()-MAX($E27,$H27,$M27,$S27)&gt;7,"⚑",""),"")</f>
        <v/>
      </c>
      <c r="AB27" s="34" t="str">
        <f aca="false">IF(OR($P27="",$G27=""),"",IF($P27&lt;=$G27,"Có","Không"))</f>
        <v/>
      </c>
      <c r="AC27" s="34" t="str">
        <f aca="false">IF(OR($P27="",$E27=""),"",$P27-$E27)</f>
        <v/>
      </c>
      <c r="AD27" s="35" t="str">
        <f aca="false">IF($A27="","",COUNTIF(CASE!$B$3:$B$202,$A27))</f>
        <v/>
      </c>
      <c r="AE27" s="34" t="str">
        <f aca="false">IF(OR($I27="",$E27=""),"",$I27-$E27)</f>
        <v/>
      </c>
      <c r="AF27" s="34" t="str">
        <f aca="false">IF(OR($K27="",$I27=""),"",$K27-$I27)</f>
        <v/>
      </c>
      <c r="AG27" s="34" t="str">
        <f aca="false">IF(OR($L27="",$K27=""),"",$L27-$K27)</f>
        <v/>
      </c>
      <c r="AH27" s="34" t="str">
        <f aca="false">IF(OR($M27="",$L27=""),"",$M27-$L27)</f>
        <v/>
      </c>
      <c r="AI27" s="34" t="str">
        <f aca="false">IF(OR($P27="",$M27=""),"",$P27-$M27)</f>
        <v/>
      </c>
    </row>
    <row r="28" customFormat="false" ht="15" hidden="false" customHeight="false" outlineLevel="0" collapsed="false">
      <c r="A28" s="29"/>
      <c r="B28" s="29"/>
      <c r="C28" s="29"/>
      <c r="D28" s="30"/>
      <c r="E28" s="31"/>
      <c r="F28" s="32" t="str">
        <f aca="false">IF($E28="","",$E28+7*IFERROR(VLOOKUP($B28,DS!$K$2:$M$4,2,FALSE()),12))</f>
        <v/>
      </c>
      <c r="G28" s="32" t="str">
        <f aca="false">IF($E28="","",$E28+7*IFERROR(VLOOKUP($B28,DS!$K$2:$M$4,3,FALSE()),12))</f>
        <v/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3" t="str">
        <f aca="false">IF($A28="","",IF($R28&lt;&gt;"","95 Hủy/hoàn",IF($Q28&lt;&gt;"","99 Đóng",IF($P28&lt;&gt;"","90 Đã giao",IF($O28&lt;&gt;"","80 Đang giao",IF($N28&lt;&gt;"","70 Thông quan",IF($M28&lt;&gt;"","60 Đã xuất",IF($L28&lt;&gt;"","50 QC đạt",IF($K28&lt;&gt;"","40 NCC đã gửi",IF($I28&lt;&gt;"","30 Đã đặt NCC",IF($H28&lt;&gt;"","20 Đã xác nhận","10 Mới")))))))))))</f>
        <v/>
      </c>
      <c r="U28" s="33" t="str">
        <f aca="false">IF($T28="","",IFERROR(VLOOKUP($T28,DS!$A$2:$B$12,2,FALSE()),""))</f>
        <v/>
      </c>
      <c r="V28" s="34" t="str">
        <f aca="true">IF(OR($T28="",LEFT($T28,2)="99",LEFT($T28,2)="95"),"",TODAY()-MAX($E28,$H28:$P28))</f>
        <v/>
      </c>
      <c r="W28" s="34" t="str">
        <f aca="true">IF(AND($E28&lt;&gt;"",$I28="",$R28=""),IF(TODAY()-$E28&gt;1,"⚑",""),"")</f>
        <v/>
      </c>
      <c r="X28" s="34" t="str">
        <f aca="true">IF(AND($J28&lt;&gt;"",$K28="",$R28=""),IF(TODAY()-$J28&gt;2,"⚑",""),"")</f>
        <v/>
      </c>
      <c r="Y28" s="34" t="str">
        <f aca="true">IF(AND($G28&lt;&gt;"",$M28="",$R28=""),IF(AND($G28-TODAY()&lt;=14,$G28&gt;=TODAY()),"⚑",""),"")</f>
        <v/>
      </c>
      <c r="Z28" s="34" t="str">
        <f aca="true">IF(AND($G28&lt;&gt;"",$P28="",$R28=""),IF(TODAY()&gt;$G28,"⚑",""),"")</f>
        <v/>
      </c>
      <c r="AA28" s="34" t="str">
        <f aca="true">IF(AND($E28&lt;&gt;"",$P28="",$R28=""),IF(TODAY()-MAX($E28,$H28,$M28,$S28)&gt;7,"⚑",""),"")</f>
        <v/>
      </c>
      <c r="AB28" s="34" t="str">
        <f aca="false">IF(OR($P28="",$G28=""),"",IF($P28&lt;=$G28,"Có","Không"))</f>
        <v/>
      </c>
      <c r="AC28" s="34" t="str">
        <f aca="false">IF(OR($P28="",$E28=""),"",$P28-$E28)</f>
        <v/>
      </c>
      <c r="AD28" s="35" t="str">
        <f aca="false">IF($A28="","",COUNTIF(CASE!$B$3:$B$202,$A28))</f>
        <v/>
      </c>
      <c r="AE28" s="34" t="str">
        <f aca="false">IF(OR($I28="",$E28=""),"",$I28-$E28)</f>
        <v/>
      </c>
      <c r="AF28" s="34" t="str">
        <f aca="false">IF(OR($K28="",$I28=""),"",$K28-$I28)</f>
        <v/>
      </c>
      <c r="AG28" s="34" t="str">
        <f aca="false">IF(OR($L28="",$K28=""),"",$L28-$K28)</f>
        <v/>
      </c>
      <c r="AH28" s="34" t="str">
        <f aca="false">IF(OR($M28="",$L28=""),"",$M28-$L28)</f>
        <v/>
      </c>
      <c r="AI28" s="34" t="str">
        <f aca="false">IF(OR($P28="",$M28=""),"",$P28-$M28)</f>
        <v/>
      </c>
    </row>
    <row r="29" customFormat="false" ht="15" hidden="false" customHeight="false" outlineLevel="0" collapsed="false">
      <c r="A29" s="29"/>
      <c r="B29" s="29"/>
      <c r="C29" s="29"/>
      <c r="D29" s="30"/>
      <c r="E29" s="31"/>
      <c r="F29" s="32" t="str">
        <f aca="false">IF($E29="","",$E29+7*IFERROR(VLOOKUP($B29,DS!$K$2:$M$4,2,FALSE()),12))</f>
        <v/>
      </c>
      <c r="G29" s="32" t="str">
        <f aca="false">IF($E29="","",$E29+7*IFERROR(VLOOKUP($B29,DS!$K$2:$M$4,3,FALSE()),12))</f>
        <v/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3" t="str">
        <f aca="false">IF($A29="","",IF($R29&lt;&gt;"","95 Hủy/hoàn",IF($Q29&lt;&gt;"","99 Đóng",IF($P29&lt;&gt;"","90 Đã giao",IF($O29&lt;&gt;"","80 Đang giao",IF($N29&lt;&gt;"","70 Thông quan",IF($M29&lt;&gt;"","60 Đã xuất",IF($L29&lt;&gt;"","50 QC đạt",IF($K29&lt;&gt;"","40 NCC đã gửi",IF($I29&lt;&gt;"","30 Đã đặt NCC",IF($H29&lt;&gt;"","20 Đã xác nhận","10 Mới")))))))))))</f>
        <v/>
      </c>
      <c r="U29" s="33" t="str">
        <f aca="false">IF($T29="","",IFERROR(VLOOKUP($T29,DS!$A$2:$B$12,2,FALSE()),""))</f>
        <v/>
      </c>
      <c r="V29" s="34" t="str">
        <f aca="true">IF(OR($T29="",LEFT($T29,2)="99",LEFT($T29,2)="95"),"",TODAY()-MAX($E29,$H29:$P29))</f>
        <v/>
      </c>
      <c r="W29" s="34" t="str">
        <f aca="true">IF(AND($E29&lt;&gt;"",$I29="",$R29=""),IF(TODAY()-$E29&gt;1,"⚑",""),"")</f>
        <v/>
      </c>
      <c r="X29" s="34" t="str">
        <f aca="true">IF(AND($J29&lt;&gt;"",$K29="",$R29=""),IF(TODAY()-$J29&gt;2,"⚑",""),"")</f>
        <v/>
      </c>
      <c r="Y29" s="34" t="str">
        <f aca="true">IF(AND($G29&lt;&gt;"",$M29="",$R29=""),IF(AND($G29-TODAY()&lt;=14,$G29&gt;=TODAY()),"⚑",""),"")</f>
        <v/>
      </c>
      <c r="Z29" s="34" t="str">
        <f aca="true">IF(AND($G29&lt;&gt;"",$P29="",$R29=""),IF(TODAY()&gt;$G29,"⚑",""),"")</f>
        <v/>
      </c>
      <c r="AA29" s="34" t="str">
        <f aca="true">IF(AND($E29&lt;&gt;"",$P29="",$R29=""),IF(TODAY()-MAX($E29,$H29,$M29,$S29)&gt;7,"⚑",""),"")</f>
        <v/>
      </c>
      <c r="AB29" s="34" t="str">
        <f aca="false">IF(OR($P29="",$G29=""),"",IF($P29&lt;=$G29,"Có","Không"))</f>
        <v/>
      </c>
      <c r="AC29" s="34" t="str">
        <f aca="false">IF(OR($P29="",$E29=""),"",$P29-$E29)</f>
        <v/>
      </c>
      <c r="AD29" s="35" t="str">
        <f aca="false">IF($A29="","",COUNTIF(CASE!$B$3:$B$202,$A29))</f>
        <v/>
      </c>
      <c r="AE29" s="34" t="str">
        <f aca="false">IF(OR($I29="",$E29=""),"",$I29-$E29)</f>
        <v/>
      </c>
      <c r="AF29" s="34" t="str">
        <f aca="false">IF(OR($K29="",$I29=""),"",$K29-$I29)</f>
        <v/>
      </c>
      <c r="AG29" s="34" t="str">
        <f aca="false">IF(OR($L29="",$K29=""),"",$L29-$K29)</f>
        <v/>
      </c>
      <c r="AH29" s="34" t="str">
        <f aca="false">IF(OR($M29="",$L29=""),"",$M29-$L29)</f>
        <v/>
      </c>
      <c r="AI29" s="34" t="str">
        <f aca="false">IF(OR($P29="",$M29=""),"",$P29-$M29)</f>
        <v/>
      </c>
    </row>
    <row r="30" customFormat="false" ht="15" hidden="false" customHeight="false" outlineLevel="0" collapsed="false">
      <c r="A30" s="29"/>
      <c r="B30" s="29"/>
      <c r="C30" s="29"/>
      <c r="D30" s="30"/>
      <c r="E30" s="31"/>
      <c r="F30" s="32" t="str">
        <f aca="false">IF($E30="","",$E30+7*IFERROR(VLOOKUP($B30,DS!$K$2:$M$4,2,FALSE()),12))</f>
        <v/>
      </c>
      <c r="G30" s="32" t="str">
        <f aca="false">IF($E30="","",$E30+7*IFERROR(VLOOKUP($B30,DS!$K$2:$M$4,3,FALSE()),12))</f>
        <v/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3" t="str">
        <f aca="false">IF($A30="","",IF($R30&lt;&gt;"","95 Hủy/hoàn",IF($Q30&lt;&gt;"","99 Đóng",IF($P30&lt;&gt;"","90 Đã giao",IF($O30&lt;&gt;"","80 Đang giao",IF($N30&lt;&gt;"","70 Thông quan",IF($M30&lt;&gt;"","60 Đã xuất",IF($L30&lt;&gt;"","50 QC đạt",IF($K30&lt;&gt;"","40 NCC đã gửi",IF($I30&lt;&gt;"","30 Đã đặt NCC",IF($H30&lt;&gt;"","20 Đã xác nhận","10 Mới")))))))))))</f>
        <v/>
      </c>
      <c r="U30" s="33" t="str">
        <f aca="false">IF($T30="","",IFERROR(VLOOKUP($T30,DS!$A$2:$B$12,2,FALSE()),""))</f>
        <v/>
      </c>
      <c r="V30" s="34" t="str">
        <f aca="true">IF(OR($T30="",LEFT($T30,2)="99",LEFT($T30,2)="95"),"",TODAY()-MAX($E30,$H30:$P30))</f>
        <v/>
      </c>
      <c r="W30" s="34" t="str">
        <f aca="true">IF(AND($E30&lt;&gt;"",$I30="",$R30=""),IF(TODAY()-$E30&gt;1,"⚑",""),"")</f>
        <v/>
      </c>
      <c r="X30" s="34" t="str">
        <f aca="true">IF(AND($J30&lt;&gt;"",$K30="",$R30=""),IF(TODAY()-$J30&gt;2,"⚑",""),"")</f>
        <v/>
      </c>
      <c r="Y30" s="34" t="str">
        <f aca="true">IF(AND($G30&lt;&gt;"",$M30="",$R30=""),IF(AND($G30-TODAY()&lt;=14,$G30&gt;=TODAY()),"⚑",""),"")</f>
        <v/>
      </c>
      <c r="Z30" s="34" t="str">
        <f aca="true">IF(AND($G30&lt;&gt;"",$P30="",$R30=""),IF(TODAY()&gt;$G30,"⚑",""),"")</f>
        <v/>
      </c>
      <c r="AA30" s="34" t="str">
        <f aca="true">IF(AND($E30&lt;&gt;"",$P30="",$R30=""),IF(TODAY()-MAX($E30,$H30,$M30,$S30)&gt;7,"⚑",""),"")</f>
        <v/>
      </c>
      <c r="AB30" s="34" t="str">
        <f aca="false">IF(OR($P30="",$G30=""),"",IF($P30&lt;=$G30,"Có","Không"))</f>
        <v/>
      </c>
      <c r="AC30" s="34" t="str">
        <f aca="false">IF(OR($P30="",$E30=""),"",$P30-$E30)</f>
        <v/>
      </c>
      <c r="AD30" s="35" t="str">
        <f aca="false">IF($A30="","",COUNTIF(CASE!$B$3:$B$202,$A30))</f>
        <v/>
      </c>
      <c r="AE30" s="34" t="str">
        <f aca="false">IF(OR($I30="",$E30=""),"",$I30-$E30)</f>
        <v/>
      </c>
      <c r="AF30" s="34" t="str">
        <f aca="false">IF(OR($K30="",$I30=""),"",$K30-$I30)</f>
        <v/>
      </c>
      <c r="AG30" s="34" t="str">
        <f aca="false">IF(OR($L30="",$K30=""),"",$L30-$K30)</f>
        <v/>
      </c>
      <c r="AH30" s="34" t="str">
        <f aca="false">IF(OR($M30="",$L30=""),"",$M30-$L30)</f>
        <v/>
      </c>
      <c r="AI30" s="34" t="str">
        <f aca="false">IF(OR($P30="",$M30=""),"",$P30-$M30)</f>
        <v/>
      </c>
    </row>
    <row r="31" customFormat="false" ht="15" hidden="false" customHeight="false" outlineLevel="0" collapsed="false">
      <c r="A31" s="29"/>
      <c r="B31" s="29"/>
      <c r="C31" s="29"/>
      <c r="D31" s="30"/>
      <c r="E31" s="31"/>
      <c r="F31" s="32" t="str">
        <f aca="false">IF($E31="","",$E31+7*IFERROR(VLOOKUP($B31,DS!$K$2:$M$4,2,FALSE()),12))</f>
        <v/>
      </c>
      <c r="G31" s="32" t="str">
        <f aca="false">IF($E31="","",$E31+7*IFERROR(VLOOKUP($B31,DS!$K$2:$M$4,3,FALSE()),12))</f>
        <v/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3" t="str">
        <f aca="false">IF($A31="","",IF($R31&lt;&gt;"","95 Hủy/hoàn",IF($Q31&lt;&gt;"","99 Đóng",IF($P31&lt;&gt;"","90 Đã giao",IF($O31&lt;&gt;"","80 Đang giao",IF($N31&lt;&gt;"","70 Thông quan",IF($M31&lt;&gt;"","60 Đã xuất",IF($L31&lt;&gt;"","50 QC đạt",IF($K31&lt;&gt;"","40 NCC đã gửi",IF($I31&lt;&gt;"","30 Đã đặt NCC",IF($H31&lt;&gt;"","20 Đã xác nhận","10 Mới")))))))))))</f>
        <v/>
      </c>
      <c r="U31" s="33" t="str">
        <f aca="false">IF($T31="","",IFERROR(VLOOKUP($T31,DS!$A$2:$B$12,2,FALSE()),""))</f>
        <v/>
      </c>
      <c r="V31" s="34" t="str">
        <f aca="true">IF(OR($T31="",LEFT($T31,2)="99",LEFT($T31,2)="95"),"",TODAY()-MAX($E31,$H31:$P31))</f>
        <v/>
      </c>
      <c r="W31" s="34" t="str">
        <f aca="true">IF(AND($E31&lt;&gt;"",$I31="",$R31=""),IF(TODAY()-$E31&gt;1,"⚑",""),"")</f>
        <v/>
      </c>
      <c r="X31" s="34" t="str">
        <f aca="true">IF(AND($J31&lt;&gt;"",$K31="",$R31=""),IF(TODAY()-$J31&gt;2,"⚑",""),"")</f>
        <v/>
      </c>
      <c r="Y31" s="34" t="str">
        <f aca="true">IF(AND($G31&lt;&gt;"",$M31="",$R31=""),IF(AND($G31-TODAY()&lt;=14,$G31&gt;=TODAY()),"⚑",""),"")</f>
        <v/>
      </c>
      <c r="Z31" s="34" t="str">
        <f aca="true">IF(AND($G31&lt;&gt;"",$P31="",$R31=""),IF(TODAY()&gt;$G31,"⚑",""),"")</f>
        <v/>
      </c>
      <c r="AA31" s="34" t="str">
        <f aca="true">IF(AND($E31&lt;&gt;"",$P31="",$R31=""),IF(TODAY()-MAX($E31,$H31,$M31,$S31)&gt;7,"⚑",""),"")</f>
        <v/>
      </c>
      <c r="AB31" s="34" t="str">
        <f aca="false">IF(OR($P31="",$G31=""),"",IF($P31&lt;=$G31,"Có","Không"))</f>
        <v/>
      </c>
      <c r="AC31" s="34" t="str">
        <f aca="false">IF(OR($P31="",$E31=""),"",$P31-$E31)</f>
        <v/>
      </c>
      <c r="AD31" s="35" t="str">
        <f aca="false">IF($A31="","",COUNTIF(CASE!$B$3:$B$202,$A31))</f>
        <v/>
      </c>
      <c r="AE31" s="34" t="str">
        <f aca="false">IF(OR($I31="",$E31=""),"",$I31-$E31)</f>
        <v/>
      </c>
      <c r="AF31" s="34" t="str">
        <f aca="false">IF(OR($K31="",$I31=""),"",$K31-$I31)</f>
        <v/>
      </c>
      <c r="AG31" s="34" t="str">
        <f aca="false">IF(OR($L31="",$K31=""),"",$L31-$K31)</f>
        <v/>
      </c>
      <c r="AH31" s="34" t="str">
        <f aca="false">IF(OR($M31="",$L31=""),"",$M31-$L31)</f>
        <v/>
      </c>
      <c r="AI31" s="34" t="str">
        <f aca="false">IF(OR($P31="",$M31=""),"",$P31-$M31)</f>
        <v/>
      </c>
    </row>
    <row r="32" customFormat="false" ht="15" hidden="false" customHeight="false" outlineLevel="0" collapsed="false">
      <c r="A32" s="29"/>
      <c r="B32" s="29"/>
      <c r="C32" s="29"/>
      <c r="D32" s="30"/>
      <c r="E32" s="31"/>
      <c r="F32" s="32" t="str">
        <f aca="false">IF($E32="","",$E32+7*IFERROR(VLOOKUP($B32,DS!$K$2:$M$4,2,FALSE()),12))</f>
        <v/>
      </c>
      <c r="G32" s="32" t="str">
        <f aca="false">IF($E32="","",$E32+7*IFERROR(VLOOKUP($B32,DS!$K$2:$M$4,3,FALSE()),12))</f>
        <v/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3" t="str">
        <f aca="false">IF($A32="","",IF($R32&lt;&gt;"","95 Hủy/hoàn",IF($Q32&lt;&gt;"","99 Đóng",IF($P32&lt;&gt;"","90 Đã giao",IF($O32&lt;&gt;"","80 Đang giao",IF($N32&lt;&gt;"","70 Thông quan",IF($M32&lt;&gt;"","60 Đã xuất",IF($L32&lt;&gt;"","50 QC đạt",IF($K32&lt;&gt;"","40 NCC đã gửi",IF($I32&lt;&gt;"","30 Đã đặt NCC",IF($H32&lt;&gt;"","20 Đã xác nhận","10 Mới")))))))))))</f>
        <v/>
      </c>
      <c r="U32" s="33" t="str">
        <f aca="false">IF($T32="","",IFERROR(VLOOKUP($T32,DS!$A$2:$B$12,2,FALSE()),""))</f>
        <v/>
      </c>
      <c r="V32" s="34" t="str">
        <f aca="true">IF(OR($T32="",LEFT($T32,2)="99",LEFT($T32,2)="95"),"",TODAY()-MAX($E32,$H32:$P32))</f>
        <v/>
      </c>
      <c r="W32" s="34" t="str">
        <f aca="true">IF(AND($E32&lt;&gt;"",$I32="",$R32=""),IF(TODAY()-$E32&gt;1,"⚑",""),"")</f>
        <v/>
      </c>
      <c r="X32" s="34" t="str">
        <f aca="true">IF(AND($J32&lt;&gt;"",$K32="",$R32=""),IF(TODAY()-$J32&gt;2,"⚑",""),"")</f>
        <v/>
      </c>
      <c r="Y32" s="34" t="str">
        <f aca="true">IF(AND($G32&lt;&gt;"",$M32="",$R32=""),IF(AND($G32-TODAY()&lt;=14,$G32&gt;=TODAY()),"⚑",""),"")</f>
        <v/>
      </c>
      <c r="Z32" s="34" t="str">
        <f aca="true">IF(AND($G32&lt;&gt;"",$P32="",$R32=""),IF(TODAY()&gt;$G32,"⚑",""),"")</f>
        <v/>
      </c>
      <c r="AA32" s="34" t="str">
        <f aca="true">IF(AND($E32&lt;&gt;"",$P32="",$R32=""),IF(TODAY()-MAX($E32,$H32,$M32,$S32)&gt;7,"⚑",""),"")</f>
        <v/>
      </c>
      <c r="AB32" s="34" t="str">
        <f aca="false">IF(OR($P32="",$G32=""),"",IF($P32&lt;=$G32,"Có","Không"))</f>
        <v/>
      </c>
      <c r="AC32" s="34" t="str">
        <f aca="false">IF(OR($P32="",$E32=""),"",$P32-$E32)</f>
        <v/>
      </c>
      <c r="AD32" s="35" t="str">
        <f aca="false">IF($A32="","",COUNTIF(CASE!$B$3:$B$202,$A32))</f>
        <v/>
      </c>
      <c r="AE32" s="34" t="str">
        <f aca="false">IF(OR($I32="",$E32=""),"",$I32-$E32)</f>
        <v/>
      </c>
      <c r="AF32" s="34" t="str">
        <f aca="false">IF(OR($K32="",$I32=""),"",$K32-$I32)</f>
        <v/>
      </c>
      <c r="AG32" s="34" t="str">
        <f aca="false">IF(OR($L32="",$K32=""),"",$L32-$K32)</f>
        <v/>
      </c>
      <c r="AH32" s="34" t="str">
        <f aca="false">IF(OR($M32="",$L32=""),"",$M32-$L32)</f>
        <v/>
      </c>
      <c r="AI32" s="34" t="str">
        <f aca="false">IF(OR($P32="",$M32=""),"",$P32-$M32)</f>
        <v/>
      </c>
    </row>
    <row r="33" customFormat="false" ht="15" hidden="false" customHeight="false" outlineLevel="0" collapsed="false">
      <c r="A33" s="29"/>
      <c r="B33" s="29"/>
      <c r="C33" s="29"/>
      <c r="D33" s="30"/>
      <c r="E33" s="31"/>
      <c r="F33" s="32" t="str">
        <f aca="false">IF($E33="","",$E33+7*IFERROR(VLOOKUP($B33,DS!$K$2:$M$4,2,FALSE()),12))</f>
        <v/>
      </c>
      <c r="G33" s="32" t="str">
        <f aca="false">IF($E33="","",$E33+7*IFERROR(VLOOKUP($B33,DS!$K$2:$M$4,3,FALSE()),12))</f>
        <v/>
      </c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3" t="str">
        <f aca="false">IF($A33="","",IF($R33&lt;&gt;"","95 Hủy/hoàn",IF($Q33&lt;&gt;"","99 Đóng",IF($P33&lt;&gt;"","90 Đã giao",IF($O33&lt;&gt;"","80 Đang giao",IF($N33&lt;&gt;"","70 Thông quan",IF($M33&lt;&gt;"","60 Đã xuất",IF($L33&lt;&gt;"","50 QC đạt",IF($K33&lt;&gt;"","40 NCC đã gửi",IF($I33&lt;&gt;"","30 Đã đặt NCC",IF($H33&lt;&gt;"","20 Đã xác nhận","10 Mới")))))))))))</f>
        <v/>
      </c>
      <c r="U33" s="33" t="str">
        <f aca="false">IF($T33="","",IFERROR(VLOOKUP($T33,DS!$A$2:$B$12,2,FALSE()),""))</f>
        <v/>
      </c>
      <c r="V33" s="34" t="str">
        <f aca="true">IF(OR($T33="",LEFT($T33,2)="99",LEFT($T33,2)="95"),"",TODAY()-MAX($E33,$H33:$P33))</f>
        <v/>
      </c>
      <c r="W33" s="34" t="str">
        <f aca="true">IF(AND($E33&lt;&gt;"",$I33="",$R33=""),IF(TODAY()-$E33&gt;1,"⚑",""),"")</f>
        <v/>
      </c>
      <c r="X33" s="34" t="str">
        <f aca="true">IF(AND($J33&lt;&gt;"",$K33="",$R33=""),IF(TODAY()-$J33&gt;2,"⚑",""),"")</f>
        <v/>
      </c>
      <c r="Y33" s="34" t="str">
        <f aca="true">IF(AND($G33&lt;&gt;"",$M33="",$R33=""),IF(AND($G33-TODAY()&lt;=14,$G33&gt;=TODAY()),"⚑",""),"")</f>
        <v/>
      </c>
      <c r="Z33" s="34" t="str">
        <f aca="true">IF(AND($G33&lt;&gt;"",$P33="",$R33=""),IF(TODAY()&gt;$G33,"⚑",""),"")</f>
        <v/>
      </c>
      <c r="AA33" s="34" t="str">
        <f aca="true">IF(AND($E33&lt;&gt;"",$P33="",$R33=""),IF(TODAY()-MAX($E33,$H33,$M33,$S33)&gt;7,"⚑",""),"")</f>
        <v/>
      </c>
      <c r="AB33" s="34" t="str">
        <f aca="false">IF(OR($P33="",$G33=""),"",IF($P33&lt;=$G33,"Có","Không"))</f>
        <v/>
      </c>
      <c r="AC33" s="34" t="str">
        <f aca="false">IF(OR($P33="",$E33=""),"",$P33-$E33)</f>
        <v/>
      </c>
      <c r="AD33" s="35" t="str">
        <f aca="false">IF($A33="","",COUNTIF(CASE!$B$3:$B$202,$A33))</f>
        <v/>
      </c>
      <c r="AE33" s="34" t="str">
        <f aca="false">IF(OR($I33="",$E33=""),"",$I33-$E33)</f>
        <v/>
      </c>
      <c r="AF33" s="34" t="str">
        <f aca="false">IF(OR($K33="",$I33=""),"",$K33-$I33)</f>
        <v/>
      </c>
      <c r="AG33" s="34" t="str">
        <f aca="false">IF(OR($L33="",$K33=""),"",$L33-$K33)</f>
        <v/>
      </c>
      <c r="AH33" s="34" t="str">
        <f aca="false">IF(OR($M33="",$L33=""),"",$M33-$L33)</f>
        <v/>
      </c>
      <c r="AI33" s="34" t="str">
        <f aca="false">IF(OR($P33="",$M33=""),"",$P33-$M33)</f>
        <v/>
      </c>
    </row>
    <row r="34" customFormat="false" ht="15" hidden="false" customHeight="false" outlineLevel="0" collapsed="false">
      <c r="A34" s="29"/>
      <c r="B34" s="29"/>
      <c r="C34" s="29"/>
      <c r="D34" s="30"/>
      <c r="E34" s="31"/>
      <c r="F34" s="32" t="str">
        <f aca="false">IF($E34="","",$E34+7*IFERROR(VLOOKUP($B34,DS!$K$2:$M$4,2,FALSE()),12))</f>
        <v/>
      </c>
      <c r="G34" s="32" t="str">
        <f aca="false">IF($E34="","",$E34+7*IFERROR(VLOOKUP($B34,DS!$K$2:$M$4,3,FALSE()),12))</f>
        <v/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3" t="str">
        <f aca="false">IF($A34="","",IF($R34&lt;&gt;"","95 Hủy/hoàn",IF($Q34&lt;&gt;"","99 Đóng",IF($P34&lt;&gt;"","90 Đã giao",IF($O34&lt;&gt;"","80 Đang giao",IF($N34&lt;&gt;"","70 Thông quan",IF($M34&lt;&gt;"","60 Đã xuất",IF($L34&lt;&gt;"","50 QC đạt",IF($K34&lt;&gt;"","40 NCC đã gửi",IF($I34&lt;&gt;"","30 Đã đặt NCC",IF($H34&lt;&gt;"","20 Đã xác nhận","10 Mới")))))))))))</f>
        <v/>
      </c>
      <c r="U34" s="33" t="str">
        <f aca="false">IF($T34="","",IFERROR(VLOOKUP($T34,DS!$A$2:$B$12,2,FALSE()),""))</f>
        <v/>
      </c>
      <c r="V34" s="34" t="str">
        <f aca="true">IF(OR($T34="",LEFT($T34,2)="99",LEFT($T34,2)="95"),"",TODAY()-MAX($E34,$H34:$P34))</f>
        <v/>
      </c>
      <c r="W34" s="34" t="str">
        <f aca="true">IF(AND($E34&lt;&gt;"",$I34="",$R34=""),IF(TODAY()-$E34&gt;1,"⚑",""),"")</f>
        <v/>
      </c>
      <c r="X34" s="34" t="str">
        <f aca="true">IF(AND($J34&lt;&gt;"",$K34="",$R34=""),IF(TODAY()-$J34&gt;2,"⚑",""),"")</f>
        <v/>
      </c>
      <c r="Y34" s="34" t="str">
        <f aca="true">IF(AND($G34&lt;&gt;"",$M34="",$R34=""),IF(AND($G34-TODAY()&lt;=14,$G34&gt;=TODAY()),"⚑",""),"")</f>
        <v/>
      </c>
      <c r="Z34" s="34" t="str">
        <f aca="true">IF(AND($G34&lt;&gt;"",$P34="",$R34=""),IF(TODAY()&gt;$G34,"⚑",""),"")</f>
        <v/>
      </c>
      <c r="AA34" s="34" t="str">
        <f aca="true">IF(AND($E34&lt;&gt;"",$P34="",$R34=""),IF(TODAY()-MAX($E34,$H34,$M34,$S34)&gt;7,"⚑",""),"")</f>
        <v/>
      </c>
      <c r="AB34" s="34" t="str">
        <f aca="false">IF(OR($P34="",$G34=""),"",IF($P34&lt;=$G34,"Có","Không"))</f>
        <v/>
      </c>
      <c r="AC34" s="34" t="str">
        <f aca="false">IF(OR($P34="",$E34=""),"",$P34-$E34)</f>
        <v/>
      </c>
      <c r="AD34" s="35" t="str">
        <f aca="false">IF($A34="","",COUNTIF(CASE!$B$3:$B$202,$A34))</f>
        <v/>
      </c>
      <c r="AE34" s="34" t="str">
        <f aca="false">IF(OR($I34="",$E34=""),"",$I34-$E34)</f>
        <v/>
      </c>
      <c r="AF34" s="34" t="str">
        <f aca="false">IF(OR($K34="",$I34=""),"",$K34-$I34)</f>
        <v/>
      </c>
      <c r="AG34" s="34" t="str">
        <f aca="false">IF(OR($L34="",$K34=""),"",$L34-$K34)</f>
        <v/>
      </c>
      <c r="AH34" s="34" t="str">
        <f aca="false">IF(OR($M34="",$L34=""),"",$M34-$L34)</f>
        <v/>
      </c>
      <c r="AI34" s="34" t="str">
        <f aca="false">IF(OR($P34="",$M34=""),"",$P34-$M34)</f>
        <v/>
      </c>
    </row>
    <row r="35" customFormat="false" ht="15" hidden="false" customHeight="false" outlineLevel="0" collapsed="false">
      <c r="A35" s="29"/>
      <c r="B35" s="29"/>
      <c r="C35" s="29"/>
      <c r="D35" s="30"/>
      <c r="E35" s="31"/>
      <c r="F35" s="32" t="str">
        <f aca="false">IF($E35="","",$E35+7*IFERROR(VLOOKUP($B35,DS!$K$2:$M$4,2,FALSE()),12))</f>
        <v/>
      </c>
      <c r="G35" s="32" t="str">
        <f aca="false">IF($E35="","",$E35+7*IFERROR(VLOOKUP($B35,DS!$K$2:$M$4,3,FALSE()),12))</f>
        <v/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3" t="str">
        <f aca="false">IF($A35="","",IF($R35&lt;&gt;"","95 Hủy/hoàn",IF($Q35&lt;&gt;"","99 Đóng",IF($P35&lt;&gt;"","90 Đã giao",IF($O35&lt;&gt;"","80 Đang giao",IF($N35&lt;&gt;"","70 Thông quan",IF($M35&lt;&gt;"","60 Đã xuất",IF($L35&lt;&gt;"","50 QC đạt",IF($K35&lt;&gt;"","40 NCC đã gửi",IF($I35&lt;&gt;"","30 Đã đặt NCC",IF($H35&lt;&gt;"","20 Đã xác nhận","10 Mới")))))))))))</f>
        <v/>
      </c>
      <c r="U35" s="33" t="str">
        <f aca="false">IF($T35="","",IFERROR(VLOOKUP($T35,DS!$A$2:$B$12,2,FALSE()),""))</f>
        <v/>
      </c>
      <c r="V35" s="34" t="str">
        <f aca="true">IF(OR($T35="",LEFT($T35,2)="99",LEFT($T35,2)="95"),"",TODAY()-MAX($E35,$H35:$P35))</f>
        <v/>
      </c>
      <c r="W35" s="34" t="str">
        <f aca="true">IF(AND($E35&lt;&gt;"",$I35="",$R35=""),IF(TODAY()-$E35&gt;1,"⚑",""),"")</f>
        <v/>
      </c>
      <c r="X35" s="34" t="str">
        <f aca="true">IF(AND($J35&lt;&gt;"",$K35="",$R35=""),IF(TODAY()-$J35&gt;2,"⚑",""),"")</f>
        <v/>
      </c>
      <c r="Y35" s="34" t="str">
        <f aca="true">IF(AND($G35&lt;&gt;"",$M35="",$R35=""),IF(AND($G35-TODAY()&lt;=14,$G35&gt;=TODAY()),"⚑",""),"")</f>
        <v/>
      </c>
      <c r="Z35" s="34" t="str">
        <f aca="true">IF(AND($G35&lt;&gt;"",$P35="",$R35=""),IF(TODAY()&gt;$G35,"⚑",""),"")</f>
        <v/>
      </c>
      <c r="AA35" s="34" t="str">
        <f aca="true">IF(AND($E35&lt;&gt;"",$P35="",$R35=""),IF(TODAY()-MAX($E35,$H35,$M35,$S35)&gt;7,"⚑",""),"")</f>
        <v/>
      </c>
      <c r="AB35" s="34" t="str">
        <f aca="false">IF(OR($P35="",$G35=""),"",IF($P35&lt;=$G35,"Có","Không"))</f>
        <v/>
      </c>
      <c r="AC35" s="34" t="str">
        <f aca="false">IF(OR($P35="",$E35=""),"",$P35-$E35)</f>
        <v/>
      </c>
      <c r="AD35" s="35" t="str">
        <f aca="false">IF($A35="","",COUNTIF(CASE!$B$3:$B$202,$A35))</f>
        <v/>
      </c>
      <c r="AE35" s="34" t="str">
        <f aca="false">IF(OR($I35="",$E35=""),"",$I35-$E35)</f>
        <v/>
      </c>
      <c r="AF35" s="34" t="str">
        <f aca="false">IF(OR($K35="",$I35=""),"",$K35-$I35)</f>
        <v/>
      </c>
      <c r="AG35" s="34" t="str">
        <f aca="false">IF(OR($L35="",$K35=""),"",$L35-$K35)</f>
        <v/>
      </c>
      <c r="AH35" s="34" t="str">
        <f aca="false">IF(OR($M35="",$L35=""),"",$M35-$L35)</f>
        <v/>
      </c>
      <c r="AI35" s="34" t="str">
        <f aca="false">IF(OR($P35="",$M35=""),"",$P35-$M35)</f>
        <v/>
      </c>
    </row>
    <row r="36" customFormat="false" ht="15" hidden="false" customHeight="false" outlineLevel="0" collapsed="false">
      <c r="A36" s="29"/>
      <c r="B36" s="29"/>
      <c r="C36" s="29"/>
      <c r="D36" s="30"/>
      <c r="E36" s="31"/>
      <c r="F36" s="32" t="str">
        <f aca="false">IF($E36="","",$E36+7*IFERROR(VLOOKUP($B36,DS!$K$2:$M$4,2,FALSE()),12))</f>
        <v/>
      </c>
      <c r="G36" s="32" t="str">
        <f aca="false">IF($E36="","",$E36+7*IFERROR(VLOOKUP($B36,DS!$K$2:$M$4,3,FALSE()),12))</f>
        <v/>
      </c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3" t="str">
        <f aca="false">IF($A36="","",IF($R36&lt;&gt;"","95 Hủy/hoàn",IF($Q36&lt;&gt;"","99 Đóng",IF($P36&lt;&gt;"","90 Đã giao",IF($O36&lt;&gt;"","80 Đang giao",IF($N36&lt;&gt;"","70 Thông quan",IF($M36&lt;&gt;"","60 Đã xuất",IF($L36&lt;&gt;"","50 QC đạt",IF($K36&lt;&gt;"","40 NCC đã gửi",IF($I36&lt;&gt;"","30 Đã đặt NCC",IF($H36&lt;&gt;"","20 Đã xác nhận","10 Mới")))))))))))</f>
        <v/>
      </c>
      <c r="U36" s="33" t="str">
        <f aca="false">IF($T36="","",IFERROR(VLOOKUP($T36,DS!$A$2:$B$12,2,FALSE()),""))</f>
        <v/>
      </c>
      <c r="V36" s="34" t="str">
        <f aca="true">IF(OR($T36="",LEFT($T36,2)="99",LEFT($T36,2)="95"),"",TODAY()-MAX($E36,$H36:$P36))</f>
        <v/>
      </c>
      <c r="W36" s="34" t="str">
        <f aca="true">IF(AND($E36&lt;&gt;"",$I36="",$R36=""),IF(TODAY()-$E36&gt;1,"⚑",""),"")</f>
        <v/>
      </c>
      <c r="X36" s="34" t="str">
        <f aca="true">IF(AND($J36&lt;&gt;"",$K36="",$R36=""),IF(TODAY()-$J36&gt;2,"⚑",""),"")</f>
        <v/>
      </c>
      <c r="Y36" s="34" t="str">
        <f aca="true">IF(AND($G36&lt;&gt;"",$M36="",$R36=""),IF(AND($G36-TODAY()&lt;=14,$G36&gt;=TODAY()),"⚑",""),"")</f>
        <v/>
      </c>
      <c r="Z36" s="34" t="str">
        <f aca="true">IF(AND($G36&lt;&gt;"",$P36="",$R36=""),IF(TODAY()&gt;$G36,"⚑",""),"")</f>
        <v/>
      </c>
      <c r="AA36" s="34" t="str">
        <f aca="true">IF(AND($E36&lt;&gt;"",$P36="",$R36=""),IF(TODAY()-MAX($E36,$H36,$M36,$S36)&gt;7,"⚑",""),"")</f>
        <v/>
      </c>
      <c r="AB36" s="34" t="str">
        <f aca="false">IF(OR($P36="",$G36=""),"",IF($P36&lt;=$G36,"Có","Không"))</f>
        <v/>
      </c>
      <c r="AC36" s="34" t="str">
        <f aca="false">IF(OR($P36="",$E36=""),"",$P36-$E36)</f>
        <v/>
      </c>
      <c r="AD36" s="35" t="str">
        <f aca="false">IF($A36="","",COUNTIF(CASE!$B$3:$B$202,$A36))</f>
        <v/>
      </c>
      <c r="AE36" s="34" t="str">
        <f aca="false">IF(OR($I36="",$E36=""),"",$I36-$E36)</f>
        <v/>
      </c>
      <c r="AF36" s="34" t="str">
        <f aca="false">IF(OR($K36="",$I36=""),"",$K36-$I36)</f>
        <v/>
      </c>
      <c r="AG36" s="34" t="str">
        <f aca="false">IF(OR($L36="",$K36=""),"",$L36-$K36)</f>
        <v/>
      </c>
      <c r="AH36" s="34" t="str">
        <f aca="false">IF(OR($M36="",$L36=""),"",$M36-$L36)</f>
        <v/>
      </c>
      <c r="AI36" s="34" t="str">
        <f aca="false">IF(OR($P36="",$M36=""),"",$P36-$M36)</f>
        <v/>
      </c>
    </row>
    <row r="37" customFormat="false" ht="15" hidden="false" customHeight="false" outlineLevel="0" collapsed="false">
      <c r="A37" s="29"/>
      <c r="B37" s="29"/>
      <c r="C37" s="29"/>
      <c r="D37" s="30"/>
      <c r="E37" s="31"/>
      <c r="F37" s="32" t="str">
        <f aca="false">IF($E37="","",$E37+7*IFERROR(VLOOKUP($B37,DS!$K$2:$M$4,2,FALSE()),12))</f>
        <v/>
      </c>
      <c r="G37" s="32" t="str">
        <f aca="false">IF($E37="","",$E37+7*IFERROR(VLOOKUP($B37,DS!$K$2:$M$4,3,FALSE()),12))</f>
        <v/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3" t="str">
        <f aca="false">IF($A37="","",IF($R37&lt;&gt;"","95 Hủy/hoàn",IF($Q37&lt;&gt;"","99 Đóng",IF($P37&lt;&gt;"","90 Đã giao",IF($O37&lt;&gt;"","80 Đang giao",IF($N37&lt;&gt;"","70 Thông quan",IF($M37&lt;&gt;"","60 Đã xuất",IF($L37&lt;&gt;"","50 QC đạt",IF($K37&lt;&gt;"","40 NCC đã gửi",IF($I37&lt;&gt;"","30 Đã đặt NCC",IF($H37&lt;&gt;"","20 Đã xác nhận","10 Mới")))))))))))</f>
        <v/>
      </c>
      <c r="U37" s="33" t="str">
        <f aca="false">IF($T37="","",IFERROR(VLOOKUP($T37,DS!$A$2:$B$12,2,FALSE()),""))</f>
        <v/>
      </c>
      <c r="V37" s="34" t="str">
        <f aca="true">IF(OR($T37="",LEFT($T37,2)="99",LEFT($T37,2)="95"),"",TODAY()-MAX($E37,$H37:$P37))</f>
        <v/>
      </c>
      <c r="W37" s="34" t="str">
        <f aca="true">IF(AND($E37&lt;&gt;"",$I37="",$R37=""),IF(TODAY()-$E37&gt;1,"⚑",""),"")</f>
        <v/>
      </c>
      <c r="X37" s="34" t="str">
        <f aca="true">IF(AND($J37&lt;&gt;"",$K37="",$R37=""),IF(TODAY()-$J37&gt;2,"⚑",""),"")</f>
        <v/>
      </c>
      <c r="Y37" s="34" t="str">
        <f aca="true">IF(AND($G37&lt;&gt;"",$M37="",$R37=""),IF(AND($G37-TODAY()&lt;=14,$G37&gt;=TODAY()),"⚑",""),"")</f>
        <v/>
      </c>
      <c r="Z37" s="34" t="str">
        <f aca="true">IF(AND($G37&lt;&gt;"",$P37="",$R37=""),IF(TODAY()&gt;$G37,"⚑",""),"")</f>
        <v/>
      </c>
      <c r="AA37" s="34" t="str">
        <f aca="true">IF(AND($E37&lt;&gt;"",$P37="",$R37=""),IF(TODAY()-MAX($E37,$H37,$M37,$S37)&gt;7,"⚑",""),"")</f>
        <v/>
      </c>
      <c r="AB37" s="34" t="str">
        <f aca="false">IF(OR($P37="",$G37=""),"",IF($P37&lt;=$G37,"Có","Không"))</f>
        <v/>
      </c>
      <c r="AC37" s="34" t="str">
        <f aca="false">IF(OR($P37="",$E37=""),"",$P37-$E37)</f>
        <v/>
      </c>
      <c r="AD37" s="35" t="str">
        <f aca="false">IF($A37="","",COUNTIF(CASE!$B$3:$B$202,$A37))</f>
        <v/>
      </c>
      <c r="AE37" s="34" t="str">
        <f aca="false">IF(OR($I37="",$E37=""),"",$I37-$E37)</f>
        <v/>
      </c>
      <c r="AF37" s="34" t="str">
        <f aca="false">IF(OR($K37="",$I37=""),"",$K37-$I37)</f>
        <v/>
      </c>
      <c r="AG37" s="34" t="str">
        <f aca="false">IF(OR($L37="",$K37=""),"",$L37-$K37)</f>
        <v/>
      </c>
      <c r="AH37" s="34" t="str">
        <f aca="false">IF(OR($M37="",$L37=""),"",$M37-$L37)</f>
        <v/>
      </c>
      <c r="AI37" s="34" t="str">
        <f aca="false">IF(OR($P37="",$M37=""),"",$P37-$M37)</f>
        <v/>
      </c>
    </row>
    <row r="38" customFormat="false" ht="15" hidden="false" customHeight="false" outlineLevel="0" collapsed="false">
      <c r="A38" s="29"/>
      <c r="B38" s="29"/>
      <c r="C38" s="29"/>
      <c r="D38" s="30"/>
      <c r="E38" s="31"/>
      <c r="F38" s="32" t="str">
        <f aca="false">IF($E38="","",$E38+7*IFERROR(VLOOKUP($B38,DS!$K$2:$M$4,2,FALSE()),12))</f>
        <v/>
      </c>
      <c r="G38" s="32" t="str">
        <f aca="false">IF($E38="","",$E38+7*IFERROR(VLOOKUP($B38,DS!$K$2:$M$4,3,FALSE()),12))</f>
        <v/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3" t="str">
        <f aca="false">IF($A38="","",IF($R38&lt;&gt;"","95 Hủy/hoàn",IF($Q38&lt;&gt;"","99 Đóng",IF($P38&lt;&gt;"","90 Đã giao",IF($O38&lt;&gt;"","80 Đang giao",IF($N38&lt;&gt;"","70 Thông quan",IF($M38&lt;&gt;"","60 Đã xuất",IF($L38&lt;&gt;"","50 QC đạt",IF($K38&lt;&gt;"","40 NCC đã gửi",IF($I38&lt;&gt;"","30 Đã đặt NCC",IF($H38&lt;&gt;"","20 Đã xác nhận","10 Mới")))))))))))</f>
        <v/>
      </c>
      <c r="U38" s="33" t="str">
        <f aca="false">IF($T38="","",IFERROR(VLOOKUP($T38,DS!$A$2:$B$12,2,FALSE()),""))</f>
        <v/>
      </c>
      <c r="V38" s="34" t="str">
        <f aca="true">IF(OR($T38="",LEFT($T38,2)="99",LEFT($T38,2)="95"),"",TODAY()-MAX($E38,$H38:$P38))</f>
        <v/>
      </c>
      <c r="W38" s="34" t="str">
        <f aca="true">IF(AND($E38&lt;&gt;"",$I38="",$R38=""),IF(TODAY()-$E38&gt;1,"⚑",""),"")</f>
        <v/>
      </c>
      <c r="X38" s="34" t="str">
        <f aca="true">IF(AND($J38&lt;&gt;"",$K38="",$R38=""),IF(TODAY()-$J38&gt;2,"⚑",""),"")</f>
        <v/>
      </c>
      <c r="Y38" s="34" t="str">
        <f aca="true">IF(AND($G38&lt;&gt;"",$M38="",$R38=""),IF(AND($G38-TODAY()&lt;=14,$G38&gt;=TODAY()),"⚑",""),"")</f>
        <v/>
      </c>
      <c r="Z38" s="34" t="str">
        <f aca="true">IF(AND($G38&lt;&gt;"",$P38="",$R38=""),IF(TODAY()&gt;$G38,"⚑",""),"")</f>
        <v/>
      </c>
      <c r="AA38" s="34" t="str">
        <f aca="true">IF(AND($E38&lt;&gt;"",$P38="",$R38=""),IF(TODAY()-MAX($E38,$H38,$M38,$S38)&gt;7,"⚑",""),"")</f>
        <v/>
      </c>
      <c r="AB38" s="34" t="str">
        <f aca="false">IF(OR($P38="",$G38=""),"",IF($P38&lt;=$G38,"Có","Không"))</f>
        <v/>
      </c>
      <c r="AC38" s="34" t="str">
        <f aca="false">IF(OR($P38="",$E38=""),"",$P38-$E38)</f>
        <v/>
      </c>
      <c r="AD38" s="35" t="str">
        <f aca="false">IF($A38="","",COUNTIF(CASE!$B$3:$B$202,$A38))</f>
        <v/>
      </c>
      <c r="AE38" s="34" t="str">
        <f aca="false">IF(OR($I38="",$E38=""),"",$I38-$E38)</f>
        <v/>
      </c>
      <c r="AF38" s="34" t="str">
        <f aca="false">IF(OR($K38="",$I38=""),"",$K38-$I38)</f>
        <v/>
      </c>
      <c r="AG38" s="34" t="str">
        <f aca="false">IF(OR($L38="",$K38=""),"",$L38-$K38)</f>
        <v/>
      </c>
      <c r="AH38" s="34" t="str">
        <f aca="false">IF(OR($M38="",$L38=""),"",$M38-$L38)</f>
        <v/>
      </c>
      <c r="AI38" s="34" t="str">
        <f aca="false">IF(OR($P38="",$M38=""),"",$P38-$M38)</f>
        <v/>
      </c>
    </row>
    <row r="39" customFormat="false" ht="15" hidden="false" customHeight="false" outlineLevel="0" collapsed="false">
      <c r="A39" s="29"/>
      <c r="B39" s="29"/>
      <c r="C39" s="29"/>
      <c r="D39" s="30"/>
      <c r="E39" s="31"/>
      <c r="F39" s="32" t="str">
        <f aca="false">IF($E39="","",$E39+7*IFERROR(VLOOKUP($B39,DS!$K$2:$M$4,2,FALSE()),12))</f>
        <v/>
      </c>
      <c r="G39" s="32" t="str">
        <f aca="false">IF($E39="","",$E39+7*IFERROR(VLOOKUP($B39,DS!$K$2:$M$4,3,FALSE()),12))</f>
        <v/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3" t="str">
        <f aca="false">IF($A39="","",IF($R39&lt;&gt;"","95 Hủy/hoàn",IF($Q39&lt;&gt;"","99 Đóng",IF($P39&lt;&gt;"","90 Đã giao",IF($O39&lt;&gt;"","80 Đang giao",IF($N39&lt;&gt;"","70 Thông quan",IF($M39&lt;&gt;"","60 Đã xuất",IF($L39&lt;&gt;"","50 QC đạt",IF($K39&lt;&gt;"","40 NCC đã gửi",IF($I39&lt;&gt;"","30 Đã đặt NCC",IF($H39&lt;&gt;"","20 Đã xác nhận","10 Mới")))))))))))</f>
        <v/>
      </c>
      <c r="U39" s="33" t="str">
        <f aca="false">IF($T39="","",IFERROR(VLOOKUP($T39,DS!$A$2:$B$12,2,FALSE()),""))</f>
        <v/>
      </c>
      <c r="V39" s="34" t="str">
        <f aca="true">IF(OR($T39="",LEFT($T39,2)="99",LEFT($T39,2)="95"),"",TODAY()-MAX($E39,$H39:$P39))</f>
        <v/>
      </c>
      <c r="W39" s="34" t="str">
        <f aca="true">IF(AND($E39&lt;&gt;"",$I39="",$R39=""),IF(TODAY()-$E39&gt;1,"⚑",""),"")</f>
        <v/>
      </c>
      <c r="X39" s="34" t="str">
        <f aca="true">IF(AND($J39&lt;&gt;"",$K39="",$R39=""),IF(TODAY()-$J39&gt;2,"⚑",""),"")</f>
        <v/>
      </c>
      <c r="Y39" s="34" t="str">
        <f aca="true">IF(AND($G39&lt;&gt;"",$M39="",$R39=""),IF(AND($G39-TODAY()&lt;=14,$G39&gt;=TODAY()),"⚑",""),"")</f>
        <v/>
      </c>
      <c r="Z39" s="34" t="str">
        <f aca="true">IF(AND($G39&lt;&gt;"",$P39="",$R39=""),IF(TODAY()&gt;$G39,"⚑",""),"")</f>
        <v/>
      </c>
      <c r="AA39" s="34" t="str">
        <f aca="true">IF(AND($E39&lt;&gt;"",$P39="",$R39=""),IF(TODAY()-MAX($E39,$H39,$M39,$S39)&gt;7,"⚑",""),"")</f>
        <v/>
      </c>
      <c r="AB39" s="34" t="str">
        <f aca="false">IF(OR($P39="",$G39=""),"",IF($P39&lt;=$G39,"Có","Không"))</f>
        <v/>
      </c>
      <c r="AC39" s="34" t="str">
        <f aca="false">IF(OR($P39="",$E39=""),"",$P39-$E39)</f>
        <v/>
      </c>
      <c r="AD39" s="35" t="str">
        <f aca="false">IF($A39="","",COUNTIF(CASE!$B$3:$B$202,$A39))</f>
        <v/>
      </c>
      <c r="AE39" s="34" t="str">
        <f aca="false">IF(OR($I39="",$E39=""),"",$I39-$E39)</f>
        <v/>
      </c>
      <c r="AF39" s="34" t="str">
        <f aca="false">IF(OR($K39="",$I39=""),"",$K39-$I39)</f>
        <v/>
      </c>
      <c r="AG39" s="34" t="str">
        <f aca="false">IF(OR($L39="",$K39=""),"",$L39-$K39)</f>
        <v/>
      </c>
      <c r="AH39" s="34" t="str">
        <f aca="false">IF(OR($M39="",$L39=""),"",$M39-$L39)</f>
        <v/>
      </c>
      <c r="AI39" s="34" t="str">
        <f aca="false">IF(OR($P39="",$M39=""),"",$P39-$M39)</f>
        <v/>
      </c>
    </row>
    <row r="40" customFormat="false" ht="15" hidden="false" customHeight="false" outlineLevel="0" collapsed="false">
      <c r="A40" s="29"/>
      <c r="B40" s="29"/>
      <c r="C40" s="29"/>
      <c r="D40" s="30"/>
      <c r="E40" s="31"/>
      <c r="F40" s="32" t="str">
        <f aca="false">IF($E40="","",$E40+7*IFERROR(VLOOKUP($B40,DS!$K$2:$M$4,2,FALSE()),12))</f>
        <v/>
      </c>
      <c r="G40" s="32" t="str">
        <f aca="false">IF($E40="","",$E40+7*IFERROR(VLOOKUP($B40,DS!$K$2:$M$4,3,FALSE()),12))</f>
        <v/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3" t="str">
        <f aca="false">IF($A40="","",IF($R40&lt;&gt;"","95 Hủy/hoàn",IF($Q40&lt;&gt;"","99 Đóng",IF($P40&lt;&gt;"","90 Đã giao",IF($O40&lt;&gt;"","80 Đang giao",IF($N40&lt;&gt;"","70 Thông quan",IF($M40&lt;&gt;"","60 Đã xuất",IF($L40&lt;&gt;"","50 QC đạt",IF($K40&lt;&gt;"","40 NCC đã gửi",IF($I40&lt;&gt;"","30 Đã đặt NCC",IF($H40&lt;&gt;"","20 Đã xác nhận","10 Mới")))))))))))</f>
        <v/>
      </c>
      <c r="U40" s="33" t="str">
        <f aca="false">IF($T40="","",IFERROR(VLOOKUP($T40,DS!$A$2:$B$12,2,FALSE()),""))</f>
        <v/>
      </c>
      <c r="V40" s="34" t="str">
        <f aca="true">IF(OR($T40="",LEFT($T40,2)="99",LEFT($T40,2)="95"),"",TODAY()-MAX($E40,$H40:$P40))</f>
        <v/>
      </c>
      <c r="W40" s="34" t="str">
        <f aca="true">IF(AND($E40&lt;&gt;"",$I40="",$R40=""),IF(TODAY()-$E40&gt;1,"⚑",""),"")</f>
        <v/>
      </c>
      <c r="X40" s="34" t="str">
        <f aca="true">IF(AND($J40&lt;&gt;"",$K40="",$R40=""),IF(TODAY()-$J40&gt;2,"⚑",""),"")</f>
        <v/>
      </c>
      <c r="Y40" s="34" t="str">
        <f aca="true">IF(AND($G40&lt;&gt;"",$M40="",$R40=""),IF(AND($G40-TODAY()&lt;=14,$G40&gt;=TODAY()),"⚑",""),"")</f>
        <v/>
      </c>
      <c r="Z40" s="34" t="str">
        <f aca="true">IF(AND($G40&lt;&gt;"",$P40="",$R40=""),IF(TODAY()&gt;$G40,"⚑",""),"")</f>
        <v/>
      </c>
      <c r="AA40" s="34" t="str">
        <f aca="true">IF(AND($E40&lt;&gt;"",$P40="",$R40=""),IF(TODAY()-MAX($E40,$H40,$M40,$S40)&gt;7,"⚑",""),"")</f>
        <v/>
      </c>
      <c r="AB40" s="34" t="str">
        <f aca="false">IF(OR($P40="",$G40=""),"",IF($P40&lt;=$G40,"Có","Không"))</f>
        <v/>
      </c>
      <c r="AC40" s="34" t="str">
        <f aca="false">IF(OR($P40="",$E40=""),"",$P40-$E40)</f>
        <v/>
      </c>
      <c r="AD40" s="35" t="str">
        <f aca="false">IF($A40="","",COUNTIF(CASE!$B$3:$B$202,$A40))</f>
        <v/>
      </c>
      <c r="AE40" s="34" t="str">
        <f aca="false">IF(OR($I40="",$E40=""),"",$I40-$E40)</f>
        <v/>
      </c>
      <c r="AF40" s="34" t="str">
        <f aca="false">IF(OR($K40="",$I40=""),"",$K40-$I40)</f>
        <v/>
      </c>
      <c r="AG40" s="34" t="str">
        <f aca="false">IF(OR($L40="",$K40=""),"",$L40-$K40)</f>
        <v/>
      </c>
      <c r="AH40" s="34" t="str">
        <f aca="false">IF(OR($M40="",$L40=""),"",$M40-$L40)</f>
        <v/>
      </c>
      <c r="AI40" s="34" t="str">
        <f aca="false">IF(OR($P40="",$M40=""),"",$P40-$M40)</f>
        <v/>
      </c>
    </row>
    <row r="41" customFormat="false" ht="15" hidden="false" customHeight="false" outlineLevel="0" collapsed="false">
      <c r="A41" s="29"/>
      <c r="B41" s="29"/>
      <c r="C41" s="29"/>
      <c r="D41" s="30"/>
      <c r="E41" s="31"/>
      <c r="F41" s="32" t="str">
        <f aca="false">IF($E41="","",$E41+7*IFERROR(VLOOKUP($B41,DS!$K$2:$M$4,2,FALSE()),12))</f>
        <v/>
      </c>
      <c r="G41" s="32" t="str">
        <f aca="false">IF($E41="","",$E41+7*IFERROR(VLOOKUP($B41,DS!$K$2:$M$4,3,FALSE()),12))</f>
        <v/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3" t="str">
        <f aca="false">IF($A41="","",IF($R41&lt;&gt;"","95 Hủy/hoàn",IF($Q41&lt;&gt;"","99 Đóng",IF($P41&lt;&gt;"","90 Đã giao",IF($O41&lt;&gt;"","80 Đang giao",IF($N41&lt;&gt;"","70 Thông quan",IF($M41&lt;&gt;"","60 Đã xuất",IF($L41&lt;&gt;"","50 QC đạt",IF($K41&lt;&gt;"","40 NCC đã gửi",IF($I41&lt;&gt;"","30 Đã đặt NCC",IF($H41&lt;&gt;"","20 Đã xác nhận","10 Mới")))))))))))</f>
        <v/>
      </c>
      <c r="U41" s="33" t="str">
        <f aca="false">IF($T41="","",IFERROR(VLOOKUP($T41,DS!$A$2:$B$12,2,FALSE()),""))</f>
        <v/>
      </c>
      <c r="V41" s="34" t="str">
        <f aca="true">IF(OR($T41="",LEFT($T41,2)="99",LEFT($T41,2)="95"),"",TODAY()-MAX($E41,$H41:$P41))</f>
        <v/>
      </c>
      <c r="W41" s="34" t="str">
        <f aca="true">IF(AND($E41&lt;&gt;"",$I41="",$R41=""),IF(TODAY()-$E41&gt;1,"⚑",""),"")</f>
        <v/>
      </c>
      <c r="X41" s="34" t="str">
        <f aca="true">IF(AND($J41&lt;&gt;"",$K41="",$R41=""),IF(TODAY()-$J41&gt;2,"⚑",""),"")</f>
        <v/>
      </c>
      <c r="Y41" s="34" t="str">
        <f aca="true">IF(AND($G41&lt;&gt;"",$M41="",$R41=""),IF(AND($G41-TODAY()&lt;=14,$G41&gt;=TODAY()),"⚑",""),"")</f>
        <v/>
      </c>
      <c r="Z41" s="34" t="str">
        <f aca="true">IF(AND($G41&lt;&gt;"",$P41="",$R41=""),IF(TODAY()&gt;$G41,"⚑",""),"")</f>
        <v/>
      </c>
      <c r="AA41" s="34" t="str">
        <f aca="true">IF(AND($E41&lt;&gt;"",$P41="",$R41=""),IF(TODAY()-MAX($E41,$H41,$M41,$S41)&gt;7,"⚑",""),"")</f>
        <v/>
      </c>
      <c r="AB41" s="34" t="str">
        <f aca="false">IF(OR($P41="",$G41=""),"",IF($P41&lt;=$G41,"Có","Không"))</f>
        <v/>
      </c>
      <c r="AC41" s="34" t="str">
        <f aca="false">IF(OR($P41="",$E41=""),"",$P41-$E41)</f>
        <v/>
      </c>
      <c r="AD41" s="35" t="str">
        <f aca="false">IF($A41="","",COUNTIF(CASE!$B$3:$B$202,$A41))</f>
        <v/>
      </c>
      <c r="AE41" s="34" t="str">
        <f aca="false">IF(OR($I41="",$E41=""),"",$I41-$E41)</f>
        <v/>
      </c>
      <c r="AF41" s="34" t="str">
        <f aca="false">IF(OR($K41="",$I41=""),"",$K41-$I41)</f>
        <v/>
      </c>
      <c r="AG41" s="34" t="str">
        <f aca="false">IF(OR($L41="",$K41=""),"",$L41-$K41)</f>
        <v/>
      </c>
      <c r="AH41" s="34" t="str">
        <f aca="false">IF(OR($M41="",$L41=""),"",$M41-$L41)</f>
        <v/>
      </c>
      <c r="AI41" s="34" t="str">
        <f aca="false">IF(OR($P41="",$M41=""),"",$P41-$M41)</f>
        <v/>
      </c>
    </row>
    <row r="42" customFormat="false" ht="15" hidden="false" customHeight="false" outlineLevel="0" collapsed="false">
      <c r="A42" s="29"/>
      <c r="B42" s="29"/>
      <c r="C42" s="29"/>
      <c r="D42" s="30"/>
      <c r="E42" s="31"/>
      <c r="F42" s="32" t="str">
        <f aca="false">IF($E42="","",$E42+7*IFERROR(VLOOKUP($B42,DS!$K$2:$M$4,2,FALSE()),12))</f>
        <v/>
      </c>
      <c r="G42" s="32" t="str">
        <f aca="false">IF($E42="","",$E42+7*IFERROR(VLOOKUP($B42,DS!$K$2:$M$4,3,FALSE()),12))</f>
        <v/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3" t="str">
        <f aca="false">IF($A42="","",IF($R42&lt;&gt;"","95 Hủy/hoàn",IF($Q42&lt;&gt;"","99 Đóng",IF($P42&lt;&gt;"","90 Đã giao",IF($O42&lt;&gt;"","80 Đang giao",IF($N42&lt;&gt;"","70 Thông quan",IF($M42&lt;&gt;"","60 Đã xuất",IF($L42&lt;&gt;"","50 QC đạt",IF($K42&lt;&gt;"","40 NCC đã gửi",IF($I42&lt;&gt;"","30 Đã đặt NCC",IF($H42&lt;&gt;"","20 Đã xác nhận","10 Mới")))))))))))</f>
        <v/>
      </c>
      <c r="U42" s="33" t="str">
        <f aca="false">IF($T42="","",IFERROR(VLOOKUP($T42,DS!$A$2:$B$12,2,FALSE()),""))</f>
        <v/>
      </c>
      <c r="V42" s="34" t="str">
        <f aca="true">IF(OR($T42="",LEFT($T42,2)="99",LEFT($T42,2)="95"),"",TODAY()-MAX($E42,$H42:$P42))</f>
        <v/>
      </c>
      <c r="W42" s="34" t="str">
        <f aca="true">IF(AND($E42&lt;&gt;"",$I42="",$R42=""),IF(TODAY()-$E42&gt;1,"⚑",""),"")</f>
        <v/>
      </c>
      <c r="X42" s="34" t="str">
        <f aca="true">IF(AND($J42&lt;&gt;"",$K42="",$R42=""),IF(TODAY()-$J42&gt;2,"⚑",""),"")</f>
        <v/>
      </c>
      <c r="Y42" s="34" t="str">
        <f aca="true">IF(AND($G42&lt;&gt;"",$M42="",$R42=""),IF(AND($G42-TODAY()&lt;=14,$G42&gt;=TODAY()),"⚑",""),"")</f>
        <v/>
      </c>
      <c r="Z42" s="34" t="str">
        <f aca="true">IF(AND($G42&lt;&gt;"",$P42="",$R42=""),IF(TODAY()&gt;$G42,"⚑",""),"")</f>
        <v/>
      </c>
      <c r="AA42" s="34" t="str">
        <f aca="true">IF(AND($E42&lt;&gt;"",$P42="",$R42=""),IF(TODAY()-MAX($E42,$H42,$M42,$S42)&gt;7,"⚑",""),"")</f>
        <v/>
      </c>
      <c r="AB42" s="34" t="str">
        <f aca="false">IF(OR($P42="",$G42=""),"",IF($P42&lt;=$G42,"Có","Không"))</f>
        <v/>
      </c>
      <c r="AC42" s="34" t="str">
        <f aca="false">IF(OR($P42="",$E42=""),"",$P42-$E42)</f>
        <v/>
      </c>
      <c r="AD42" s="35" t="str">
        <f aca="false">IF($A42="","",COUNTIF(CASE!$B$3:$B$202,$A42))</f>
        <v/>
      </c>
      <c r="AE42" s="34" t="str">
        <f aca="false">IF(OR($I42="",$E42=""),"",$I42-$E42)</f>
        <v/>
      </c>
      <c r="AF42" s="34" t="str">
        <f aca="false">IF(OR($K42="",$I42=""),"",$K42-$I42)</f>
        <v/>
      </c>
      <c r="AG42" s="34" t="str">
        <f aca="false">IF(OR($L42="",$K42=""),"",$L42-$K42)</f>
        <v/>
      </c>
      <c r="AH42" s="34" t="str">
        <f aca="false">IF(OR($M42="",$L42=""),"",$M42-$L42)</f>
        <v/>
      </c>
      <c r="AI42" s="34" t="str">
        <f aca="false">IF(OR($P42="",$M42=""),"",$P42-$M42)</f>
        <v/>
      </c>
    </row>
    <row r="43" customFormat="false" ht="15" hidden="false" customHeight="false" outlineLevel="0" collapsed="false">
      <c r="A43" s="29"/>
      <c r="B43" s="29"/>
      <c r="C43" s="29"/>
      <c r="D43" s="30"/>
      <c r="E43" s="31"/>
      <c r="F43" s="32" t="str">
        <f aca="false">IF($E43="","",$E43+7*IFERROR(VLOOKUP($B43,DS!$K$2:$M$4,2,FALSE()),12))</f>
        <v/>
      </c>
      <c r="G43" s="32" t="str">
        <f aca="false">IF($E43="","",$E43+7*IFERROR(VLOOKUP($B43,DS!$K$2:$M$4,3,FALSE()),12))</f>
        <v/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3" t="str">
        <f aca="false">IF($A43="","",IF($R43&lt;&gt;"","95 Hủy/hoàn",IF($Q43&lt;&gt;"","99 Đóng",IF($P43&lt;&gt;"","90 Đã giao",IF($O43&lt;&gt;"","80 Đang giao",IF($N43&lt;&gt;"","70 Thông quan",IF($M43&lt;&gt;"","60 Đã xuất",IF($L43&lt;&gt;"","50 QC đạt",IF($K43&lt;&gt;"","40 NCC đã gửi",IF($I43&lt;&gt;"","30 Đã đặt NCC",IF($H43&lt;&gt;"","20 Đã xác nhận","10 Mới")))))))))))</f>
        <v/>
      </c>
      <c r="U43" s="33" t="str">
        <f aca="false">IF($T43="","",IFERROR(VLOOKUP($T43,DS!$A$2:$B$12,2,FALSE()),""))</f>
        <v/>
      </c>
      <c r="V43" s="34" t="str">
        <f aca="true">IF(OR($T43="",LEFT($T43,2)="99",LEFT($T43,2)="95"),"",TODAY()-MAX($E43,$H43:$P43))</f>
        <v/>
      </c>
      <c r="W43" s="34" t="str">
        <f aca="true">IF(AND($E43&lt;&gt;"",$I43="",$R43=""),IF(TODAY()-$E43&gt;1,"⚑",""),"")</f>
        <v/>
      </c>
      <c r="X43" s="34" t="str">
        <f aca="true">IF(AND($J43&lt;&gt;"",$K43="",$R43=""),IF(TODAY()-$J43&gt;2,"⚑",""),"")</f>
        <v/>
      </c>
      <c r="Y43" s="34" t="str">
        <f aca="true">IF(AND($G43&lt;&gt;"",$M43="",$R43=""),IF(AND($G43-TODAY()&lt;=14,$G43&gt;=TODAY()),"⚑",""),"")</f>
        <v/>
      </c>
      <c r="Z43" s="34" t="str">
        <f aca="true">IF(AND($G43&lt;&gt;"",$P43="",$R43=""),IF(TODAY()&gt;$G43,"⚑",""),"")</f>
        <v/>
      </c>
      <c r="AA43" s="34" t="str">
        <f aca="true">IF(AND($E43&lt;&gt;"",$P43="",$R43=""),IF(TODAY()-MAX($E43,$H43,$M43,$S43)&gt;7,"⚑",""),"")</f>
        <v/>
      </c>
      <c r="AB43" s="34" t="str">
        <f aca="false">IF(OR($P43="",$G43=""),"",IF($P43&lt;=$G43,"Có","Không"))</f>
        <v/>
      </c>
      <c r="AC43" s="34" t="str">
        <f aca="false">IF(OR($P43="",$E43=""),"",$P43-$E43)</f>
        <v/>
      </c>
      <c r="AD43" s="35" t="str">
        <f aca="false">IF($A43="","",COUNTIF(CASE!$B$3:$B$202,$A43))</f>
        <v/>
      </c>
      <c r="AE43" s="34" t="str">
        <f aca="false">IF(OR($I43="",$E43=""),"",$I43-$E43)</f>
        <v/>
      </c>
      <c r="AF43" s="34" t="str">
        <f aca="false">IF(OR($K43="",$I43=""),"",$K43-$I43)</f>
        <v/>
      </c>
      <c r="AG43" s="34" t="str">
        <f aca="false">IF(OR($L43="",$K43=""),"",$L43-$K43)</f>
        <v/>
      </c>
      <c r="AH43" s="34" t="str">
        <f aca="false">IF(OR($M43="",$L43=""),"",$M43-$L43)</f>
        <v/>
      </c>
      <c r="AI43" s="34" t="str">
        <f aca="false">IF(OR($P43="",$M43=""),"",$P43-$M43)</f>
        <v/>
      </c>
    </row>
    <row r="44" customFormat="false" ht="15" hidden="false" customHeight="false" outlineLevel="0" collapsed="false">
      <c r="A44" s="29"/>
      <c r="B44" s="29"/>
      <c r="C44" s="29"/>
      <c r="D44" s="30"/>
      <c r="E44" s="31"/>
      <c r="F44" s="32" t="str">
        <f aca="false">IF($E44="","",$E44+7*IFERROR(VLOOKUP($B44,DS!$K$2:$M$4,2,FALSE()),12))</f>
        <v/>
      </c>
      <c r="G44" s="32" t="str">
        <f aca="false">IF($E44="","",$E44+7*IFERROR(VLOOKUP($B44,DS!$K$2:$M$4,3,FALSE()),12))</f>
        <v/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3" t="str">
        <f aca="false">IF($A44="","",IF($R44&lt;&gt;"","95 Hủy/hoàn",IF($Q44&lt;&gt;"","99 Đóng",IF($P44&lt;&gt;"","90 Đã giao",IF($O44&lt;&gt;"","80 Đang giao",IF($N44&lt;&gt;"","70 Thông quan",IF($M44&lt;&gt;"","60 Đã xuất",IF($L44&lt;&gt;"","50 QC đạt",IF($K44&lt;&gt;"","40 NCC đã gửi",IF($I44&lt;&gt;"","30 Đã đặt NCC",IF($H44&lt;&gt;"","20 Đã xác nhận","10 Mới")))))))))))</f>
        <v/>
      </c>
      <c r="U44" s="33" t="str">
        <f aca="false">IF($T44="","",IFERROR(VLOOKUP($T44,DS!$A$2:$B$12,2,FALSE()),""))</f>
        <v/>
      </c>
      <c r="V44" s="34" t="str">
        <f aca="true">IF(OR($T44="",LEFT($T44,2)="99",LEFT($T44,2)="95"),"",TODAY()-MAX($E44,$H44:$P44))</f>
        <v/>
      </c>
      <c r="W44" s="34" t="str">
        <f aca="true">IF(AND($E44&lt;&gt;"",$I44="",$R44=""),IF(TODAY()-$E44&gt;1,"⚑",""),"")</f>
        <v/>
      </c>
      <c r="X44" s="34" t="str">
        <f aca="true">IF(AND($J44&lt;&gt;"",$K44="",$R44=""),IF(TODAY()-$J44&gt;2,"⚑",""),"")</f>
        <v/>
      </c>
      <c r="Y44" s="34" t="str">
        <f aca="true">IF(AND($G44&lt;&gt;"",$M44="",$R44=""),IF(AND($G44-TODAY()&lt;=14,$G44&gt;=TODAY()),"⚑",""),"")</f>
        <v/>
      </c>
      <c r="Z44" s="34" t="str">
        <f aca="true">IF(AND($G44&lt;&gt;"",$P44="",$R44=""),IF(TODAY()&gt;$G44,"⚑",""),"")</f>
        <v/>
      </c>
      <c r="AA44" s="34" t="str">
        <f aca="true">IF(AND($E44&lt;&gt;"",$P44="",$R44=""),IF(TODAY()-MAX($E44,$H44,$M44,$S44)&gt;7,"⚑",""),"")</f>
        <v/>
      </c>
      <c r="AB44" s="34" t="str">
        <f aca="false">IF(OR($P44="",$G44=""),"",IF($P44&lt;=$G44,"Có","Không"))</f>
        <v/>
      </c>
      <c r="AC44" s="34" t="str">
        <f aca="false">IF(OR($P44="",$E44=""),"",$P44-$E44)</f>
        <v/>
      </c>
      <c r="AD44" s="35" t="str">
        <f aca="false">IF($A44="","",COUNTIF(CASE!$B$3:$B$202,$A44))</f>
        <v/>
      </c>
      <c r="AE44" s="34" t="str">
        <f aca="false">IF(OR($I44="",$E44=""),"",$I44-$E44)</f>
        <v/>
      </c>
      <c r="AF44" s="34" t="str">
        <f aca="false">IF(OR($K44="",$I44=""),"",$K44-$I44)</f>
        <v/>
      </c>
      <c r="AG44" s="34" t="str">
        <f aca="false">IF(OR($L44="",$K44=""),"",$L44-$K44)</f>
        <v/>
      </c>
      <c r="AH44" s="34" t="str">
        <f aca="false">IF(OR($M44="",$L44=""),"",$M44-$L44)</f>
        <v/>
      </c>
      <c r="AI44" s="34" t="str">
        <f aca="false">IF(OR($P44="",$M44=""),"",$P44-$M44)</f>
        <v/>
      </c>
    </row>
    <row r="45" customFormat="false" ht="15" hidden="false" customHeight="false" outlineLevel="0" collapsed="false">
      <c r="A45" s="29"/>
      <c r="B45" s="29"/>
      <c r="C45" s="29"/>
      <c r="D45" s="30"/>
      <c r="E45" s="31"/>
      <c r="F45" s="32" t="str">
        <f aca="false">IF($E45="","",$E45+7*IFERROR(VLOOKUP($B45,DS!$K$2:$M$4,2,FALSE()),12))</f>
        <v/>
      </c>
      <c r="G45" s="32" t="str">
        <f aca="false">IF($E45="","",$E45+7*IFERROR(VLOOKUP($B45,DS!$K$2:$M$4,3,FALSE()),12))</f>
        <v/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3" t="str">
        <f aca="false">IF($A45="","",IF($R45&lt;&gt;"","95 Hủy/hoàn",IF($Q45&lt;&gt;"","99 Đóng",IF($P45&lt;&gt;"","90 Đã giao",IF($O45&lt;&gt;"","80 Đang giao",IF($N45&lt;&gt;"","70 Thông quan",IF($M45&lt;&gt;"","60 Đã xuất",IF($L45&lt;&gt;"","50 QC đạt",IF($K45&lt;&gt;"","40 NCC đã gửi",IF($I45&lt;&gt;"","30 Đã đặt NCC",IF($H45&lt;&gt;"","20 Đã xác nhận","10 Mới")))))))))))</f>
        <v/>
      </c>
      <c r="U45" s="33" t="str">
        <f aca="false">IF($T45="","",IFERROR(VLOOKUP($T45,DS!$A$2:$B$12,2,FALSE()),""))</f>
        <v/>
      </c>
      <c r="V45" s="34" t="str">
        <f aca="true">IF(OR($T45="",LEFT($T45,2)="99",LEFT($T45,2)="95"),"",TODAY()-MAX($E45,$H45:$P45))</f>
        <v/>
      </c>
      <c r="W45" s="34" t="str">
        <f aca="true">IF(AND($E45&lt;&gt;"",$I45="",$R45=""),IF(TODAY()-$E45&gt;1,"⚑",""),"")</f>
        <v/>
      </c>
      <c r="X45" s="34" t="str">
        <f aca="true">IF(AND($J45&lt;&gt;"",$K45="",$R45=""),IF(TODAY()-$J45&gt;2,"⚑",""),"")</f>
        <v/>
      </c>
      <c r="Y45" s="34" t="str">
        <f aca="true">IF(AND($G45&lt;&gt;"",$M45="",$R45=""),IF(AND($G45-TODAY()&lt;=14,$G45&gt;=TODAY()),"⚑",""),"")</f>
        <v/>
      </c>
      <c r="Z45" s="34" t="str">
        <f aca="true">IF(AND($G45&lt;&gt;"",$P45="",$R45=""),IF(TODAY()&gt;$G45,"⚑",""),"")</f>
        <v/>
      </c>
      <c r="AA45" s="34" t="str">
        <f aca="true">IF(AND($E45&lt;&gt;"",$P45="",$R45=""),IF(TODAY()-MAX($E45,$H45,$M45,$S45)&gt;7,"⚑",""),"")</f>
        <v/>
      </c>
      <c r="AB45" s="34" t="str">
        <f aca="false">IF(OR($P45="",$G45=""),"",IF($P45&lt;=$G45,"Có","Không"))</f>
        <v/>
      </c>
      <c r="AC45" s="34" t="str">
        <f aca="false">IF(OR($P45="",$E45=""),"",$P45-$E45)</f>
        <v/>
      </c>
      <c r="AD45" s="35" t="str">
        <f aca="false">IF($A45="","",COUNTIF(CASE!$B$3:$B$202,$A45))</f>
        <v/>
      </c>
      <c r="AE45" s="34" t="str">
        <f aca="false">IF(OR($I45="",$E45=""),"",$I45-$E45)</f>
        <v/>
      </c>
      <c r="AF45" s="34" t="str">
        <f aca="false">IF(OR($K45="",$I45=""),"",$K45-$I45)</f>
        <v/>
      </c>
      <c r="AG45" s="34" t="str">
        <f aca="false">IF(OR($L45="",$K45=""),"",$L45-$K45)</f>
        <v/>
      </c>
      <c r="AH45" s="34" t="str">
        <f aca="false">IF(OR($M45="",$L45=""),"",$M45-$L45)</f>
        <v/>
      </c>
      <c r="AI45" s="34" t="str">
        <f aca="false">IF(OR($P45="",$M45=""),"",$P45-$M45)</f>
        <v/>
      </c>
    </row>
    <row r="46" customFormat="false" ht="15" hidden="false" customHeight="false" outlineLevel="0" collapsed="false">
      <c r="A46" s="29"/>
      <c r="B46" s="29"/>
      <c r="C46" s="29"/>
      <c r="D46" s="30"/>
      <c r="E46" s="31"/>
      <c r="F46" s="32" t="str">
        <f aca="false">IF($E46="","",$E46+7*IFERROR(VLOOKUP($B46,DS!$K$2:$M$4,2,FALSE()),12))</f>
        <v/>
      </c>
      <c r="G46" s="32" t="str">
        <f aca="false">IF($E46="","",$E46+7*IFERROR(VLOOKUP($B46,DS!$K$2:$M$4,3,FALSE()),12))</f>
        <v/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3" t="str">
        <f aca="false">IF($A46="","",IF($R46&lt;&gt;"","95 Hủy/hoàn",IF($Q46&lt;&gt;"","99 Đóng",IF($P46&lt;&gt;"","90 Đã giao",IF($O46&lt;&gt;"","80 Đang giao",IF($N46&lt;&gt;"","70 Thông quan",IF($M46&lt;&gt;"","60 Đã xuất",IF($L46&lt;&gt;"","50 QC đạt",IF($K46&lt;&gt;"","40 NCC đã gửi",IF($I46&lt;&gt;"","30 Đã đặt NCC",IF($H46&lt;&gt;"","20 Đã xác nhận","10 Mới")))))))))))</f>
        <v/>
      </c>
      <c r="U46" s="33" t="str">
        <f aca="false">IF($T46="","",IFERROR(VLOOKUP($T46,DS!$A$2:$B$12,2,FALSE()),""))</f>
        <v/>
      </c>
      <c r="V46" s="34" t="str">
        <f aca="true">IF(OR($T46="",LEFT($T46,2)="99",LEFT($T46,2)="95"),"",TODAY()-MAX($E46,$H46:$P46))</f>
        <v/>
      </c>
      <c r="W46" s="34" t="str">
        <f aca="true">IF(AND($E46&lt;&gt;"",$I46="",$R46=""),IF(TODAY()-$E46&gt;1,"⚑",""),"")</f>
        <v/>
      </c>
      <c r="X46" s="34" t="str">
        <f aca="true">IF(AND($J46&lt;&gt;"",$K46="",$R46=""),IF(TODAY()-$J46&gt;2,"⚑",""),"")</f>
        <v/>
      </c>
      <c r="Y46" s="34" t="str">
        <f aca="true">IF(AND($G46&lt;&gt;"",$M46="",$R46=""),IF(AND($G46-TODAY()&lt;=14,$G46&gt;=TODAY()),"⚑",""),"")</f>
        <v/>
      </c>
      <c r="Z46" s="34" t="str">
        <f aca="true">IF(AND($G46&lt;&gt;"",$P46="",$R46=""),IF(TODAY()&gt;$G46,"⚑",""),"")</f>
        <v/>
      </c>
      <c r="AA46" s="34" t="str">
        <f aca="true">IF(AND($E46&lt;&gt;"",$P46="",$R46=""),IF(TODAY()-MAX($E46,$H46,$M46,$S46)&gt;7,"⚑",""),"")</f>
        <v/>
      </c>
      <c r="AB46" s="34" t="str">
        <f aca="false">IF(OR($P46="",$G46=""),"",IF($P46&lt;=$G46,"Có","Không"))</f>
        <v/>
      </c>
      <c r="AC46" s="34" t="str">
        <f aca="false">IF(OR($P46="",$E46=""),"",$P46-$E46)</f>
        <v/>
      </c>
      <c r="AD46" s="35" t="str">
        <f aca="false">IF($A46="","",COUNTIF(CASE!$B$3:$B$202,$A46))</f>
        <v/>
      </c>
      <c r="AE46" s="34" t="str">
        <f aca="false">IF(OR($I46="",$E46=""),"",$I46-$E46)</f>
        <v/>
      </c>
      <c r="AF46" s="34" t="str">
        <f aca="false">IF(OR($K46="",$I46=""),"",$K46-$I46)</f>
        <v/>
      </c>
      <c r="AG46" s="34" t="str">
        <f aca="false">IF(OR($L46="",$K46=""),"",$L46-$K46)</f>
        <v/>
      </c>
      <c r="AH46" s="34" t="str">
        <f aca="false">IF(OR($M46="",$L46=""),"",$M46-$L46)</f>
        <v/>
      </c>
      <c r="AI46" s="34" t="str">
        <f aca="false">IF(OR($P46="",$M46=""),"",$P46-$M46)</f>
        <v/>
      </c>
    </row>
    <row r="47" customFormat="false" ht="15" hidden="false" customHeight="false" outlineLevel="0" collapsed="false">
      <c r="A47" s="29"/>
      <c r="B47" s="29"/>
      <c r="C47" s="29"/>
      <c r="D47" s="30"/>
      <c r="E47" s="31"/>
      <c r="F47" s="32" t="str">
        <f aca="false">IF($E47="","",$E47+7*IFERROR(VLOOKUP($B47,DS!$K$2:$M$4,2,FALSE()),12))</f>
        <v/>
      </c>
      <c r="G47" s="32" t="str">
        <f aca="false">IF($E47="","",$E47+7*IFERROR(VLOOKUP($B47,DS!$K$2:$M$4,3,FALSE()),12))</f>
        <v/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3" t="str">
        <f aca="false">IF($A47="","",IF($R47&lt;&gt;"","95 Hủy/hoàn",IF($Q47&lt;&gt;"","99 Đóng",IF($P47&lt;&gt;"","90 Đã giao",IF($O47&lt;&gt;"","80 Đang giao",IF($N47&lt;&gt;"","70 Thông quan",IF($M47&lt;&gt;"","60 Đã xuất",IF($L47&lt;&gt;"","50 QC đạt",IF($K47&lt;&gt;"","40 NCC đã gửi",IF($I47&lt;&gt;"","30 Đã đặt NCC",IF($H47&lt;&gt;"","20 Đã xác nhận","10 Mới")))))))))))</f>
        <v/>
      </c>
      <c r="U47" s="33" t="str">
        <f aca="false">IF($T47="","",IFERROR(VLOOKUP($T47,DS!$A$2:$B$12,2,FALSE()),""))</f>
        <v/>
      </c>
      <c r="V47" s="34" t="str">
        <f aca="true">IF(OR($T47="",LEFT($T47,2)="99",LEFT($T47,2)="95"),"",TODAY()-MAX($E47,$H47:$P47))</f>
        <v/>
      </c>
      <c r="W47" s="34" t="str">
        <f aca="true">IF(AND($E47&lt;&gt;"",$I47="",$R47=""),IF(TODAY()-$E47&gt;1,"⚑",""),"")</f>
        <v/>
      </c>
      <c r="X47" s="34" t="str">
        <f aca="true">IF(AND($J47&lt;&gt;"",$K47="",$R47=""),IF(TODAY()-$J47&gt;2,"⚑",""),"")</f>
        <v/>
      </c>
      <c r="Y47" s="34" t="str">
        <f aca="true">IF(AND($G47&lt;&gt;"",$M47="",$R47=""),IF(AND($G47-TODAY()&lt;=14,$G47&gt;=TODAY()),"⚑",""),"")</f>
        <v/>
      </c>
      <c r="Z47" s="34" t="str">
        <f aca="true">IF(AND($G47&lt;&gt;"",$P47="",$R47=""),IF(TODAY()&gt;$G47,"⚑",""),"")</f>
        <v/>
      </c>
      <c r="AA47" s="34" t="str">
        <f aca="true">IF(AND($E47&lt;&gt;"",$P47="",$R47=""),IF(TODAY()-MAX($E47,$H47,$M47,$S47)&gt;7,"⚑",""),"")</f>
        <v/>
      </c>
      <c r="AB47" s="34" t="str">
        <f aca="false">IF(OR($P47="",$G47=""),"",IF($P47&lt;=$G47,"Có","Không"))</f>
        <v/>
      </c>
      <c r="AC47" s="34" t="str">
        <f aca="false">IF(OR($P47="",$E47=""),"",$P47-$E47)</f>
        <v/>
      </c>
      <c r="AD47" s="35" t="str">
        <f aca="false">IF($A47="","",COUNTIF(CASE!$B$3:$B$202,$A47))</f>
        <v/>
      </c>
      <c r="AE47" s="34" t="str">
        <f aca="false">IF(OR($I47="",$E47=""),"",$I47-$E47)</f>
        <v/>
      </c>
      <c r="AF47" s="34" t="str">
        <f aca="false">IF(OR($K47="",$I47=""),"",$K47-$I47)</f>
        <v/>
      </c>
      <c r="AG47" s="34" t="str">
        <f aca="false">IF(OR($L47="",$K47=""),"",$L47-$K47)</f>
        <v/>
      </c>
      <c r="AH47" s="34" t="str">
        <f aca="false">IF(OR($M47="",$L47=""),"",$M47-$L47)</f>
        <v/>
      </c>
      <c r="AI47" s="34" t="str">
        <f aca="false">IF(OR($P47="",$M47=""),"",$P47-$M47)</f>
        <v/>
      </c>
    </row>
    <row r="48" customFormat="false" ht="15" hidden="false" customHeight="false" outlineLevel="0" collapsed="false">
      <c r="A48" s="29"/>
      <c r="B48" s="29"/>
      <c r="C48" s="29"/>
      <c r="D48" s="30"/>
      <c r="E48" s="31"/>
      <c r="F48" s="32" t="str">
        <f aca="false">IF($E48="","",$E48+7*IFERROR(VLOOKUP($B48,DS!$K$2:$M$4,2,FALSE()),12))</f>
        <v/>
      </c>
      <c r="G48" s="32" t="str">
        <f aca="false">IF($E48="","",$E48+7*IFERROR(VLOOKUP($B48,DS!$K$2:$M$4,3,FALSE()),12))</f>
        <v/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3" t="str">
        <f aca="false">IF($A48="","",IF($R48&lt;&gt;"","95 Hủy/hoàn",IF($Q48&lt;&gt;"","99 Đóng",IF($P48&lt;&gt;"","90 Đã giao",IF($O48&lt;&gt;"","80 Đang giao",IF($N48&lt;&gt;"","70 Thông quan",IF($M48&lt;&gt;"","60 Đã xuất",IF($L48&lt;&gt;"","50 QC đạt",IF($K48&lt;&gt;"","40 NCC đã gửi",IF($I48&lt;&gt;"","30 Đã đặt NCC",IF($H48&lt;&gt;"","20 Đã xác nhận","10 Mới")))))))))))</f>
        <v/>
      </c>
      <c r="U48" s="33" t="str">
        <f aca="false">IF($T48="","",IFERROR(VLOOKUP($T48,DS!$A$2:$B$12,2,FALSE()),""))</f>
        <v/>
      </c>
      <c r="V48" s="34" t="str">
        <f aca="true">IF(OR($T48="",LEFT($T48,2)="99",LEFT($T48,2)="95"),"",TODAY()-MAX($E48,$H48:$P48))</f>
        <v/>
      </c>
      <c r="W48" s="34" t="str">
        <f aca="true">IF(AND($E48&lt;&gt;"",$I48="",$R48=""),IF(TODAY()-$E48&gt;1,"⚑",""),"")</f>
        <v/>
      </c>
      <c r="X48" s="34" t="str">
        <f aca="true">IF(AND($J48&lt;&gt;"",$K48="",$R48=""),IF(TODAY()-$J48&gt;2,"⚑",""),"")</f>
        <v/>
      </c>
      <c r="Y48" s="34" t="str">
        <f aca="true">IF(AND($G48&lt;&gt;"",$M48="",$R48=""),IF(AND($G48-TODAY()&lt;=14,$G48&gt;=TODAY()),"⚑",""),"")</f>
        <v/>
      </c>
      <c r="Z48" s="34" t="str">
        <f aca="true">IF(AND($G48&lt;&gt;"",$P48="",$R48=""),IF(TODAY()&gt;$G48,"⚑",""),"")</f>
        <v/>
      </c>
      <c r="AA48" s="34" t="str">
        <f aca="true">IF(AND($E48&lt;&gt;"",$P48="",$R48=""),IF(TODAY()-MAX($E48,$H48,$M48,$S48)&gt;7,"⚑",""),"")</f>
        <v/>
      </c>
      <c r="AB48" s="34" t="str">
        <f aca="false">IF(OR($P48="",$G48=""),"",IF($P48&lt;=$G48,"Có","Không"))</f>
        <v/>
      </c>
      <c r="AC48" s="34" t="str">
        <f aca="false">IF(OR($P48="",$E48=""),"",$P48-$E48)</f>
        <v/>
      </c>
      <c r="AD48" s="35" t="str">
        <f aca="false">IF($A48="","",COUNTIF(CASE!$B$3:$B$202,$A48))</f>
        <v/>
      </c>
      <c r="AE48" s="34" t="str">
        <f aca="false">IF(OR($I48="",$E48=""),"",$I48-$E48)</f>
        <v/>
      </c>
      <c r="AF48" s="34" t="str">
        <f aca="false">IF(OR($K48="",$I48=""),"",$K48-$I48)</f>
        <v/>
      </c>
      <c r="AG48" s="34" t="str">
        <f aca="false">IF(OR($L48="",$K48=""),"",$L48-$K48)</f>
        <v/>
      </c>
      <c r="AH48" s="34" t="str">
        <f aca="false">IF(OR($M48="",$L48=""),"",$M48-$L48)</f>
        <v/>
      </c>
      <c r="AI48" s="34" t="str">
        <f aca="false">IF(OR($P48="",$M48=""),"",$P48-$M48)</f>
        <v/>
      </c>
    </row>
    <row r="49" customFormat="false" ht="15" hidden="false" customHeight="false" outlineLevel="0" collapsed="false">
      <c r="A49" s="29"/>
      <c r="B49" s="29"/>
      <c r="C49" s="29"/>
      <c r="D49" s="30"/>
      <c r="E49" s="31"/>
      <c r="F49" s="32" t="str">
        <f aca="false">IF($E49="","",$E49+7*IFERROR(VLOOKUP($B49,DS!$K$2:$M$4,2,FALSE()),12))</f>
        <v/>
      </c>
      <c r="G49" s="32" t="str">
        <f aca="false">IF($E49="","",$E49+7*IFERROR(VLOOKUP($B49,DS!$K$2:$M$4,3,FALSE()),12))</f>
        <v/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3" t="str">
        <f aca="false">IF($A49="","",IF($R49&lt;&gt;"","95 Hủy/hoàn",IF($Q49&lt;&gt;"","99 Đóng",IF($P49&lt;&gt;"","90 Đã giao",IF($O49&lt;&gt;"","80 Đang giao",IF($N49&lt;&gt;"","70 Thông quan",IF($M49&lt;&gt;"","60 Đã xuất",IF($L49&lt;&gt;"","50 QC đạt",IF($K49&lt;&gt;"","40 NCC đã gửi",IF($I49&lt;&gt;"","30 Đã đặt NCC",IF($H49&lt;&gt;"","20 Đã xác nhận","10 Mới")))))))))))</f>
        <v/>
      </c>
      <c r="U49" s="33" t="str">
        <f aca="false">IF($T49="","",IFERROR(VLOOKUP($T49,DS!$A$2:$B$12,2,FALSE()),""))</f>
        <v/>
      </c>
      <c r="V49" s="34" t="str">
        <f aca="true">IF(OR($T49="",LEFT($T49,2)="99",LEFT($T49,2)="95"),"",TODAY()-MAX($E49,$H49:$P49))</f>
        <v/>
      </c>
      <c r="W49" s="34" t="str">
        <f aca="true">IF(AND($E49&lt;&gt;"",$I49="",$R49=""),IF(TODAY()-$E49&gt;1,"⚑",""),"")</f>
        <v/>
      </c>
      <c r="X49" s="34" t="str">
        <f aca="true">IF(AND($J49&lt;&gt;"",$K49="",$R49=""),IF(TODAY()-$J49&gt;2,"⚑",""),"")</f>
        <v/>
      </c>
      <c r="Y49" s="34" t="str">
        <f aca="true">IF(AND($G49&lt;&gt;"",$M49="",$R49=""),IF(AND($G49-TODAY()&lt;=14,$G49&gt;=TODAY()),"⚑",""),"")</f>
        <v/>
      </c>
      <c r="Z49" s="34" t="str">
        <f aca="true">IF(AND($G49&lt;&gt;"",$P49="",$R49=""),IF(TODAY()&gt;$G49,"⚑",""),"")</f>
        <v/>
      </c>
      <c r="AA49" s="34" t="str">
        <f aca="true">IF(AND($E49&lt;&gt;"",$P49="",$R49=""),IF(TODAY()-MAX($E49,$H49,$M49,$S49)&gt;7,"⚑",""),"")</f>
        <v/>
      </c>
      <c r="AB49" s="34" t="str">
        <f aca="false">IF(OR($P49="",$G49=""),"",IF($P49&lt;=$G49,"Có","Không"))</f>
        <v/>
      </c>
      <c r="AC49" s="34" t="str">
        <f aca="false">IF(OR($P49="",$E49=""),"",$P49-$E49)</f>
        <v/>
      </c>
      <c r="AD49" s="35" t="str">
        <f aca="false">IF($A49="","",COUNTIF(CASE!$B$3:$B$202,$A49))</f>
        <v/>
      </c>
      <c r="AE49" s="34" t="str">
        <f aca="false">IF(OR($I49="",$E49=""),"",$I49-$E49)</f>
        <v/>
      </c>
      <c r="AF49" s="34" t="str">
        <f aca="false">IF(OR($K49="",$I49=""),"",$K49-$I49)</f>
        <v/>
      </c>
      <c r="AG49" s="34" t="str">
        <f aca="false">IF(OR($L49="",$K49=""),"",$L49-$K49)</f>
        <v/>
      </c>
      <c r="AH49" s="34" t="str">
        <f aca="false">IF(OR($M49="",$L49=""),"",$M49-$L49)</f>
        <v/>
      </c>
      <c r="AI49" s="34" t="str">
        <f aca="false">IF(OR($P49="",$M49=""),"",$P49-$M49)</f>
        <v/>
      </c>
    </row>
    <row r="50" customFormat="false" ht="15" hidden="false" customHeight="false" outlineLevel="0" collapsed="false">
      <c r="A50" s="29"/>
      <c r="B50" s="29"/>
      <c r="C50" s="29"/>
      <c r="D50" s="30"/>
      <c r="E50" s="31"/>
      <c r="F50" s="32" t="str">
        <f aca="false">IF($E50="","",$E50+7*IFERROR(VLOOKUP($B50,DS!$K$2:$M$4,2,FALSE()),12))</f>
        <v/>
      </c>
      <c r="G50" s="32" t="str">
        <f aca="false">IF($E50="","",$E50+7*IFERROR(VLOOKUP($B50,DS!$K$2:$M$4,3,FALSE()),12))</f>
        <v/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3" t="str">
        <f aca="false">IF($A50="","",IF($R50&lt;&gt;"","95 Hủy/hoàn",IF($Q50&lt;&gt;"","99 Đóng",IF($P50&lt;&gt;"","90 Đã giao",IF($O50&lt;&gt;"","80 Đang giao",IF($N50&lt;&gt;"","70 Thông quan",IF($M50&lt;&gt;"","60 Đã xuất",IF($L50&lt;&gt;"","50 QC đạt",IF($K50&lt;&gt;"","40 NCC đã gửi",IF($I50&lt;&gt;"","30 Đã đặt NCC",IF($H50&lt;&gt;"","20 Đã xác nhận","10 Mới")))))))))))</f>
        <v/>
      </c>
      <c r="U50" s="33" t="str">
        <f aca="false">IF($T50="","",IFERROR(VLOOKUP($T50,DS!$A$2:$B$12,2,FALSE()),""))</f>
        <v/>
      </c>
      <c r="V50" s="34" t="str">
        <f aca="true">IF(OR($T50="",LEFT($T50,2)="99",LEFT($T50,2)="95"),"",TODAY()-MAX($E50,$H50:$P50))</f>
        <v/>
      </c>
      <c r="W50" s="34" t="str">
        <f aca="true">IF(AND($E50&lt;&gt;"",$I50="",$R50=""),IF(TODAY()-$E50&gt;1,"⚑",""),"")</f>
        <v/>
      </c>
      <c r="X50" s="34" t="str">
        <f aca="true">IF(AND($J50&lt;&gt;"",$K50="",$R50=""),IF(TODAY()-$J50&gt;2,"⚑",""),"")</f>
        <v/>
      </c>
      <c r="Y50" s="34" t="str">
        <f aca="true">IF(AND($G50&lt;&gt;"",$M50="",$R50=""),IF(AND($G50-TODAY()&lt;=14,$G50&gt;=TODAY()),"⚑",""),"")</f>
        <v/>
      </c>
      <c r="Z50" s="34" t="str">
        <f aca="true">IF(AND($G50&lt;&gt;"",$P50="",$R50=""),IF(TODAY()&gt;$G50,"⚑",""),"")</f>
        <v/>
      </c>
      <c r="AA50" s="34" t="str">
        <f aca="true">IF(AND($E50&lt;&gt;"",$P50="",$R50=""),IF(TODAY()-MAX($E50,$H50,$M50,$S50)&gt;7,"⚑",""),"")</f>
        <v/>
      </c>
      <c r="AB50" s="34" t="str">
        <f aca="false">IF(OR($P50="",$G50=""),"",IF($P50&lt;=$G50,"Có","Không"))</f>
        <v/>
      </c>
      <c r="AC50" s="34" t="str">
        <f aca="false">IF(OR($P50="",$E50=""),"",$P50-$E50)</f>
        <v/>
      </c>
      <c r="AD50" s="35" t="str">
        <f aca="false">IF($A50="","",COUNTIF(CASE!$B$3:$B$202,$A50))</f>
        <v/>
      </c>
      <c r="AE50" s="34" t="str">
        <f aca="false">IF(OR($I50="",$E50=""),"",$I50-$E50)</f>
        <v/>
      </c>
      <c r="AF50" s="34" t="str">
        <f aca="false">IF(OR($K50="",$I50=""),"",$K50-$I50)</f>
        <v/>
      </c>
      <c r="AG50" s="34" t="str">
        <f aca="false">IF(OR($L50="",$K50=""),"",$L50-$K50)</f>
        <v/>
      </c>
      <c r="AH50" s="34" t="str">
        <f aca="false">IF(OR($M50="",$L50=""),"",$M50-$L50)</f>
        <v/>
      </c>
      <c r="AI50" s="34" t="str">
        <f aca="false">IF(OR($P50="",$M50=""),"",$P50-$M50)</f>
        <v/>
      </c>
    </row>
    <row r="51" customFormat="false" ht="15" hidden="false" customHeight="false" outlineLevel="0" collapsed="false">
      <c r="A51" s="29"/>
      <c r="B51" s="29"/>
      <c r="C51" s="29"/>
      <c r="D51" s="30"/>
      <c r="E51" s="31"/>
      <c r="F51" s="32" t="str">
        <f aca="false">IF($E51="","",$E51+7*IFERROR(VLOOKUP($B51,DS!$K$2:$M$4,2,FALSE()),12))</f>
        <v/>
      </c>
      <c r="G51" s="32" t="str">
        <f aca="false">IF($E51="","",$E51+7*IFERROR(VLOOKUP($B51,DS!$K$2:$M$4,3,FALSE()),12))</f>
        <v/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3" t="str">
        <f aca="false">IF($A51="","",IF($R51&lt;&gt;"","95 Hủy/hoàn",IF($Q51&lt;&gt;"","99 Đóng",IF($P51&lt;&gt;"","90 Đã giao",IF($O51&lt;&gt;"","80 Đang giao",IF($N51&lt;&gt;"","70 Thông quan",IF($M51&lt;&gt;"","60 Đã xuất",IF($L51&lt;&gt;"","50 QC đạt",IF($K51&lt;&gt;"","40 NCC đã gửi",IF($I51&lt;&gt;"","30 Đã đặt NCC",IF($H51&lt;&gt;"","20 Đã xác nhận","10 Mới")))))))))))</f>
        <v/>
      </c>
      <c r="U51" s="33" t="str">
        <f aca="false">IF($T51="","",IFERROR(VLOOKUP($T51,DS!$A$2:$B$12,2,FALSE()),""))</f>
        <v/>
      </c>
      <c r="V51" s="34" t="str">
        <f aca="true">IF(OR($T51="",LEFT($T51,2)="99",LEFT($T51,2)="95"),"",TODAY()-MAX($E51,$H51:$P51))</f>
        <v/>
      </c>
      <c r="W51" s="34" t="str">
        <f aca="true">IF(AND($E51&lt;&gt;"",$I51="",$R51=""),IF(TODAY()-$E51&gt;1,"⚑",""),"")</f>
        <v/>
      </c>
      <c r="X51" s="34" t="str">
        <f aca="true">IF(AND($J51&lt;&gt;"",$K51="",$R51=""),IF(TODAY()-$J51&gt;2,"⚑",""),"")</f>
        <v/>
      </c>
      <c r="Y51" s="34" t="str">
        <f aca="true">IF(AND($G51&lt;&gt;"",$M51="",$R51=""),IF(AND($G51-TODAY()&lt;=14,$G51&gt;=TODAY()),"⚑",""),"")</f>
        <v/>
      </c>
      <c r="Z51" s="34" t="str">
        <f aca="true">IF(AND($G51&lt;&gt;"",$P51="",$R51=""),IF(TODAY()&gt;$G51,"⚑",""),"")</f>
        <v/>
      </c>
      <c r="AA51" s="34" t="str">
        <f aca="true">IF(AND($E51&lt;&gt;"",$P51="",$R51=""),IF(TODAY()-MAX($E51,$H51,$M51,$S51)&gt;7,"⚑",""),"")</f>
        <v/>
      </c>
      <c r="AB51" s="34" t="str">
        <f aca="false">IF(OR($P51="",$G51=""),"",IF($P51&lt;=$G51,"Có","Không"))</f>
        <v/>
      </c>
      <c r="AC51" s="34" t="str">
        <f aca="false">IF(OR($P51="",$E51=""),"",$P51-$E51)</f>
        <v/>
      </c>
      <c r="AD51" s="35" t="str">
        <f aca="false">IF($A51="","",COUNTIF(CASE!$B$3:$B$202,$A51))</f>
        <v/>
      </c>
      <c r="AE51" s="34" t="str">
        <f aca="false">IF(OR($I51="",$E51=""),"",$I51-$E51)</f>
        <v/>
      </c>
      <c r="AF51" s="34" t="str">
        <f aca="false">IF(OR($K51="",$I51=""),"",$K51-$I51)</f>
        <v/>
      </c>
      <c r="AG51" s="34" t="str">
        <f aca="false">IF(OR($L51="",$K51=""),"",$L51-$K51)</f>
        <v/>
      </c>
      <c r="AH51" s="34" t="str">
        <f aca="false">IF(OR($M51="",$L51=""),"",$M51-$L51)</f>
        <v/>
      </c>
      <c r="AI51" s="34" t="str">
        <f aca="false">IF(OR($P51="",$M51=""),"",$P51-$M51)</f>
        <v/>
      </c>
    </row>
    <row r="52" customFormat="false" ht="15" hidden="false" customHeight="false" outlineLevel="0" collapsed="false">
      <c r="A52" s="29"/>
      <c r="B52" s="29"/>
      <c r="C52" s="29"/>
      <c r="D52" s="30"/>
      <c r="E52" s="31"/>
      <c r="F52" s="32" t="str">
        <f aca="false">IF($E52="","",$E52+7*IFERROR(VLOOKUP($B52,DS!$K$2:$M$4,2,FALSE()),12))</f>
        <v/>
      </c>
      <c r="G52" s="32" t="str">
        <f aca="false">IF($E52="","",$E52+7*IFERROR(VLOOKUP($B52,DS!$K$2:$M$4,3,FALSE()),12))</f>
        <v/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3" t="str">
        <f aca="false">IF($A52="","",IF($R52&lt;&gt;"","95 Hủy/hoàn",IF($Q52&lt;&gt;"","99 Đóng",IF($P52&lt;&gt;"","90 Đã giao",IF($O52&lt;&gt;"","80 Đang giao",IF($N52&lt;&gt;"","70 Thông quan",IF($M52&lt;&gt;"","60 Đã xuất",IF($L52&lt;&gt;"","50 QC đạt",IF($K52&lt;&gt;"","40 NCC đã gửi",IF($I52&lt;&gt;"","30 Đã đặt NCC",IF($H52&lt;&gt;"","20 Đã xác nhận","10 Mới")))))))))))</f>
        <v/>
      </c>
      <c r="U52" s="33" t="str">
        <f aca="false">IF($T52="","",IFERROR(VLOOKUP($T52,DS!$A$2:$B$12,2,FALSE()),""))</f>
        <v/>
      </c>
      <c r="V52" s="34" t="str">
        <f aca="true">IF(OR($T52="",LEFT($T52,2)="99",LEFT($T52,2)="95"),"",TODAY()-MAX($E52,$H52:$P52))</f>
        <v/>
      </c>
      <c r="W52" s="34" t="str">
        <f aca="true">IF(AND($E52&lt;&gt;"",$I52="",$R52=""),IF(TODAY()-$E52&gt;1,"⚑",""),"")</f>
        <v/>
      </c>
      <c r="X52" s="34" t="str">
        <f aca="true">IF(AND($J52&lt;&gt;"",$K52="",$R52=""),IF(TODAY()-$J52&gt;2,"⚑",""),"")</f>
        <v/>
      </c>
      <c r="Y52" s="34" t="str">
        <f aca="true">IF(AND($G52&lt;&gt;"",$M52="",$R52=""),IF(AND($G52-TODAY()&lt;=14,$G52&gt;=TODAY()),"⚑",""),"")</f>
        <v/>
      </c>
      <c r="Z52" s="34" t="str">
        <f aca="true">IF(AND($G52&lt;&gt;"",$P52="",$R52=""),IF(TODAY()&gt;$G52,"⚑",""),"")</f>
        <v/>
      </c>
      <c r="AA52" s="34" t="str">
        <f aca="true">IF(AND($E52&lt;&gt;"",$P52="",$R52=""),IF(TODAY()-MAX($E52,$H52,$M52,$S52)&gt;7,"⚑",""),"")</f>
        <v/>
      </c>
      <c r="AB52" s="34" t="str">
        <f aca="false">IF(OR($P52="",$G52=""),"",IF($P52&lt;=$G52,"Có","Không"))</f>
        <v/>
      </c>
      <c r="AC52" s="34" t="str">
        <f aca="false">IF(OR($P52="",$E52=""),"",$P52-$E52)</f>
        <v/>
      </c>
      <c r="AD52" s="35" t="str">
        <f aca="false">IF($A52="","",COUNTIF(CASE!$B$3:$B$202,$A52))</f>
        <v/>
      </c>
      <c r="AE52" s="34" t="str">
        <f aca="false">IF(OR($I52="",$E52=""),"",$I52-$E52)</f>
        <v/>
      </c>
      <c r="AF52" s="34" t="str">
        <f aca="false">IF(OR($K52="",$I52=""),"",$K52-$I52)</f>
        <v/>
      </c>
      <c r="AG52" s="34" t="str">
        <f aca="false">IF(OR($L52="",$K52=""),"",$L52-$K52)</f>
        <v/>
      </c>
      <c r="AH52" s="34" t="str">
        <f aca="false">IF(OR($M52="",$L52=""),"",$M52-$L52)</f>
        <v/>
      </c>
      <c r="AI52" s="34" t="str">
        <f aca="false">IF(OR($P52="",$M52=""),"",$P52-$M52)</f>
        <v/>
      </c>
    </row>
    <row r="53" customFormat="false" ht="15" hidden="false" customHeight="false" outlineLevel="0" collapsed="false">
      <c r="A53" s="29"/>
      <c r="B53" s="29"/>
      <c r="C53" s="29"/>
      <c r="D53" s="30"/>
      <c r="E53" s="31"/>
      <c r="F53" s="32" t="str">
        <f aca="false">IF($E53="","",$E53+7*IFERROR(VLOOKUP($B53,DS!$K$2:$M$4,2,FALSE()),12))</f>
        <v/>
      </c>
      <c r="G53" s="32" t="str">
        <f aca="false">IF($E53="","",$E53+7*IFERROR(VLOOKUP($B53,DS!$K$2:$M$4,3,FALSE()),12))</f>
        <v/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3" t="str">
        <f aca="false">IF($A53="","",IF($R53&lt;&gt;"","95 Hủy/hoàn",IF($Q53&lt;&gt;"","99 Đóng",IF($P53&lt;&gt;"","90 Đã giao",IF($O53&lt;&gt;"","80 Đang giao",IF($N53&lt;&gt;"","70 Thông quan",IF($M53&lt;&gt;"","60 Đã xuất",IF($L53&lt;&gt;"","50 QC đạt",IF($K53&lt;&gt;"","40 NCC đã gửi",IF($I53&lt;&gt;"","30 Đã đặt NCC",IF($H53&lt;&gt;"","20 Đã xác nhận","10 Mới")))))))))))</f>
        <v/>
      </c>
      <c r="U53" s="33" t="str">
        <f aca="false">IF($T53="","",IFERROR(VLOOKUP($T53,DS!$A$2:$B$12,2,FALSE()),""))</f>
        <v/>
      </c>
      <c r="V53" s="34" t="str">
        <f aca="true">IF(OR($T53="",LEFT($T53,2)="99",LEFT($T53,2)="95"),"",TODAY()-MAX($E53,$H53:$P53))</f>
        <v/>
      </c>
      <c r="W53" s="34" t="str">
        <f aca="true">IF(AND($E53&lt;&gt;"",$I53="",$R53=""),IF(TODAY()-$E53&gt;1,"⚑",""),"")</f>
        <v/>
      </c>
      <c r="X53" s="34" t="str">
        <f aca="true">IF(AND($J53&lt;&gt;"",$K53="",$R53=""),IF(TODAY()-$J53&gt;2,"⚑",""),"")</f>
        <v/>
      </c>
      <c r="Y53" s="34" t="str">
        <f aca="true">IF(AND($G53&lt;&gt;"",$M53="",$R53=""),IF(AND($G53-TODAY()&lt;=14,$G53&gt;=TODAY()),"⚑",""),"")</f>
        <v/>
      </c>
      <c r="Z53" s="34" t="str">
        <f aca="true">IF(AND($G53&lt;&gt;"",$P53="",$R53=""),IF(TODAY()&gt;$G53,"⚑",""),"")</f>
        <v/>
      </c>
      <c r="AA53" s="34" t="str">
        <f aca="true">IF(AND($E53&lt;&gt;"",$P53="",$R53=""),IF(TODAY()-MAX($E53,$H53,$M53,$S53)&gt;7,"⚑",""),"")</f>
        <v/>
      </c>
      <c r="AB53" s="34" t="str">
        <f aca="false">IF(OR($P53="",$G53=""),"",IF($P53&lt;=$G53,"Có","Không"))</f>
        <v/>
      </c>
      <c r="AC53" s="34" t="str">
        <f aca="false">IF(OR($P53="",$E53=""),"",$P53-$E53)</f>
        <v/>
      </c>
      <c r="AD53" s="35" t="str">
        <f aca="false">IF($A53="","",COUNTIF(CASE!$B$3:$B$202,$A53))</f>
        <v/>
      </c>
      <c r="AE53" s="34" t="str">
        <f aca="false">IF(OR($I53="",$E53=""),"",$I53-$E53)</f>
        <v/>
      </c>
      <c r="AF53" s="34" t="str">
        <f aca="false">IF(OR($K53="",$I53=""),"",$K53-$I53)</f>
        <v/>
      </c>
      <c r="AG53" s="34" t="str">
        <f aca="false">IF(OR($L53="",$K53=""),"",$L53-$K53)</f>
        <v/>
      </c>
      <c r="AH53" s="34" t="str">
        <f aca="false">IF(OR($M53="",$L53=""),"",$M53-$L53)</f>
        <v/>
      </c>
      <c r="AI53" s="34" t="str">
        <f aca="false">IF(OR($P53="",$M53=""),"",$P53-$M53)</f>
        <v/>
      </c>
    </row>
    <row r="54" customFormat="false" ht="15" hidden="false" customHeight="false" outlineLevel="0" collapsed="false">
      <c r="A54" s="29"/>
      <c r="B54" s="29"/>
      <c r="C54" s="29"/>
      <c r="D54" s="30"/>
      <c r="E54" s="31"/>
      <c r="F54" s="32" t="str">
        <f aca="false">IF($E54="","",$E54+7*IFERROR(VLOOKUP($B54,DS!$K$2:$M$4,2,FALSE()),12))</f>
        <v/>
      </c>
      <c r="G54" s="32" t="str">
        <f aca="false">IF($E54="","",$E54+7*IFERROR(VLOOKUP($B54,DS!$K$2:$M$4,3,FALSE()),12))</f>
        <v/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3" t="str">
        <f aca="false">IF($A54="","",IF($R54&lt;&gt;"","95 Hủy/hoàn",IF($Q54&lt;&gt;"","99 Đóng",IF($P54&lt;&gt;"","90 Đã giao",IF($O54&lt;&gt;"","80 Đang giao",IF($N54&lt;&gt;"","70 Thông quan",IF($M54&lt;&gt;"","60 Đã xuất",IF($L54&lt;&gt;"","50 QC đạt",IF($K54&lt;&gt;"","40 NCC đã gửi",IF($I54&lt;&gt;"","30 Đã đặt NCC",IF($H54&lt;&gt;"","20 Đã xác nhận","10 Mới")))))))))))</f>
        <v/>
      </c>
      <c r="U54" s="33" t="str">
        <f aca="false">IF($T54="","",IFERROR(VLOOKUP($T54,DS!$A$2:$B$12,2,FALSE()),""))</f>
        <v/>
      </c>
      <c r="V54" s="34" t="str">
        <f aca="true">IF(OR($T54="",LEFT($T54,2)="99",LEFT($T54,2)="95"),"",TODAY()-MAX($E54,$H54:$P54))</f>
        <v/>
      </c>
      <c r="W54" s="34" t="str">
        <f aca="true">IF(AND($E54&lt;&gt;"",$I54="",$R54=""),IF(TODAY()-$E54&gt;1,"⚑",""),"")</f>
        <v/>
      </c>
      <c r="X54" s="34" t="str">
        <f aca="true">IF(AND($J54&lt;&gt;"",$K54="",$R54=""),IF(TODAY()-$J54&gt;2,"⚑",""),"")</f>
        <v/>
      </c>
      <c r="Y54" s="34" t="str">
        <f aca="true">IF(AND($G54&lt;&gt;"",$M54="",$R54=""),IF(AND($G54-TODAY()&lt;=14,$G54&gt;=TODAY()),"⚑",""),"")</f>
        <v/>
      </c>
      <c r="Z54" s="34" t="str">
        <f aca="true">IF(AND($G54&lt;&gt;"",$P54="",$R54=""),IF(TODAY()&gt;$G54,"⚑",""),"")</f>
        <v/>
      </c>
      <c r="AA54" s="34" t="str">
        <f aca="true">IF(AND($E54&lt;&gt;"",$P54="",$R54=""),IF(TODAY()-MAX($E54,$H54,$M54,$S54)&gt;7,"⚑",""),"")</f>
        <v/>
      </c>
      <c r="AB54" s="34" t="str">
        <f aca="false">IF(OR($P54="",$G54=""),"",IF($P54&lt;=$G54,"Có","Không"))</f>
        <v/>
      </c>
      <c r="AC54" s="34" t="str">
        <f aca="false">IF(OR($P54="",$E54=""),"",$P54-$E54)</f>
        <v/>
      </c>
      <c r="AD54" s="35" t="str">
        <f aca="false">IF($A54="","",COUNTIF(CASE!$B$3:$B$202,$A54))</f>
        <v/>
      </c>
      <c r="AE54" s="34" t="str">
        <f aca="false">IF(OR($I54="",$E54=""),"",$I54-$E54)</f>
        <v/>
      </c>
      <c r="AF54" s="34" t="str">
        <f aca="false">IF(OR($K54="",$I54=""),"",$K54-$I54)</f>
        <v/>
      </c>
      <c r="AG54" s="34" t="str">
        <f aca="false">IF(OR($L54="",$K54=""),"",$L54-$K54)</f>
        <v/>
      </c>
      <c r="AH54" s="34" t="str">
        <f aca="false">IF(OR($M54="",$L54=""),"",$M54-$L54)</f>
        <v/>
      </c>
      <c r="AI54" s="34" t="str">
        <f aca="false">IF(OR($P54="",$M54=""),"",$P54-$M54)</f>
        <v/>
      </c>
    </row>
    <row r="55" customFormat="false" ht="15" hidden="false" customHeight="false" outlineLevel="0" collapsed="false">
      <c r="A55" s="29"/>
      <c r="B55" s="29"/>
      <c r="C55" s="29"/>
      <c r="D55" s="30"/>
      <c r="E55" s="31"/>
      <c r="F55" s="32" t="str">
        <f aca="false">IF($E55="","",$E55+7*IFERROR(VLOOKUP($B55,DS!$K$2:$M$4,2,FALSE()),12))</f>
        <v/>
      </c>
      <c r="G55" s="32" t="str">
        <f aca="false">IF($E55="","",$E55+7*IFERROR(VLOOKUP($B55,DS!$K$2:$M$4,3,FALSE()),12))</f>
        <v/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3" t="str">
        <f aca="false">IF($A55="","",IF($R55&lt;&gt;"","95 Hủy/hoàn",IF($Q55&lt;&gt;"","99 Đóng",IF($P55&lt;&gt;"","90 Đã giao",IF($O55&lt;&gt;"","80 Đang giao",IF($N55&lt;&gt;"","70 Thông quan",IF($M55&lt;&gt;"","60 Đã xuất",IF($L55&lt;&gt;"","50 QC đạt",IF($K55&lt;&gt;"","40 NCC đã gửi",IF($I55&lt;&gt;"","30 Đã đặt NCC",IF($H55&lt;&gt;"","20 Đã xác nhận","10 Mới")))))))))))</f>
        <v/>
      </c>
      <c r="U55" s="33" t="str">
        <f aca="false">IF($T55="","",IFERROR(VLOOKUP($T55,DS!$A$2:$B$12,2,FALSE()),""))</f>
        <v/>
      </c>
      <c r="V55" s="34" t="str">
        <f aca="true">IF(OR($T55="",LEFT($T55,2)="99",LEFT($T55,2)="95"),"",TODAY()-MAX($E55,$H55:$P55))</f>
        <v/>
      </c>
      <c r="W55" s="34" t="str">
        <f aca="true">IF(AND($E55&lt;&gt;"",$I55="",$R55=""),IF(TODAY()-$E55&gt;1,"⚑",""),"")</f>
        <v/>
      </c>
      <c r="X55" s="34" t="str">
        <f aca="true">IF(AND($J55&lt;&gt;"",$K55="",$R55=""),IF(TODAY()-$J55&gt;2,"⚑",""),"")</f>
        <v/>
      </c>
      <c r="Y55" s="34" t="str">
        <f aca="true">IF(AND($G55&lt;&gt;"",$M55="",$R55=""),IF(AND($G55-TODAY()&lt;=14,$G55&gt;=TODAY()),"⚑",""),"")</f>
        <v/>
      </c>
      <c r="Z55" s="34" t="str">
        <f aca="true">IF(AND($G55&lt;&gt;"",$P55="",$R55=""),IF(TODAY()&gt;$G55,"⚑",""),"")</f>
        <v/>
      </c>
      <c r="AA55" s="34" t="str">
        <f aca="true">IF(AND($E55&lt;&gt;"",$P55="",$R55=""),IF(TODAY()-MAX($E55,$H55,$M55,$S55)&gt;7,"⚑",""),"")</f>
        <v/>
      </c>
      <c r="AB55" s="34" t="str">
        <f aca="false">IF(OR($P55="",$G55=""),"",IF($P55&lt;=$G55,"Có","Không"))</f>
        <v/>
      </c>
      <c r="AC55" s="34" t="str">
        <f aca="false">IF(OR($P55="",$E55=""),"",$P55-$E55)</f>
        <v/>
      </c>
      <c r="AD55" s="35" t="str">
        <f aca="false">IF($A55="","",COUNTIF(CASE!$B$3:$B$202,$A55))</f>
        <v/>
      </c>
      <c r="AE55" s="34" t="str">
        <f aca="false">IF(OR($I55="",$E55=""),"",$I55-$E55)</f>
        <v/>
      </c>
      <c r="AF55" s="34" t="str">
        <f aca="false">IF(OR($K55="",$I55=""),"",$K55-$I55)</f>
        <v/>
      </c>
      <c r="AG55" s="34" t="str">
        <f aca="false">IF(OR($L55="",$K55=""),"",$L55-$K55)</f>
        <v/>
      </c>
      <c r="AH55" s="34" t="str">
        <f aca="false">IF(OR($M55="",$L55=""),"",$M55-$L55)</f>
        <v/>
      </c>
      <c r="AI55" s="34" t="str">
        <f aca="false">IF(OR($P55="",$M55=""),"",$P55-$M55)</f>
        <v/>
      </c>
    </row>
    <row r="56" customFormat="false" ht="15" hidden="false" customHeight="false" outlineLevel="0" collapsed="false">
      <c r="A56" s="29"/>
      <c r="B56" s="29"/>
      <c r="C56" s="29"/>
      <c r="D56" s="30"/>
      <c r="E56" s="31"/>
      <c r="F56" s="32" t="str">
        <f aca="false">IF($E56="","",$E56+7*IFERROR(VLOOKUP($B56,DS!$K$2:$M$4,2,FALSE()),12))</f>
        <v/>
      </c>
      <c r="G56" s="32" t="str">
        <f aca="false">IF($E56="","",$E56+7*IFERROR(VLOOKUP($B56,DS!$K$2:$M$4,3,FALSE()),12))</f>
        <v/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3" t="str">
        <f aca="false">IF($A56="","",IF($R56&lt;&gt;"","95 Hủy/hoàn",IF($Q56&lt;&gt;"","99 Đóng",IF($P56&lt;&gt;"","90 Đã giao",IF($O56&lt;&gt;"","80 Đang giao",IF($N56&lt;&gt;"","70 Thông quan",IF($M56&lt;&gt;"","60 Đã xuất",IF($L56&lt;&gt;"","50 QC đạt",IF($K56&lt;&gt;"","40 NCC đã gửi",IF($I56&lt;&gt;"","30 Đã đặt NCC",IF($H56&lt;&gt;"","20 Đã xác nhận","10 Mới")))))))))))</f>
        <v/>
      </c>
      <c r="U56" s="33" t="str">
        <f aca="false">IF($T56="","",IFERROR(VLOOKUP($T56,DS!$A$2:$B$12,2,FALSE()),""))</f>
        <v/>
      </c>
      <c r="V56" s="34" t="str">
        <f aca="true">IF(OR($T56="",LEFT($T56,2)="99",LEFT($T56,2)="95"),"",TODAY()-MAX($E56,$H56:$P56))</f>
        <v/>
      </c>
      <c r="W56" s="34" t="str">
        <f aca="true">IF(AND($E56&lt;&gt;"",$I56="",$R56=""),IF(TODAY()-$E56&gt;1,"⚑",""),"")</f>
        <v/>
      </c>
      <c r="X56" s="34" t="str">
        <f aca="true">IF(AND($J56&lt;&gt;"",$K56="",$R56=""),IF(TODAY()-$J56&gt;2,"⚑",""),"")</f>
        <v/>
      </c>
      <c r="Y56" s="34" t="str">
        <f aca="true">IF(AND($G56&lt;&gt;"",$M56="",$R56=""),IF(AND($G56-TODAY()&lt;=14,$G56&gt;=TODAY()),"⚑",""),"")</f>
        <v/>
      </c>
      <c r="Z56" s="34" t="str">
        <f aca="true">IF(AND($G56&lt;&gt;"",$P56="",$R56=""),IF(TODAY()&gt;$G56,"⚑",""),"")</f>
        <v/>
      </c>
      <c r="AA56" s="34" t="str">
        <f aca="true">IF(AND($E56&lt;&gt;"",$P56="",$R56=""),IF(TODAY()-MAX($E56,$H56,$M56,$S56)&gt;7,"⚑",""),"")</f>
        <v/>
      </c>
      <c r="AB56" s="34" t="str">
        <f aca="false">IF(OR($P56="",$G56=""),"",IF($P56&lt;=$G56,"Có","Không"))</f>
        <v/>
      </c>
      <c r="AC56" s="34" t="str">
        <f aca="false">IF(OR($P56="",$E56=""),"",$P56-$E56)</f>
        <v/>
      </c>
      <c r="AD56" s="35" t="str">
        <f aca="false">IF($A56="","",COUNTIF(CASE!$B$3:$B$202,$A56))</f>
        <v/>
      </c>
      <c r="AE56" s="34" t="str">
        <f aca="false">IF(OR($I56="",$E56=""),"",$I56-$E56)</f>
        <v/>
      </c>
      <c r="AF56" s="34" t="str">
        <f aca="false">IF(OR($K56="",$I56=""),"",$K56-$I56)</f>
        <v/>
      </c>
      <c r="AG56" s="34" t="str">
        <f aca="false">IF(OR($L56="",$K56=""),"",$L56-$K56)</f>
        <v/>
      </c>
      <c r="AH56" s="34" t="str">
        <f aca="false">IF(OR($M56="",$L56=""),"",$M56-$L56)</f>
        <v/>
      </c>
      <c r="AI56" s="34" t="str">
        <f aca="false">IF(OR($P56="",$M56=""),"",$P56-$M56)</f>
        <v/>
      </c>
    </row>
    <row r="57" customFormat="false" ht="15" hidden="false" customHeight="false" outlineLevel="0" collapsed="false">
      <c r="A57" s="29"/>
      <c r="B57" s="29"/>
      <c r="C57" s="29"/>
      <c r="D57" s="30"/>
      <c r="E57" s="31"/>
      <c r="F57" s="32" t="str">
        <f aca="false">IF($E57="","",$E57+7*IFERROR(VLOOKUP($B57,DS!$K$2:$M$4,2,FALSE()),12))</f>
        <v/>
      </c>
      <c r="G57" s="32" t="str">
        <f aca="false">IF($E57="","",$E57+7*IFERROR(VLOOKUP($B57,DS!$K$2:$M$4,3,FALSE()),12))</f>
        <v/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3" t="str">
        <f aca="false">IF($A57="","",IF($R57&lt;&gt;"","95 Hủy/hoàn",IF($Q57&lt;&gt;"","99 Đóng",IF($P57&lt;&gt;"","90 Đã giao",IF($O57&lt;&gt;"","80 Đang giao",IF($N57&lt;&gt;"","70 Thông quan",IF($M57&lt;&gt;"","60 Đã xuất",IF($L57&lt;&gt;"","50 QC đạt",IF($K57&lt;&gt;"","40 NCC đã gửi",IF($I57&lt;&gt;"","30 Đã đặt NCC",IF($H57&lt;&gt;"","20 Đã xác nhận","10 Mới")))))))))))</f>
        <v/>
      </c>
      <c r="U57" s="33" t="str">
        <f aca="false">IF($T57="","",IFERROR(VLOOKUP($T57,DS!$A$2:$B$12,2,FALSE()),""))</f>
        <v/>
      </c>
      <c r="V57" s="34" t="str">
        <f aca="true">IF(OR($T57="",LEFT($T57,2)="99",LEFT($T57,2)="95"),"",TODAY()-MAX($E57,$H57:$P57))</f>
        <v/>
      </c>
      <c r="W57" s="34" t="str">
        <f aca="true">IF(AND($E57&lt;&gt;"",$I57="",$R57=""),IF(TODAY()-$E57&gt;1,"⚑",""),"")</f>
        <v/>
      </c>
      <c r="X57" s="34" t="str">
        <f aca="true">IF(AND($J57&lt;&gt;"",$K57="",$R57=""),IF(TODAY()-$J57&gt;2,"⚑",""),"")</f>
        <v/>
      </c>
      <c r="Y57" s="34" t="str">
        <f aca="true">IF(AND($G57&lt;&gt;"",$M57="",$R57=""),IF(AND($G57-TODAY()&lt;=14,$G57&gt;=TODAY()),"⚑",""),"")</f>
        <v/>
      </c>
      <c r="Z57" s="34" t="str">
        <f aca="true">IF(AND($G57&lt;&gt;"",$P57="",$R57=""),IF(TODAY()&gt;$G57,"⚑",""),"")</f>
        <v/>
      </c>
      <c r="AA57" s="34" t="str">
        <f aca="true">IF(AND($E57&lt;&gt;"",$P57="",$R57=""),IF(TODAY()-MAX($E57,$H57,$M57,$S57)&gt;7,"⚑",""),"")</f>
        <v/>
      </c>
      <c r="AB57" s="34" t="str">
        <f aca="false">IF(OR($P57="",$G57=""),"",IF($P57&lt;=$G57,"Có","Không"))</f>
        <v/>
      </c>
      <c r="AC57" s="34" t="str">
        <f aca="false">IF(OR($P57="",$E57=""),"",$P57-$E57)</f>
        <v/>
      </c>
      <c r="AD57" s="35" t="str">
        <f aca="false">IF($A57="","",COUNTIF(CASE!$B$3:$B$202,$A57))</f>
        <v/>
      </c>
      <c r="AE57" s="34" t="str">
        <f aca="false">IF(OR($I57="",$E57=""),"",$I57-$E57)</f>
        <v/>
      </c>
      <c r="AF57" s="34" t="str">
        <f aca="false">IF(OR($K57="",$I57=""),"",$K57-$I57)</f>
        <v/>
      </c>
      <c r="AG57" s="34" t="str">
        <f aca="false">IF(OR($L57="",$K57=""),"",$L57-$K57)</f>
        <v/>
      </c>
      <c r="AH57" s="34" t="str">
        <f aca="false">IF(OR($M57="",$L57=""),"",$M57-$L57)</f>
        <v/>
      </c>
      <c r="AI57" s="34" t="str">
        <f aca="false">IF(OR($P57="",$M57=""),"",$P57-$M57)</f>
        <v/>
      </c>
    </row>
    <row r="58" customFormat="false" ht="15" hidden="false" customHeight="false" outlineLevel="0" collapsed="false">
      <c r="A58" s="29"/>
      <c r="B58" s="29"/>
      <c r="C58" s="29"/>
      <c r="D58" s="30"/>
      <c r="E58" s="31"/>
      <c r="F58" s="32" t="str">
        <f aca="false">IF($E58="","",$E58+7*IFERROR(VLOOKUP($B58,DS!$K$2:$M$4,2,FALSE()),12))</f>
        <v/>
      </c>
      <c r="G58" s="32" t="str">
        <f aca="false">IF($E58="","",$E58+7*IFERROR(VLOOKUP($B58,DS!$K$2:$M$4,3,FALSE()),12))</f>
        <v/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3" t="str">
        <f aca="false">IF($A58="","",IF($R58&lt;&gt;"","95 Hủy/hoàn",IF($Q58&lt;&gt;"","99 Đóng",IF($P58&lt;&gt;"","90 Đã giao",IF($O58&lt;&gt;"","80 Đang giao",IF($N58&lt;&gt;"","70 Thông quan",IF($M58&lt;&gt;"","60 Đã xuất",IF($L58&lt;&gt;"","50 QC đạt",IF($K58&lt;&gt;"","40 NCC đã gửi",IF($I58&lt;&gt;"","30 Đã đặt NCC",IF($H58&lt;&gt;"","20 Đã xác nhận","10 Mới")))))))))))</f>
        <v/>
      </c>
      <c r="U58" s="33" t="str">
        <f aca="false">IF($T58="","",IFERROR(VLOOKUP($T58,DS!$A$2:$B$12,2,FALSE()),""))</f>
        <v/>
      </c>
      <c r="V58" s="34" t="str">
        <f aca="true">IF(OR($T58="",LEFT($T58,2)="99",LEFT($T58,2)="95"),"",TODAY()-MAX($E58,$H58:$P58))</f>
        <v/>
      </c>
      <c r="W58" s="34" t="str">
        <f aca="true">IF(AND($E58&lt;&gt;"",$I58="",$R58=""),IF(TODAY()-$E58&gt;1,"⚑",""),"")</f>
        <v/>
      </c>
      <c r="X58" s="34" t="str">
        <f aca="true">IF(AND($J58&lt;&gt;"",$K58="",$R58=""),IF(TODAY()-$J58&gt;2,"⚑",""),"")</f>
        <v/>
      </c>
      <c r="Y58" s="34" t="str">
        <f aca="true">IF(AND($G58&lt;&gt;"",$M58="",$R58=""),IF(AND($G58-TODAY()&lt;=14,$G58&gt;=TODAY()),"⚑",""),"")</f>
        <v/>
      </c>
      <c r="Z58" s="34" t="str">
        <f aca="true">IF(AND($G58&lt;&gt;"",$P58="",$R58=""),IF(TODAY()&gt;$G58,"⚑",""),"")</f>
        <v/>
      </c>
      <c r="AA58" s="34" t="str">
        <f aca="true">IF(AND($E58&lt;&gt;"",$P58="",$R58=""),IF(TODAY()-MAX($E58,$H58,$M58,$S58)&gt;7,"⚑",""),"")</f>
        <v/>
      </c>
      <c r="AB58" s="34" t="str">
        <f aca="false">IF(OR($P58="",$G58=""),"",IF($P58&lt;=$G58,"Có","Không"))</f>
        <v/>
      </c>
      <c r="AC58" s="34" t="str">
        <f aca="false">IF(OR($P58="",$E58=""),"",$P58-$E58)</f>
        <v/>
      </c>
      <c r="AD58" s="35" t="str">
        <f aca="false">IF($A58="","",COUNTIF(CASE!$B$3:$B$202,$A58))</f>
        <v/>
      </c>
      <c r="AE58" s="34" t="str">
        <f aca="false">IF(OR($I58="",$E58=""),"",$I58-$E58)</f>
        <v/>
      </c>
      <c r="AF58" s="34" t="str">
        <f aca="false">IF(OR($K58="",$I58=""),"",$K58-$I58)</f>
        <v/>
      </c>
      <c r="AG58" s="34" t="str">
        <f aca="false">IF(OR($L58="",$K58=""),"",$L58-$K58)</f>
        <v/>
      </c>
      <c r="AH58" s="34" t="str">
        <f aca="false">IF(OR($M58="",$L58=""),"",$M58-$L58)</f>
        <v/>
      </c>
      <c r="AI58" s="34" t="str">
        <f aca="false">IF(OR($P58="",$M58=""),"",$P58-$M58)</f>
        <v/>
      </c>
    </row>
    <row r="59" customFormat="false" ht="15" hidden="false" customHeight="false" outlineLevel="0" collapsed="false">
      <c r="A59" s="29"/>
      <c r="B59" s="29"/>
      <c r="C59" s="29"/>
      <c r="D59" s="30"/>
      <c r="E59" s="31"/>
      <c r="F59" s="32" t="str">
        <f aca="false">IF($E59="","",$E59+7*IFERROR(VLOOKUP($B59,DS!$K$2:$M$4,2,FALSE()),12))</f>
        <v/>
      </c>
      <c r="G59" s="32" t="str">
        <f aca="false">IF($E59="","",$E59+7*IFERROR(VLOOKUP($B59,DS!$K$2:$M$4,3,FALSE()),12))</f>
        <v/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3" t="str">
        <f aca="false">IF($A59="","",IF($R59&lt;&gt;"","95 Hủy/hoàn",IF($Q59&lt;&gt;"","99 Đóng",IF($P59&lt;&gt;"","90 Đã giao",IF($O59&lt;&gt;"","80 Đang giao",IF($N59&lt;&gt;"","70 Thông quan",IF($M59&lt;&gt;"","60 Đã xuất",IF($L59&lt;&gt;"","50 QC đạt",IF($K59&lt;&gt;"","40 NCC đã gửi",IF($I59&lt;&gt;"","30 Đã đặt NCC",IF($H59&lt;&gt;"","20 Đã xác nhận","10 Mới")))))))))))</f>
        <v/>
      </c>
      <c r="U59" s="33" t="str">
        <f aca="false">IF($T59="","",IFERROR(VLOOKUP($T59,DS!$A$2:$B$12,2,FALSE()),""))</f>
        <v/>
      </c>
      <c r="V59" s="34" t="str">
        <f aca="true">IF(OR($T59="",LEFT($T59,2)="99",LEFT($T59,2)="95"),"",TODAY()-MAX($E59,$H59:$P59))</f>
        <v/>
      </c>
      <c r="W59" s="34" t="str">
        <f aca="true">IF(AND($E59&lt;&gt;"",$I59="",$R59=""),IF(TODAY()-$E59&gt;1,"⚑",""),"")</f>
        <v/>
      </c>
      <c r="X59" s="34" t="str">
        <f aca="true">IF(AND($J59&lt;&gt;"",$K59="",$R59=""),IF(TODAY()-$J59&gt;2,"⚑",""),"")</f>
        <v/>
      </c>
      <c r="Y59" s="34" t="str">
        <f aca="true">IF(AND($G59&lt;&gt;"",$M59="",$R59=""),IF(AND($G59-TODAY()&lt;=14,$G59&gt;=TODAY()),"⚑",""),"")</f>
        <v/>
      </c>
      <c r="Z59" s="34" t="str">
        <f aca="true">IF(AND($G59&lt;&gt;"",$P59="",$R59=""),IF(TODAY()&gt;$G59,"⚑",""),"")</f>
        <v/>
      </c>
      <c r="AA59" s="34" t="str">
        <f aca="true">IF(AND($E59&lt;&gt;"",$P59="",$R59=""),IF(TODAY()-MAX($E59,$H59,$M59,$S59)&gt;7,"⚑",""),"")</f>
        <v/>
      </c>
      <c r="AB59" s="34" t="str">
        <f aca="false">IF(OR($P59="",$G59=""),"",IF($P59&lt;=$G59,"Có","Không"))</f>
        <v/>
      </c>
      <c r="AC59" s="34" t="str">
        <f aca="false">IF(OR($P59="",$E59=""),"",$P59-$E59)</f>
        <v/>
      </c>
      <c r="AD59" s="35" t="str">
        <f aca="false">IF($A59="","",COUNTIF(CASE!$B$3:$B$202,$A59))</f>
        <v/>
      </c>
      <c r="AE59" s="34" t="str">
        <f aca="false">IF(OR($I59="",$E59=""),"",$I59-$E59)</f>
        <v/>
      </c>
      <c r="AF59" s="34" t="str">
        <f aca="false">IF(OR($K59="",$I59=""),"",$K59-$I59)</f>
        <v/>
      </c>
      <c r="AG59" s="34" t="str">
        <f aca="false">IF(OR($L59="",$K59=""),"",$L59-$K59)</f>
        <v/>
      </c>
      <c r="AH59" s="34" t="str">
        <f aca="false">IF(OR($M59="",$L59=""),"",$M59-$L59)</f>
        <v/>
      </c>
      <c r="AI59" s="34" t="str">
        <f aca="false">IF(OR($P59="",$M59=""),"",$P59-$M59)</f>
        <v/>
      </c>
    </row>
    <row r="60" customFormat="false" ht="15" hidden="false" customHeight="false" outlineLevel="0" collapsed="false">
      <c r="A60" s="29"/>
      <c r="B60" s="29"/>
      <c r="C60" s="29"/>
      <c r="D60" s="30"/>
      <c r="E60" s="31"/>
      <c r="F60" s="32" t="str">
        <f aca="false">IF($E60="","",$E60+7*IFERROR(VLOOKUP($B60,DS!$K$2:$M$4,2,FALSE()),12))</f>
        <v/>
      </c>
      <c r="G60" s="32" t="str">
        <f aca="false">IF($E60="","",$E60+7*IFERROR(VLOOKUP($B60,DS!$K$2:$M$4,3,FALSE()),12))</f>
        <v/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3" t="str">
        <f aca="false">IF($A60="","",IF($R60&lt;&gt;"","95 Hủy/hoàn",IF($Q60&lt;&gt;"","99 Đóng",IF($P60&lt;&gt;"","90 Đã giao",IF($O60&lt;&gt;"","80 Đang giao",IF($N60&lt;&gt;"","70 Thông quan",IF($M60&lt;&gt;"","60 Đã xuất",IF($L60&lt;&gt;"","50 QC đạt",IF($K60&lt;&gt;"","40 NCC đã gửi",IF($I60&lt;&gt;"","30 Đã đặt NCC",IF($H60&lt;&gt;"","20 Đã xác nhận","10 Mới")))))))))))</f>
        <v/>
      </c>
      <c r="U60" s="33" t="str">
        <f aca="false">IF($T60="","",IFERROR(VLOOKUP($T60,DS!$A$2:$B$12,2,FALSE()),""))</f>
        <v/>
      </c>
      <c r="V60" s="34" t="str">
        <f aca="true">IF(OR($T60="",LEFT($T60,2)="99",LEFT($T60,2)="95"),"",TODAY()-MAX($E60,$H60:$P60))</f>
        <v/>
      </c>
      <c r="W60" s="34" t="str">
        <f aca="true">IF(AND($E60&lt;&gt;"",$I60="",$R60=""),IF(TODAY()-$E60&gt;1,"⚑",""),"")</f>
        <v/>
      </c>
      <c r="X60" s="34" t="str">
        <f aca="true">IF(AND($J60&lt;&gt;"",$K60="",$R60=""),IF(TODAY()-$J60&gt;2,"⚑",""),"")</f>
        <v/>
      </c>
      <c r="Y60" s="34" t="str">
        <f aca="true">IF(AND($G60&lt;&gt;"",$M60="",$R60=""),IF(AND($G60-TODAY()&lt;=14,$G60&gt;=TODAY()),"⚑",""),"")</f>
        <v/>
      </c>
      <c r="Z60" s="34" t="str">
        <f aca="true">IF(AND($G60&lt;&gt;"",$P60="",$R60=""),IF(TODAY()&gt;$G60,"⚑",""),"")</f>
        <v/>
      </c>
      <c r="AA60" s="34" t="str">
        <f aca="true">IF(AND($E60&lt;&gt;"",$P60="",$R60=""),IF(TODAY()-MAX($E60,$H60,$M60,$S60)&gt;7,"⚑",""),"")</f>
        <v/>
      </c>
      <c r="AB60" s="34" t="str">
        <f aca="false">IF(OR($P60="",$G60=""),"",IF($P60&lt;=$G60,"Có","Không"))</f>
        <v/>
      </c>
      <c r="AC60" s="34" t="str">
        <f aca="false">IF(OR($P60="",$E60=""),"",$P60-$E60)</f>
        <v/>
      </c>
      <c r="AD60" s="35" t="str">
        <f aca="false">IF($A60="","",COUNTIF(CASE!$B$3:$B$202,$A60))</f>
        <v/>
      </c>
      <c r="AE60" s="34" t="str">
        <f aca="false">IF(OR($I60="",$E60=""),"",$I60-$E60)</f>
        <v/>
      </c>
      <c r="AF60" s="34" t="str">
        <f aca="false">IF(OR($K60="",$I60=""),"",$K60-$I60)</f>
        <v/>
      </c>
      <c r="AG60" s="34" t="str">
        <f aca="false">IF(OR($L60="",$K60=""),"",$L60-$K60)</f>
        <v/>
      </c>
      <c r="AH60" s="34" t="str">
        <f aca="false">IF(OR($M60="",$L60=""),"",$M60-$L60)</f>
        <v/>
      </c>
      <c r="AI60" s="34" t="str">
        <f aca="false">IF(OR($P60="",$M60=""),"",$P60-$M60)</f>
        <v/>
      </c>
    </row>
    <row r="61" customFormat="false" ht="15" hidden="false" customHeight="false" outlineLevel="0" collapsed="false">
      <c r="A61" s="29"/>
      <c r="B61" s="29"/>
      <c r="C61" s="29"/>
      <c r="D61" s="30"/>
      <c r="E61" s="31"/>
      <c r="F61" s="32" t="str">
        <f aca="false">IF($E61="","",$E61+7*IFERROR(VLOOKUP($B61,DS!$K$2:$M$4,2,FALSE()),12))</f>
        <v/>
      </c>
      <c r="G61" s="32" t="str">
        <f aca="false">IF($E61="","",$E61+7*IFERROR(VLOOKUP($B61,DS!$K$2:$M$4,3,FALSE()),12))</f>
        <v/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3" t="str">
        <f aca="false">IF($A61="","",IF($R61&lt;&gt;"","95 Hủy/hoàn",IF($Q61&lt;&gt;"","99 Đóng",IF($P61&lt;&gt;"","90 Đã giao",IF($O61&lt;&gt;"","80 Đang giao",IF($N61&lt;&gt;"","70 Thông quan",IF($M61&lt;&gt;"","60 Đã xuất",IF($L61&lt;&gt;"","50 QC đạt",IF($K61&lt;&gt;"","40 NCC đã gửi",IF($I61&lt;&gt;"","30 Đã đặt NCC",IF($H61&lt;&gt;"","20 Đã xác nhận","10 Mới")))))))))))</f>
        <v/>
      </c>
      <c r="U61" s="33" t="str">
        <f aca="false">IF($T61="","",IFERROR(VLOOKUP($T61,DS!$A$2:$B$12,2,FALSE()),""))</f>
        <v/>
      </c>
      <c r="V61" s="34" t="str">
        <f aca="true">IF(OR($T61="",LEFT($T61,2)="99",LEFT($T61,2)="95"),"",TODAY()-MAX($E61,$H61:$P61))</f>
        <v/>
      </c>
      <c r="W61" s="34" t="str">
        <f aca="true">IF(AND($E61&lt;&gt;"",$I61="",$R61=""),IF(TODAY()-$E61&gt;1,"⚑",""),"")</f>
        <v/>
      </c>
      <c r="X61" s="34" t="str">
        <f aca="true">IF(AND($J61&lt;&gt;"",$K61="",$R61=""),IF(TODAY()-$J61&gt;2,"⚑",""),"")</f>
        <v/>
      </c>
      <c r="Y61" s="34" t="str">
        <f aca="true">IF(AND($G61&lt;&gt;"",$M61="",$R61=""),IF(AND($G61-TODAY()&lt;=14,$G61&gt;=TODAY()),"⚑",""),"")</f>
        <v/>
      </c>
      <c r="Z61" s="34" t="str">
        <f aca="true">IF(AND($G61&lt;&gt;"",$P61="",$R61=""),IF(TODAY()&gt;$G61,"⚑",""),"")</f>
        <v/>
      </c>
      <c r="AA61" s="34" t="str">
        <f aca="true">IF(AND($E61&lt;&gt;"",$P61="",$R61=""),IF(TODAY()-MAX($E61,$H61,$M61,$S61)&gt;7,"⚑",""),"")</f>
        <v/>
      </c>
      <c r="AB61" s="34" t="str">
        <f aca="false">IF(OR($P61="",$G61=""),"",IF($P61&lt;=$G61,"Có","Không"))</f>
        <v/>
      </c>
      <c r="AC61" s="34" t="str">
        <f aca="false">IF(OR($P61="",$E61=""),"",$P61-$E61)</f>
        <v/>
      </c>
      <c r="AD61" s="35" t="str">
        <f aca="false">IF($A61="","",COUNTIF(CASE!$B$3:$B$202,$A61))</f>
        <v/>
      </c>
      <c r="AE61" s="34" t="str">
        <f aca="false">IF(OR($I61="",$E61=""),"",$I61-$E61)</f>
        <v/>
      </c>
      <c r="AF61" s="34" t="str">
        <f aca="false">IF(OR($K61="",$I61=""),"",$K61-$I61)</f>
        <v/>
      </c>
      <c r="AG61" s="34" t="str">
        <f aca="false">IF(OR($L61="",$K61=""),"",$L61-$K61)</f>
        <v/>
      </c>
      <c r="AH61" s="34" t="str">
        <f aca="false">IF(OR($M61="",$L61=""),"",$M61-$L61)</f>
        <v/>
      </c>
      <c r="AI61" s="34" t="str">
        <f aca="false">IF(OR($P61="",$M61=""),"",$P61-$M61)</f>
        <v/>
      </c>
    </row>
    <row r="62" customFormat="false" ht="15" hidden="false" customHeight="false" outlineLevel="0" collapsed="false">
      <c r="A62" s="29"/>
      <c r="B62" s="29"/>
      <c r="C62" s="29"/>
      <c r="D62" s="30"/>
      <c r="E62" s="31"/>
      <c r="F62" s="32" t="str">
        <f aca="false">IF($E62="","",$E62+7*IFERROR(VLOOKUP($B62,DS!$K$2:$M$4,2,FALSE()),12))</f>
        <v/>
      </c>
      <c r="G62" s="32" t="str">
        <f aca="false">IF($E62="","",$E62+7*IFERROR(VLOOKUP($B62,DS!$K$2:$M$4,3,FALSE()),12))</f>
        <v/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3" t="str">
        <f aca="false">IF($A62="","",IF($R62&lt;&gt;"","95 Hủy/hoàn",IF($Q62&lt;&gt;"","99 Đóng",IF($P62&lt;&gt;"","90 Đã giao",IF($O62&lt;&gt;"","80 Đang giao",IF($N62&lt;&gt;"","70 Thông quan",IF($M62&lt;&gt;"","60 Đã xuất",IF($L62&lt;&gt;"","50 QC đạt",IF($K62&lt;&gt;"","40 NCC đã gửi",IF($I62&lt;&gt;"","30 Đã đặt NCC",IF($H62&lt;&gt;"","20 Đã xác nhận","10 Mới")))))))))))</f>
        <v/>
      </c>
      <c r="U62" s="33" t="str">
        <f aca="false">IF($T62="","",IFERROR(VLOOKUP($T62,DS!$A$2:$B$12,2,FALSE()),""))</f>
        <v/>
      </c>
      <c r="V62" s="34" t="str">
        <f aca="true">IF(OR($T62="",LEFT($T62,2)="99",LEFT($T62,2)="95"),"",TODAY()-MAX($E62,$H62:$P62))</f>
        <v/>
      </c>
      <c r="W62" s="34" t="str">
        <f aca="true">IF(AND($E62&lt;&gt;"",$I62="",$R62=""),IF(TODAY()-$E62&gt;1,"⚑",""),"")</f>
        <v/>
      </c>
      <c r="X62" s="34" t="str">
        <f aca="true">IF(AND($J62&lt;&gt;"",$K62="",$R62=""),IF(TODAY()-$J62&gt;2,"⚑",""),"")</f>
        <v/>
      </c>
      <c r="Y62" s="34" t="str">
        <f aca="true">IF(AND($G62&lt;&gt;"",$M62="",$R62=""),IF(AND($G62-TODAY()&lt;=14,$G62&gt;=TODAY()),"⚑",""),"")</f>
        <v/>
      </c>
      <c r="Z62" s="34" t="str">
        <f aca="true">IF(AND($G62&lt;&gt;"",$P62="",$R62=""),IF(TODAY()&gt;$G62,"⚑",""),"")</f>
        <v/>
      </c>
      <c r="AA62" s="34" t="str">
        <f aca="true">IF(AND($E62&lt;&gt;"",$P62="",$R62=""),IF(TODAY()-MAX($E62,$H62,$M62,$S62)&gt;7,"⚑",""),"")</f>
        <v/>
      </c>
      <c r="AB62" s="34" t="str">
        <f aca="false">IF(OR($P62="",$G62=""),"",IF($P62&lt;=$G62,"Có","Không"))</f>
        <v/>
      </c>
      <c r="AC62" s="34" t="str">
        <f aca="false">IF(OR($P62="",$E62=""),"",$P62-$E62)</f>
        <v/>
      </c>
      <c r="AD62" s="35" t="str">
        <f aca="false">IF($A62="","",COUNTIF(CASE!$B$3:$B$202,$A62))</f>
        <v/>
      </c>
      <c r="AE62" s="34" t="str">
        <f aca="false">IF(OR($I62="",$E62=""),"",$I62-$E62)</f>
        <v/>
      </c>
      <c r="AF62" s="34" t="str">
        <f aca="false">IF(OR($K62="",$I62=""),"",$K62-$I62)</f>
        <v/>
      </c>
      <c r="AG62" s="34" t="str">
        <f aca="false">IF(OR($L62="",$K62=""),"",$L62-$K62)</f>
        <v/>
      </c>
      <c r="AH62" s="34" t="str">
        <f aca="false">IF(OR($M62="",$L62=""),"",$M62-$L62)</f>
        <v/>
      </c>
      <c r="AI62" s="34" t="str">
        <f aca="false">IF(OR($P62="",$M62=""),"",$P62-$M62)</f>
        <v/>
      </c>
    </row>
    <row r="63" customFormat="false" ht="15" hidden="false" customHeight="false" outlineLevel="0" collapsed="false">
      <c r="A63" s="29"/>
      <c r="B63" s="29"/>
      <c r="C63" s="29"/>
      <c r="D63" s="30"/>
      <c r="E63" s="31"/>
      <c r="F63" s="32" t="str">
        <f aca="false">IF($E63="","",$E63+7*IFERROR(VLOOKUP($B63,DS!$K$2:$M$4,2,FALSE()),12))</f>
        <v/>
      </c>
      <c r="G63" s="32" t="str">
        <f aca="false">IF($E63="","",$E63+7*IFERROR(VLOOKUP($B63,DS!$K$2:$M$4,3,FALSE()),12))</f>
        <v/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3" t="str">
        <f aca="false">IF($A63="","",IF($R63&lt;&gt;"","95 Hủy/hoàn",IF($Q63&lt;&gt;"","99 Đóng",IF($P63&lt;&gt;"","90 Đã giao",IF($O63&lt;&gt;"","80 Đang giao",IF($N63&lt;&gt;"","70 Thông quan",IF($M63&lt;&gt;"","60 Đã xuất",IF($L63&lt;&gt;"","50 QC đạt",IF($K63&lt;&gt;"","40 NCC đã gửi",IF($I63&lt;&gt;"","30 Đã đặt NCC",IF($H63&lt;&gt;"","20 Đã xác nhận","10 Mới")))))))))))</f>
        <v/>
      </c>
      <c r="U63" s="33" t="str">
        <f aca="false">IF($T63="","",IFERROR(VLOOKUP($T63,DS!$A$2:$B$12,2,FALSE()),""))</f>
        <v/>
      </c>
      <c r="V63" s="34" t="str">
        <f aca="true">IF(OR($T63="",LEFT($T63,2)="99",LEFT($T63,2)="95"),"",TODAY()-MAX($E63,$H63:$P63))</f>
        <v/>
      </c>
      <c r="W63" s="34" t="str">
        <f aca="true">IF(AND($E63&lt;&gt;"",$I63="",$R63=""),IF(TODAY()-$E63&gt;1,"⚑",""),"")</f>
        <v/>
      </c>
      <c r="X63" s="34" t="str">
        <f aca="true">IF(AND($J63&lt;&gt;"",$K63="",$R63=""),IF(TODAY()-$J63&gt;2,"⚑",""),"")</f>
        <v/>
      </c>
      <c r="Y63" s="34" t="str">
        <f aca="true">IF(AND($G63&lt;&gt;"",$M63="",$R63=""),IF(AND($G63-TODAY()&lt;=14,$G63&gt;=TODAY()),"⚑",""),"")</f>
        <v/>
      </c>
      <c r="Z63" s="34" t="str">
        <f aca="true">IF(AND($G63&lt;&gt;"",$P63="",$R63=""),IF(TODAY()&gt;$G63,"⚑",""),"")</f>
        <v/>
      </c>
      <c r="AA63" s="34" t="str">
        <f aca="true">IF(AND($E63&lt;&gt;"",$P63="",$R63=""),IF(TODAY()-MAX($E63,$H63,$M63,$S63)&gt;7,"⚑",""),"")</f>
        <v/>
      </c>
      <c r="AB63" s="34" t="str">
        <f aca="false">IF(OR($P63="",$G63=""),"",IF($P63&lt;=$G63,"Có","Không"))</f>
        <v/>
      </c>
      <c r="AC63" s="34" t="str">
        <f aca="false">IF(OR($P63="",$E63=""),"",$P63-$E63)</f>
        <v/>
      </c>
      <c r="AD63" s="35" t="str">
        <f aca="false">IF($A63="","",COUNTIF(CASE!$B$3:$B$202,$A63))</f>
        <v/>
      </c>
      <c r="AE63" s="34" t="str">
        <f aca="false">IF(OR($I63="",$E63=""),"",$I63-$E63)</f>
        <v/>
      </c>
      <c r="AF63" s="34" t="str">
        <f aca="false">IF(OR($K63="",$I63=""),"",$K63-$I63)</f>
        <v/>
      </c>
      <c r="AG63" s="34" t="str">
        <f aca="false">IF(OR($L63="",$K63=""),"",$L63-$K63)</f>
        <v/>
      </c>
      <c r="AH63" s="34" t="str">
        <f aca="false">IF(OR($M63="",$L63=""),"",$M63-$L63)</f>
        <v/>
      </c>
      <c r="AI63" s="34" t="str">
        <f aca="false">IF(OR($P63="",$M63=""),"",$P63-$M63)</f>
        <v/>
      </c>
    </row>
    <row r="64" customFormat="false" ht="15" hidden="false" customHeight="false" outlineLevel="0" collapsed="false">
      <c r="A64" s="29"/>
      <c r="B64" s="29"/>
      <c r="C64" s="29"/>
      <c r="D64" s="30"/>
      <c r="E64" s="31"/>
      <c r="F64" s="32" t="str">
        <f aca="false">IF($E64="","",$E64+7*IFERROR(VLOOKUP($B64,DS!$K$2:$M$4,2,FALSE()),12))</f>
        <v/>
      </c>
      <c r="G64" s="32" t="str">
        <f aca="false">IF($E64="","",$E64+7*IFERROR(VLOOKUP($B64,DS!$K$2:$M$4,3,FALSE()),12))</f>
        <v/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3" t="str">
        <f aca="false">IF($A64="","",IF($R64&lt;&gt;"","95 Hủy/hoàn",IF($Q64&lt;&gt;"","99 Đóng",IF($P64&lt;&gt;"","90 Đã giao",IF($O64&lt;&gt;"","80 Đang giao",IF($N64&lt;&gt;"","70 Thông quan",IF($M64&lt;&gt;"","60 Đã xuất",IF($L64&lt;&gt;"","50 QC đạt",IF($K64&lt;&gt;"","40 NCC đã gửi",IF($I64&lt;&gt;"","30 Đã đặt NCC",IF($H64&lt;&gt;"","20 Đã xác nhận","10 Mới")))))))))))</f>
        <v/>
      </c>
      <c r="U64" s="33" t="str">
        <f aca="false">IF($T64="","",IFERROR(VLOOKUP($T64,DS!$A$2:$B$12,2,FALSE()),""))</f>
        <v/>
      </c>
      <c r="V64" s="34" t="str">
        <f aca="true">IF(OR($T64="",LEFT($T64,2)="99",LEFT($T64,2)="95"),"",TODAY()-MAX($E64,$H64:$P64))</f>
        <v/>
      </c>
      <c r="W64" s="34" t="str">
        <f aca="true">IF(AND($E64&lt;&gt;"",$I64="",$R64=""),IF(TODAY()-$E64&gt;1,"⚑",""),"")</f>
        <v/>
      </c>
      <c r="X64" s="34" t="str">
        <f aca="true">IF(AND($J64&lt;&gt;"",$K64="",$R64=""),IF(TODAY()-$J64&gt;2,"⚑",""),"")</f>
        <v/>
      </c>
      <c r="Y64" s="34" t="str">
        <f aca="true">IF(AND($G64&lt;&gt;"",$M64="",$R64=""),IF(AND($G64-TODAY()&lt;=14,$G64&gt;=TODAY()),"⚑",""),"")</f>
        <v/>
      </c>
      <c r="Z64" s="34" t="str">
        <f aca="true">IF(AND($G64&lt;&gt;"",$P64="",$R64=""),IF(TODAY()&gt;$G64,"⚑",""),"")</f>
        <v/>
      </c>
      <c r="AA64" s="34" t="str">
        <f aca="true">IF(AND($E64&lt;&gt;"",$P64="",$R64=""),IF(TODAY()-MAX($E64,$H64,$M64,$S64)&gt;7,"⚑",""),"")</f>
        <v/>
      </c>
      <c r="AB64" s="34" t="str">
        <f aca="false">IF(OR($P64="",$G64=""),"",IF($P64&lt;=$G64,"Có","Không"))</f>
        <v/>
      </c>
      <c r="AC64" s="34" t="str">
        <f aca="false">IF(OR($P64="",$E64=""),"",$P64-$E64)</f>
        <v/>
      </c>
      <c r="AD64" s="35" t="str">
        <f aca="false">IF($A64="","",COUNTIF(CASE!$B$3:$B$202,$A64))</f>
        <v/>
      </c>
      <c r="AE64" s="34" t="str">
        <f aca="false">IF(OR($I64="",$E64=""),"",$I64-$E64)</f>
        <v/>
      </c>
      <c r="AF64" s="34" t="str">
        <f aca="false">IF(OR($K64="",$I64=""),"",$K64-$I64)</f>
        <v/>
      </c>
      <c r="AG64" s="34" t="str">
        <f aca="false">IF(OR($L64="",$K64=""),"",$L64-$K64)</f>
        <v/>
      </c>
      <c r="AH64" s="34" t="str">
        <f aca="false">IF(OR($M64="",$L64=""),"",$M64-$L64)</f>
        <v/>
      </c>
      <c r="AI64" s="34" t="str">
        <f aca="false">IF(OR($P64="",$M64=""),"",$P64-$M64)</f>
        <v/>
      </c>
    </row>
    <row r="65" customFormat="false" ht="15" hidden="false" customHeight="false" outlineLevel="0" collapsed="false">
      <c r="A65" s="29"/>
      <c r="B65" s="29"/>
      <c r="C65" s="29"/>
      <c r="D65" s="30"/>
      <c r="E65" s="31"/>
      <c r="F65" s="32" t="str">
        <f aca="false">IF($E65="","",$E65+7*IFERROR(VLOOKUP($B65,DS!$K$2:$M$4,2,FALSE()),12))</f>
        <v/>
      </c>
      <c r="G65" s="32" t="str">
        <f aca="false">IF($E65="","",$E65+7*IFERROR(VLOOKUP($B65,DS!$K$2:$M$4,3,FALSE()),12))</f>
        <v/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3" t="str">
        <f aca="false">IF($A65="","",IF($R65&lt;&gt;"","95 Hủy/hoàn",IF($Q65&lt;&gt;"","99 Đóng",IF($P65&lt;&gt;"","90 Đã giao",IF($O65&lt;&gt;"","80 Đang giao",IF($N65&lt;&gt;"","70 Thông quan",IF($M65&lt;&gt;"","60 Đã xuất",IF($L65&lt;&gt;"","50 QC đạt",IF($K65&lt;&gt;"","40 NCC đã gửi",IF($I65&lt;&gt;"","30 Đã đặt NCC",IF($H65&lt;&gt;"","20 Đã xác nhận","10 Mới")))))))))))</f>
        <v/>
      </c>
      <c r="U65" s="33" t="str">
        <f aca="false">IF($T65="","",IFERROR(VLOOKUP($T65,DS!$A$2:$B$12,2,FALSE()),""))</f>
        <v/>
      </c>
      <c r="V65" s="34" t="str">
        <f aca="true">IF(OR($T65="",LEFT($T65,2)="99",LEFT($T65,2)="95"),"",TODAY()-MAX($E65,$H65:$P65))</f>
        <v/>
      </c>
      <c r="W65" s="34" t="str">
        <f aca="true">IF(AND($E65&lt;&gt;"",$I65="",$R65=""),IF(TODAY()-$E65&gt;1,"⚑",""),"")</f>
        <v/>
      </c>
      <c r="X65" s="34" t="str">
        <f aca="true">IF(AND($J65&lt;&gt;"",$K65="",$R65=""),IF(TODAY()-$J65&gt;2,"⚑",""),"")</f>
        <v/>
      </c>
      <c r="Y65" s="34" t="str">
        <f aca="true">IF(AND($G65&lt;&gt;"",$M65="",$R65=""),IF(AND($G65-TODAY()&lt;=14,$G65&gt;=TODAY()),"⚑",""),"")</f>
        <v/>
      </c>
      <c r="Z65" s="34" t="str">
        <f aca="true">IF(AND($G65&lt;&gt;"",$P65="",$R65=""),IF(TODAY()&gt;$G65,"⚑",""),"")</f>
        <v/>
      </c>
      <c r="AA65" s="34" t="str">
        <f aca="true">IF(AND($E65&lt;&gt;"",$P65="",$R65=""),IF(TODAY()-MAX($E65,$H65,$M65,$S65)&gt;7,"⚑",""),"")</f>
        <v/>
      </c>
      <c r="AB65" s="34" t="str">
        <f aca="false">IF(OR($P65="",$G65=""),"",IF($P65&lt;=$G65,"Có","Không"))</f>
        <v/>
      </c>
      <c r="AC65" s="34" t="str">
        <f aca="false">IF(OR($P65="",$E65=""),"",$P65-$E65)</f>
        <v/>
      </c>
      <c r="AD65" s="35" t="str">
        <f aca="false">IF($A65="","",COUNTIF(CASE!$B$3:$B$202,$A65))</f>
        <v/>
      </c>
      <c r="AE65" s="34" t="str">
        <f aca="false">IF(OR($I65="",$E65=""),"",$I65-$E65)</f>
        <v/>
      </c>
      <c r="AF65" s="34" t="str">
        <f aca="false">IF(OR($K65="",$I65=""),"",$K65-$I65)</f>
        <v/>
      </c>
      <c r="AG65" s="34" t="str">
        <f aca="false">IF(OR($L65="",$K65=""),"",$L65-$K65)</f>
        <v/>
      </c>
      <c r="AH65" s="34" t="str">
        <f aca="false">IF(OR($M65="",$L65=""),"",$M65-$L65)</f>
        <v/>
      </c>
      <c r="AI65" s="34" t="str">
        <f aca="false">IF(OR($P65="",$M65=""),"",$P65-$M65)</f>
        <v/>
      </c>
    </row>
    <row r="66" customFormat="false" ht="15" hidden="false" customHeight="false" outlineLevel="0" collapsed="false">
      <c r="A66" s="29"/>
      <c r="B66" s="29"/>
      <c r="C66" s="29"/>
      <c r="D66" s="30"/>
      <c r="E66" s="31"/>
      <c r="F66" s="32" t="str">
        <f aca="false">IF($E66="","",$E66+7*IFERROR(VLOOKUP($B66,DS!$K$2:$M$4,2,FALSE()),12))</f>
        <v/>
      </c>
      <c r="G66" s="32" t="str">
        <f aca="false">IF($E66="","",$E66+7*IFERROR(VLOOKUP($B66,DS!$K$2:$M$4,3,FALSE()),12))</f>
        <v/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3" t="str">
        <f aca="false">IF($A66="","",IF($R66&lt;&gt;"","95 Hủy/hoàn",IF($Q66&lt;&gt;"","99 Đóng",IF($P66&lt;&gt;"","90 Đã giao",IF($O66&lt;&gt;"","80 Đang giao",IF($N66&lt;&gt;"","70 Thông quan",IF($M66&lt;&gt;"","60 Đã xuất",IF($L66&lt;&gt;"","50 QC đạt",IF($K66&lt;&gt;"","40 NCC đã gửi",IF($I66&lt;&gt;"","30 Đã đặt NCC",IF($H66&lt;&gt;"","20 Đã xác nhận","10 Mới")))))))))))</f>
        <v/>
      </c>
      <c r="U66" s="33" t="str">
        <f aca="false">IF($T66="","",IFERROR(VLOOKUP($T66,DS!$A$2:$B$12,2,FALSE()),""))</f>
        <v/>
      </c>
      <c r="V66" s="34" t="str">
        <f aca="true">IF(OR($T66="",LEFT($T66,2)="99",LEFT($T66,2)="95"),"",TODAY()-MAX($E66,$H66:$P66))</f>
        <v/>
      </c>
      <c r="W66" s="34" t="str">
        <f aca="true">IF(AND($E66&lt;&gt;"",$I66="",$R66=""),IF(TODAY()-$E66&gt;1,"⚑",""),"")</f>
        <v/>
      </c>
      <c r="X66" s="34" t="str">
        <f aca="true">IF(AND($J66&lt;&gt;"",$K66="",$R66=""),IF(TODAY()-$J66&gt;2,"⚑",""),"")</f>
        <v/>
      </c>
      <c r="Y66" s="34" t="str">
        <f aca="true">IF(AND($G66&lt;&gt;"",$M66="",$R66=""),IF(AND($G66-TODAY()&lt;=14,$G66&gt;=TODAY()),"⚑",""),"")</f>
        <v/>
      </c>
      <c r="Z66" s="34" t="str">
        <f aca="true">IF(AND($G66&lt;&gt;"",$P66="",$R66=""),IF(TODAY()&gt;$G66,"⚑",""),"")</f>
        <v/>
      </c>
      <c r="AA66" s="34" t="str">
        <f aca="true">IF(AND($E66&lt;&gt;"",$P66="",$R66=""),IF(TODAY()-MAX($E66,$H66,$M66,$S66)&gt;7,"⚑",""),"")</f>
        <v/>
      </c>
      <c r="AB66" s="34" t="str">
        <f aca="false">IF(OR($P66="",$G66=""),"",IF($P66&lt;=$G66,"Có","Không"))</f>
        <v/>
      </c>
      <c r="AC66" s="34" t="str">
        <f aca="false">IF(OR($P66="",$E66=""),"",$P66-$E66)</f>
        <v/>
      </c>
      <c r="AD66" s="35" t="str">
        <f aca="false">IF($A66="","",COUNTIF(CASE!$B$3:$B$202,$A66))</f>
        <v/>
      </c>
      <c r="AE66" s="34" t="str">
        <f aca="false">IF(OR($I66="",$E66=""),"",$I66-$E66)</f>
        <v/>
      </c>
      <c r="AF66" s="34" t="str">
        <f aca="false">IF(OR($K66="",$I66=""),"",$K66-$I66)</f>
        <v/>
      </c>
      <c r="AG66" s="34" t="str">
        <f aca="false">IF(OR($L66="",$K66=""),"",$L66-$K66)</f>
        <v/>
      </c>
      <c r="AH66" s="34" t="str">
        <f aca="false">IF(OR($M66="",$L66=""),"",$M66-$L66)</f>
        <v/>
      </c>
      <c r="AI66" s="34" t="str">
        <f aca="false">IF(OR($P66="",$M66=""),"",$P66-$M66)</f>
        <v/>
      </c>
    </row>
    <row r="67" customFormat="false" ht="15" hidden="false" customHeight="false" outlineLevel="0" collapsed="false">
      <c r="A67" s="29"/>
      <c r="B67" s="29"/>
      <c r="C67" s="29"/>
      <c r="D67" s="30"/>
      <c r="E67" s="31"/>
      <c r="F67" s="32" t="str">
        <f aca="false">IF($E67="","",$E67+7*IFERROR(VLOOKUP($B67,DS!$K$2:$M$4,2,FALSE()),12))</f>
        <v/>
      </c>
      <c r="G67" s="32" t="str">
        <f aca="false">IF($E67="","",$E67+7*IFERROR(VLOOKUP($B67,DS!$K$2:$M$4,3,FALSE()),12))</f>
        <v/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3" t="str">
        <f aca="false">IF($A67="","",IF($R67&lt;&gt;"","95 Hủy/hoàn",IF($Q67&lt;&gt;"","99 Đóng",IF($P67&lt;&gt;"","90 Đã giao",IF($O67&lt;&gt;"","80 Đang giao",IF($N67&lt;&gt;"","70 Thông quan",IF($M67&lt;&gt;"","60 Đã xuất",IF($L67&lt;&gt;"","50 QC đạt",IF($K67&lt;&gt;"","40 NCC đã gửi",IF($I67&lt;&gt;"","30 Đã đặt NCC",IF($H67&lt;&gt;"","20 Đã xác nhận","10 Mới")))))))))))</f>
        <v/>
      </c>
      <c r="U67" s="33" t="str">
        <f aca="false">IF($T67="","",IFERROR(VLOOKUP($T67,DS!$A$2:$B$12,2,FALSE()),""))</f>
        <v/>
      </c>
      <c r="V67" s="34" t="str">
        <f aca="true">IF(OR($T67="",LEFT($T67,2)="99",LEFT($T67,2)="95"),"",TODAY()-MAX($E67,$H67:$P67))</f>
        <v/>
      </c>
      <c r="W67" s="34" t="str">
        <f aca="true">IF(AND($E67&lt;&gt;"",$I67="",$R67=""),IF(TODAY()-$E67&gt;1,"⚑",""),"")</f>
        <v/>
      </c>
      <c r="X67" s="34" t="str">
        <f aca="true">IF(AND($J67&lt;&gt;"",$K67="",$R67=""),IF(TODAY()-$J67&gt;2,"⚑",""),"")</f>
        <v/>
      </c>
      <c r="Y67" s="34" t="str">
        <f aca="true">IF(AND($G67&lt;&gt;"",$M67="",$R67=""),IF(AND($G67-TODAY()&lt;=14,$G67&gt;=TODAY()),"⚑",""),"")</f>
        <v/>
      </c>
      <c r="Z67" s="34" t="str">
        <f aca="true">IF(AND($G67&lt;&gt;"",$P67="",$R67=""),IF(TODAY()&gt;$G67,"⚑",""),"")</f>
        <v/>
      </c>
      <c r="AA67" s="34" t="str">
        <f aca="true">IF(AND($E67&lt;&gt;"",$P67="",$R67=""),IF(TODAY()-MAX($E67,$H67,$M67,$S67)&gt;7,"⚑",""),"")</f>
        <v/>
      </c>
      <c r="AB67" s="34" t="str">
        <f aca="false">IF(OR($P67="",$G67=""),"",IF($P67&lt;=$G67,"Có","Không"))</f>
        <v/>
      </c>
      <c r="AC67" s="34" t="str">
        <f aca="false">IF(OR($P67="",$E67=""),"",$P67-$E67)</f>
        <v/>
      </c>
      <c r="AD67" s="35" t="str">
        <f aca="false">IF($A67="","",COUNTIF(CASE!$B$3:$B$202,$A67))</f>
        <v/>
      </c>
      <c r="AE67" s="34" t="str">
        <f aca="false">IF(OR($I67="",$E67=""),"",$I67-$E67)</f>
        <v/>
      </c>
      <c r="AF67" s="34" t="str">
        <f aca="false">IF(OR($K67="",$I67=""),"",$K67-$I67)</f>
        <v/>
      </c>
      <c r="AG67" s="34" t="str">
        <f aca="false">IF(OR($L67="",$K67=""),"",$L67-$K67)</f>
        <v/>
      </c>
      <c r="AH67" s="34" t="str">
        <f aca="false">IF(OR($M67="",$L67=""),"",$M67-$L67)</f>
        <v/>
      </c>
      <c r="AI67" s="34" t="str">
        <f aca="false">IF(OR($P67="",$M67=""),"",$P67-$M67)</f>
        <v/>
      </c>
    </row>
    <row r="68" customFormat="false" ht="15" hidden="false" customHeight="false" outlineLevel="0" collapsed="false">
      <c r="A68" s="29"/>
      <c r="B68" s="29"/>
      <c r="C68" s="29"/>
      <c r="D68" s="30"/>
      <c r="E68" s="31"/>
      <c r="F68" s="32" t="str">
        <f aca="false">IF($E68="","",$E68+7*IFERROR(VLOOKUP($B68,DS!$K$2:$M$4,2,FALSE()),12))</f>
        <v/>
      </c>
      <c r="G68" s="32" t="str">
        <f aca="false">IF($E68="","",$E68+7*IFERROR(VLOOKUP($B68,DS!$K$2:$M$4,3,FALSE()),12))</f>
        <v/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3" t="str">
        <f aca="false">IF($A68="","",IF($R68&lt;&gt;"","95 Hủy/hoàn",IF($Q68&lt;&gt;"","99 Đóng",IF($P68&lt;&gt;"","90 Đã giao",IF($O68&lt;&gt;"","80 Đang giao",IF($N68&lt;&gt;"","70 Thông quan",IF($M68&lt;&gt;"","60 Đã xuất",IF($L68&lt;&gt;"","50 QC đạt",IF($K68&lt;&gt;"","40 NCC đã gửi",IF($I68&lt;&gt;"","30 Đã đặt NCC",IF($H68&lt;&gt;"","20 Đã xác nhận","10 Mới")))))))))))</f>
        <v/>
      </c>
      <c r="U68" s="33" t="str">
        <f aca="false">IF($T68="","",IFERROR(VLOOKUP($T68,DS!$A$2:$B$12,2,FALSE()),""))</f>
        <v/>
      </c>
      <c r="V68" s="34" t="str">
        <f aca="true">IF(OR($T68="",LEFT($T68,2)="99",LEFT($T68,2)="95"),"",TODAY()-MAX($E68,$H68:$P68))</f>
        <v/>
      </c>
      <c r="W68" s="34" t="str">
        <f aca="true">IF(AND($E68&lt;&gt;"",$I68="",$R68=""),IF(TODAY()-$E68&gt;1,"⚑",""),"")</f>
        <v/>
      </c>
      <c r="X68" s="34" t="str">
        <f aca="true">IF(AND($J68&lt;&gt;"",$K68="",$R68=""),IF(TODAY()-$J68&gt;2,"⚑",""),"")</f>
        <v/>
      </c>
      <c r="Y68" s="34" t="str">
        <f aca="true">IF(AND($G68&lt;&gt;"",$M68="",$R68=""),IF(AND($G68-TODAY()&lt;=14,$G68&gt;=TODAY()),"⚑",""),"")</f>
        <v/>
      </c>
      <c r="Z68" s="34" t="str">
        <f aca="true">IF(AND($G68&lt;&gt;"",$P68="",$R68=""),IF(TODAY()&gt;$G68,"⚑",""),"")</f>
        <v/>
      </c>
      <c r="AA68" s="34" t="str">
        <f aca="true">IF(AND($E68&lt;&gt;"",$P68="",$R68=""),IF(TODAY()-MAX($E68,$H68,$M68,$S68)&gt;7,"⚑",""),"")</f>
        <v/>
      </c>
      <c r="AB68" s="34" t="str">
        <f aca="false">IF(OR($P68="",$G68=""),"",IF($P68&lt;=$G68,"Có","Không"))</f>
        <v/>
      </c>
      <c r="AC68" s="34" t="str">
        <f aca="false">IF(OR($P68="",$E68=""),"",$P68-$E68)</f>
        <v/>
      </c>
      <c r="AD68" s="35" t="str">
        <f aca="false">IF($A68="","",COUNTIF(CASE!$B$3:$B$202,$A68))</f>
        <v/>
      </c>
      <c r="AE68" s="34" t="str">
        <f aca="false">IF(OR($I68="",$E68=""),"",$I68-$E68)</f>
        <v/>
      </c>
      <c r="AF68" s="34" t="str">
        <f aca="false">IF(OR($K68="",$I68=""),"",$K68-$I68)</f>
        <v/>
      </c>
      <c r="AG68" s="34" t="str">
        <f aca="false">IF(OR($L68="",$K68=""),"",$L68-$K68)</f>
        <v/>
      </c>
      <c r="AH68" s="34" t="str">
        <f aca="false">IF(OR($M68="",$L68=""),"",$M68-$L68)</f>
        <v/>
      </c>
      <c r="AI68" s="34" t="str">
        <f aca="false">IF(OR($P68="",$M68=""),"",$P68-$M68)</f>
        <v/>
      </c>
    </row>
    <row r="69" customFormat="false" ht="15" hidden="false" customHeight="false" outlineLevel="0" collapsed="false">
      <c r="A69" s="29"/>
      <c r="B69" s="29"/>
      <c r="C69" s="29"/>
      <c r="D69" s="30"/>
      <c r="E69" s="31"/>
      <c r="F69" s="32" t="str">
        <f aca="false">IF($E69="","",$E69+7*IFERROR(VLOOKUP($B69,DS!$K$2:$M$4,2,FALSE()),12))</f>
        <v/>
      </c>
      <c r="G69" s="32" t="str">
        <f aca="false">IF($E69="","",$E69+7*IFERROR(VLOOKUP($B69,DS!$K$2:$M$4,3,FALSE()),12))</f>
        <v/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3" t="str">
        <f aca="false">IF($A69="","",IF($R69&lt;&gt;"","95 Hủy/hoàn",IF($Q69&lt;&gt;"","99 Đóng",IF($P69&lt;&gt;"","90 Đã giao",IF($O69&lt;&gt;"","80 Đang giao",IF($N69&lt;&gt;"","70 Thông quan",IF($M69&lt;&gt;"","60 Đã xuất",IF($L69&lt;&gt;"","50 QC đạt",IF($K69&lt;&gt;"","40 NCC đã gửi",IF($I69&lt;&gt;"","30 Đã đặt NCC",IF($H69&lt;&gt;"","20 Đã xác nhận","10 Mới")))))))))))</f>
        <v/>
      </c>
      <c r="U69" s="33" t="str">
        <f aca="false">IF($T69="","",IFERROR(VLOOKUP($T69,DS!$A$2:$B$12,2,FALSE()),""))</f>
        <v/>
      </c>
      <c r="V69" s="34" t="str">
        <f aca="true">IF(OR($T69="",LEFT($T69,2)="99",LEFT($T69,2)="95"),"",TODAY()-MAX($E69,$H69:$P69))</f>
        <v/>
      </c>
      <c r="W69" s="34" t="str">
        <f aca="true">IF(AND($E69&lt;&gt;"",$I69="",$R69=""),IF(TODAY()-$E69&gt;1,"⚑",""),"")</f>
        <v/>
      </c>
      <c r="X69" s="34" t="str">
        <f aca="true">IF(AND($J69&lt;&gt;"",$K69="",$R69=""),IF(TODAY()-$J69&gt;2,"⚑",""),"")</f>
        <v/>
      </c>
      <c r="Y69" s="34" t="str">
        <f aca="true">IF(AND($G69&lt;&gt;"",$M69="",$R69=""),IF(AND($G69-TODAY()&lt;=14,$G69&gt;=TODAY()),"⚑",""),"")</f>
        <v/>
      </c>
      <c r="Z69" s="34" t="str">
        <f aca="true">IF(AND($G69&lt;&gt;"",$P69="",$R69=""),IF(TODAY()&gt;$G69,"⚑",""),"")</f>
        <v/>
      </c>
      <c r="AA69" s="34" t="str">
        <f aca="true">IF(AND($E69&lt;&gt;"",$P69="",$R69=""),IF(TODAY()-MAX($E69,$H69,$M69,$S69)&gt;7,"⚑",""),"")</f>
        <v/>
      </c>
      <c r="AB69" s="34" t="str">
        <f aca="false">IF(OR($P69="",$G69=""),"",IF($P69&lt;=$G69,"Có","Không"))</f>
        <v/>
      </c>
      <c r="AC69" s="34" t="str">
        <f aca="false">IF(OR($P69="",$E69=""),"",$P69-$E69)</f>
        <v/>
      </c>
      <c r="AD69" s="35" t="str">
        <f aca="false">IF($A69="","",COUNTIF(CASE!$B$3:$B$202,$A69))</f>
        <v/>
      </c>
      <c r="AE69" s="34" t="str">
        <f aca="false">IF(OR($I69="",$E69=""),"",$I69-$E69)</f>
        <v/>
      </c>
      <c r="AF69" s="34" t="str">
        <f aca="false">IF(OR($K69="",$I69=""),"",$K69-$I69)</f>
        <v/>
      </c>
      <c r="AG69" s="34" t="str">
        <f aca="false">IF(OR($L69="",$K69=""),"",$L69-$K69)</f>
        <v/>
      </c>
      <c r="AH69" s="34" t="str">
        <f aca="false">IF(OR($M69="",$L69=""),"",$M69-$L69)</f>
        <v/>
      </c>
      <c r="AI69" s="34" t="str">
        <f aca="false">IF(OR($P69="",$M69=""),"",$P69-$M69)</f>
        <v/>
      </c>
    </row>
    <row r="70" customFormat="false" ht="15" hidden="false" customHeight="false" outlineLevel="0" collapsed="false">
      <c r="A70" s="29"/>
      <c r="B70" s="29"/>
      <c r="C70" s="29"/>
      <c r="D70" s="30"/>
      <c r="E70" s="31"/>
      <c r="F70" s="32" t="str">
        <f aca="false">IF($E70="","",$E70+7*IFERROR(VLOOKUP($B70,DS!$K$2:$M$4,2,FALSE()),12))</f>
        <v/>
      </c>
      <c r="G70" s="32" t="str">
        <f aca="false">IF($E70="","",$E70+7*IFERROR(VLOOKUP($B70,DS!$K$2:$M$4,3,FALSE()),12))</f>
        <v/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3" t="str">
        <f aca="false">IF($A70="","",IF($R70&lt;&gt;"","95 Hủy/hoàn",IF($Q70&lt;&gt;"","99 Đóng",IF($P70&lt;&gt;"","90 Đã giao",IF($O70&lt;&gt;"","80 Đang giao",IF($N70&lt;&gt;"","70 Thông quan",IF($M70&lt;&gt;"","60 Đã xuất",IF($L70&lt;&gt;"","50 QC đạt",IF($K70&lt;&gt;"","40 NCC đã gửi",IF($I70&lt;&gt;"","30 Đã đặt NCC",IF($H70&lt;&gt;"","20 Đã xác nhận","10 Mới")))))))))))</f>
        <v/>
      </c>
      <c r="U70" s="33" t="str">
        <f aca="false">IF($T70="","",IFERROR(VLOOKUP($T70,DS!$A$2:$B$12,2,FALSE()),""))</f>
        <v/>
      </c>
      <c r="V70" s="34" t="str">
        <f aca="true">IF(OR($T70="",LEFT($T70,2)="99",LEFT($T70,2)="95"),"",TODAY()-MAX($E70,$H70:$P70))</f>
        <v/>
      </c>
      <c r="W70" s="34" t="str">
        <f aca="true">IF(AND($E70&lt;&gt;"",$I70="",$R70=""),IF(TODAY()-$E70&gt;1,"⚑",""),"")</f>
        <v/>
      </c>
      <c r="X70" s="34" t="str">
        <f aca="true">IF(AND($J70&lt;&gt;"",$K70="",$R70=""),IF(TODAY()-$J70&gt;2,"⚑",""),"")</f>
        <v/>
      </c>
      <c r="Y70" s="34" t="str">
        <f aca="true">IF(AND($G70&lt;&gt;"",$M70="",$R70=""),IF(AND($G70-TODAY()&lt;=14,$G70&gt;=TODAY()),"⚑",""),"")</f>
        <v/>
      </c>
      <c r="Z70" s="34" t="str">
        <f aca="true">IF(AND($G70&lt;&gt;"",$P70="",$R70=""),IF(TODAY()&gt;$G70,"⚑",""),"")</f>
        <v/>
      </c>
      <c r="AA70" s="34" t="str">
        <f aca="true">IF(AND($E70&lt;&gt;"",$P70="",$R70=""),IF(TODAY()-MAX($E70,$H70,$M70,$S70)&gt;7,"⚑",""),"")</f>
        <v/>
      </c>
      <c r="AB70" s="34" t="str">
        <f aca="false">IF(OR($P70="",$G70=""),"",IF($P70&lt;=$G70,"Có","Không"))</f>
        <v/>
      </c>
      <c r="AC70" s="34" t="str">
        <f aca="false">IF(OR($P70="",$E70=""),"",$P70-$E70)</f>
        <v/>
      </c>
      <c r="AD70" s="35" t="str">
        <f aca="false">IF($A70="","",COUNTIF(CASE!$B$3:$B$202,$A70))</f>
        <v/>
      </c>
      <c r="AE70" s="34" t="str">
        <f aca="false">IF(OR($I70="",$E70=""),"",$I70-$E70)</f>
        <v/>
      </c>
      <c r="AF70" s="34" t="str">
        <f aca="false">IF(OR($K70="",$I70=""),"",$K70-$I70)</f>
        <v/>
      </c>
      <c r="AG70" s="34" t="str">
        <f aca="false">IF(OR($L70="",$K70=""),"",$L70-$K70)</f>
        <v/>
      </c>
      <c r="AH70" s="34" t="str">
        <f aca="false">IF(OR($M70="",$L70=""),"",$M70-$L70)</f>
        <v/>
      </c>
      <c r="AI70" s="34" t="str">
        <f aca="false">IF(OR($P70="",$M70=""),"",$P70-$M70)</f>
        <v/>
      </c>
    </row>
    <row r="71" customFormat="false" ht="15" hidden="false" customHeight="false" outlineLevel="0" collapsed="false">
      <c r="A71" s="29"/>
      <c r="B71" s="29"/>
      <c r="C71" s="29"/>
      <c r="D71" s="30"/>
      <c r="E71" s="31"/>
      <c r="F71" s="32" t="str">
        <f aca="false">IF($E71="","",$E71+7*IFERROR(VLOOKUP($B71,DS!$K$2:$M$4,2,FALSE()),12))</f>
        <v/>
      </c>
      <c r="G71" s="32" t="str">
        <f aca="false">IF($E71="","",$E71+7*IFERROR(VLOOKUP($B71,DS!$K$2:$M$4,3,FALSE()),12))</f>
        <v/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3" t="str">
        <f aca="false">IF($A71="","",IF($R71&lt;&gt;"","95 Hủy/hoàn",IF($Q71&lt;&gt;"","99 Đóng",IF($P71&lt;&gt;"","90 Đã giao",IF($O71&lt;&gt;"","80 Đang giao",IF($N71&lt;&gt;"","70 Thông quan",IF($M71&lt;&gt;"","60 Đã xuất",IF($L71&lt;&gt;"","50 QC đạt",IF($K71&lt;&gt;"","40 NCC đã gửi",IF($I71&lt;&gt;"","30 Đã đặt NCC",IF($H71&lt;&gt;"","20 Đã xác nhận","10 Mới")))))))))))</f>
        <v/>
      </c>
      <c r="U71" s="33" t="str">
        <f aca="false">IF($T71="","",IFERROR(VLOOKUP($T71,DS!$A$2:$B$12,2,FALSE()),""))</f>
        <v/>
      </c>
      <c r="V71" s="34" t="str">
        <f aca="true">IF(OR($T71="",LEFT($T71,2)="99",LEFT($T71,2)="95"),"",TODAY()-MAX($E71,$H71:$P71))</f>
        <v/>
      </c>
      <c r="W71" s="34" t="str">
        <f aca="true">IF(AND($E71&lt;&gt;"",$I71="",$R71=""),IF(TODAY()-$E71&gt;1,"⚑",""),"")</f>
        <v/>
      </c>
      <c r="X71" s="34" t="str">
        <f aca="true">IF(AND($J71&lt;&gt;"",$K71="",$R71=""),IF(TODAY()-$J71&gt;2,"⚑",""),"")</f>
        <v/>
      </c>
      <c r="Y71" s="34" t="str">
        <f aca="true">IF(AND($G71&lt;&gt;"",$M71="",$R71=""),IF(AND($G71-TODAY()&lt;=14,$G71&gt;=TODAY()),"⚑",""),"")</f>
        <v/>
      </c>
      <c r="Z71" s="34" t="str">
        <f aca="true">IF(AND($G71&lt;&gt;"",$P71="",$R71=""),IF(TODAY()&gt;$G71,"⚑",""),"")</f>
        <v/>
      </c>
      <c r="AA71" s="34" t="str">
        <f aca="true">IF(AND($E71&lt;&gt;"",$P71="",$R71=""),IF(TODAY()-MAX($E71,$H71,$M71,$S71)&gt;7,"⚑",""),"")</f>
        <v/>
      </c>
      <c r="AB71" s="34" t="str">
        <f aca="false">IF(OR($P71="",$G71=""),"",IF($P71&lt;=$G71,"Có","Không"))</f>
        <v/>
      </c>
      <c r="AC71" s="34" t="str">
        <f aca="false">IF(OR($P71="",$E71=""),"",$P71-$E71)</f>
        <v/>
      </c>
      <c r="AD71" s="35" t="str">
        <f aca="false">IF($A71="","",COUNTIF(CASE!$B$3:$B$202,$A71))</f>
        <v/>
      </c>
      <c r="AE71" s="34" t="str">
        <f aca="false">IF(OR($I71="",$E71=""),"",$I71-$E71)</f>
        <v/>
      </c>
      <c r="AF71" s="34" t="str">
        <f aca="false">IF(OR($K71="",$I71=""),"",$K71-$I71)</f>
        <v/>
      </c>
      <c r="AG71" s="34" t="str">
        <f aca="false">IF(OR($L71="",$K71=""),"",$L71-$K71)</f>
        <v/>
      </c>
      <c r="AH71" s="34" t="str">
        <f aca="false">IF(OR($M71="",$L71=""),"",$M71-$L71)</f>
        <v/>
      </c>
      <c r="AI71" s="34" t="str">
        <f aca="false">IF(OR($P71="",$M71=""),"",$P71-$M71)</f>
        <v/>
      </c>
    </row>
    <row r="72" customFormat="false" ht="15" hidden="false" customHeight="false" outlineLevel="0" collapsed="false">
      <c r="A72" s="29"/>
      <c r="B72" s="29"/>
      <c r="C72" s="29"/>
      <c r="D72" s="30"/>
      <c r="E72" s="31"/>
      <c r="F72" s="32" t="str">
        <f aca="false">IF($E72="","",$E72+7*IFERROR(VLOOKUP($B72,DS!$K$2:$M$4,2,FALSE()),12))</f>
        <v/>
      </c>
      <c r="G72" s="32" t="str">
        <f aca="false">IF($E72="","",$E72+7*IFERROR(VLOOKUP($B72,DS!$K$2:$M$4,3,FALSE()),12))</f>
        <v/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3" t="str">
        <f aca="false">IF($A72="","",IF($R72&lt;&gt;"","95 Hủy/hoàn",IF($Q72&lt;&gt;"","99 Đóng",IF($P72&lt;&gt;"","90 Đã giao",IF($O72&lt;&gt;"","80 Đang giao",IF($N72&lt;&gt;"","70 Thông quan",IF($M72&lt;&gt;"","60 Đã xuất",IF($L72&lt;&gt;"","50 QC đạt",IF($K72&lt;&gt;"","40 NCC đã gửi",IF($I72&lt;&gt;"","30 Đã đặt NCC",IF($H72&lt;&gt;"","20 Đã xác nhận","10 Mới")))))))))))</f>
        <v/>
      </c>
      <c r="U72" s="33" t="str">
        <f aca="false">IF($T72="","",IFERROR(VLOOKUP($T72,DS!$A$2:$B$12,2,FALSE()),""))</f>
        <v/>
      </c>
      <c r="V72" s="34" t="str">
        <f aca="true">IF(OR($T72="",LEFT($T72,2)="99",LEFT($T72,2)="95"),"",TODAY()-MAX($E72,$H72:$P72))</f>
        <v/>
      </c>
      <c r="W72" s="34" t="str">
        <f aca="true">IF(AND($E72&lt;&gt;"",$I72="",$R72=""),IF(TODAY()-$E72&gt;1,"⚑",""),"")</f>
        <v/>
      </c>
      <c r="X72" s="34" t="str">
        <f aca="true">IF(AND($J72&lt;&gt;"",$K72="",$R72=""),IF(TODAY()-$J72&gt;2,"⚑",""),"")</f>
        <v/>
      </c>
      <c r="Y72" s="34" t="str">
        <f aca="true">IF(AND($G72&lt;&gt;"",$M72="",$R72=""),IF(AND($G72-TODAY()&lt;=14,$G72&gt;=TODAY()),"⚑",""),"")</f>
        <v/>
      </c>
      <c r="Z72" s="34" t="str">
        <f aca="true">IF(AND($G72&lt;&gt;"",$P72="",$R72=""),IF(TODAY()&gt;$G72,"⚑",""),"")</f>
        <v/>
      </c>
      <c r="AA72" s="34" t="str">
        <f aca="true">IF(AND($E72&lt;&gt;"",$P72="",$R72=""),IF(TODAY()-MAX($E72,$H72,$M72,$S72)&gt;7,"⚑",""),"")</f>
        <v/>
      </c>
      <c r="AB72" s="34" t="str">
        <f aca="false">IF(OR($P72="",$G72=""),"",IF($P72&lt;=$G72,"Có","Không"))</f>
        <v/>
      </c>
      <c r="AC72" s="34" t="str">
        <f aca="false">IF(OR($P72="",$E72=""),"",$P72-$E72)</f>
        <v/>
      </c>
      <c r="AD72" s="35" t="str">
        <f aca="false">IF($A72="","",COUNTIF(CASE!$B$3:$B$202,$A72))</f>
        <v/>
      </c>
      <c r="AE72" s="34" t="str">
        <f aca="false">IF(OR($I72="",$E72=""),"",$I72-$E72)</f>
        <v/>
      </c>
      <c r="AF72" s="34" t="str">
        <f aca="false">IF(OR($K72="",$I72=""),"",$K72-$I72)</f>
        <v/>
      </c>
      <c r="AG72" s="34" t="str">
        <f aca="false">IF(OR($L72="",$K72=""),"",$L72-$K72)</f>
        <v/>
      </c>
      <c r="AH72" s="34" t="str">
        <f aca="false">IF(OR($M72="",$L72=""),"",$M72-$L72)</f>
        <v/>
      </c>
      <c r="AI72" s="34" t="str">
        <f aca="false">IF(OR($P72="",$M72=""),"",$P72-$M72)</f>
        <v/>
      </c>
    </row>
    <row r="73" customFormat="false" ht="15" hidden="false" customHeight="false" outlineLevel="0" collapsed="false">
      <c r="A73" s="29"/>
      <c r="B73" s="29"/>
      <c r="C73" s="29"/>
      <c r="D73" s="30"/>
      <c r="E73" s="31"/>
      <c r="F73" s="32" t="str">
        <f aca="false">IF($E73="","",$E73+7*IFERROR(VLOOKUP($B73,DS!$K$2:$M$4,2,FALSE()),12))</f>
        <v/>
      </c>
      <c r="G73" s="32" t="str">
        <f aca="false">IF($E73="","",$E73+7*IFERROR(VLOOKUP($B73,DS!$K$2:$M$4,3,FALSE()),12))</f>
        <v/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3" t="str">
        <f aca="false">IF($A73="","",IF($R73&lt;&gt;"","95 Hủy/hoàn",IF($Q73&lt;&gt;"","99 Đóng",IF($P73&lt;&gt;"","90 Đã giao",IF($O73&lt;&gt;"","80 Đang giao",IF($N73&lt;&gt;"","70 Thông quan",IF($M73&lt;&gt;"","60 Đã xuất",IF($L73&lt;&gt;"","50 QC đạt",IF($K73&lt;&gt;"","40 NCC đã gửi",IF($I73&lt;&gt;"","30 Đã đặt NCC",IF($H73&lt;&gt;"","20 Đã xác nhận","10 Mới")))))))))))</f>
        <v/>
      </c>
      <c r="U73" s="33" t="str">
        <f aca="false">IF($T73="","",IFERROR(VLOOKUP($T73,DS!$A$2:$B$12,2,FALSE()),""))</f>
        <v/>
      </c>
      <c r="V73" s="34" t="str">
        <f aca="true">IF(OR($T73="",LEFT($T73,2)="99",LEFT($T73,2)="95"),"",TODAY()-MAX($E73,$H73:$P73))</f>
        <v/>
      </c>
      <c r="W73" s="34" t="str">
        <f aca="true">IF(AND($E73&lt;&gt;"",$I73="",$R73=""),IF(TODAY()-$E73&gt;1,"⚑",""),"")</f>
        <v/>
      </c>
      <c r="X73" s="34" t="str">
        <f aca="true">IF(AND($J73&lt;&gt;"",$K73="",$R73=""),IF(TODAY()-$J73&gt;2,"⚑",""),"")</f>
        <v/>
      </c>
      <c r="Y73" s="34" t="str">
        <f aca="true">IF(AND($G73&lt;&gt;"",$M73="",$R73=""),IF(AND($G73-TODAY()&lt;=14,$G73&gt;=TODAY()),"⚑",""),"")</f>
        <v/>
      </c>
      <c r="Z73" s="34" t="str">
        <f aca="true">IF(AND($G73&lt;&gt;"",$P73="",$R73=""),IF(TODAY()&gt;$G73,"⚑",""),"")</f>
        <v/>
      </c>
      <c r="AA73" s="34" t="str">
        <f aca="true">IF(AND($E73&lt;&gt;"",$P73="",$R73=""),IF(TODAY()-MAX($E73,$H73,$M73,$S73)&gt;7,"⚑",""),"")</f>
        <v/>
      </c>
      <c r="AB73" s="34" t="str">
        <f aca="false">IF(OR($P73="",$G73=""),"",IF($P73&lt;=$G73,"Có","Không"))</f>
        <v/>
      </c>
      <c r="AC73" s="34" t="str">
        <f aca="false">IF(OR($P73="",$E73=""),"",$P73-$E73)</f>
        <v/>
      </c>
      <c r="AD73" s="35" t="str">
        <f aca="false">IF($A73="","",COUNTIF(CASE!$B$3:$B$202,$A73))</f>
        <v/>
      </c>
      <c r="AE73" s="34" t="str">
        <f aca="false">IF(OR($I73="",$E73=""),"",$I73-$E73)</f>
        <v/>
      </c>
      <c r="AF73" s="34" t="str">
        <f aca="false">IF(OR($K73="",$I73=""),"",$K73-$I73)</f>
        <v/>
      </c>
      <c r="AG73" s="34" t="str">
        <f aca="false">IF(OR($L73="",$K73=""),"",$L73-$K73)</f>
        <v/>
      </c>
      <c r="AH73" s="34" t="str">
        <f aca="false">IF(OR($M73="",$L73=""),"",$M73-$L73)</f>
        <v/>
      </c>
      <c r="AI73" s="34" t="str">
        <f aca="false">IF(OR($P73="",$M73=""),"",$P73-$M73)</f>
        <v/>
      </c>
    </row>
    <row r="74" customFormat="false" ht="15" hidden="false" customHeight="false" outlineLevel="0" collapsed="false">
      <c r="A74" s="29"/>
      <c r="B74" s="29"/>
      <c r="C74" s="29"/>
      <c r="D74" s="30"/>
      <c r="E74" s="31"/>
      <c r="F74" s="32" t="str">
        <f aca="false">IF($E74="","",$E74+7*IFERROR(VLOOKUP($B74,DS!$K$2:$M$4,2,FALSE()),12))</f>
        <v/>
      </c>
      <c r="G74" s="32" t="str">
        <f aca="false">IF($E74="","",$E74+7*IFERROR(VLOOKUP($B74,DS!$K$2:$M$4,3,FALSE()),12))</f>
        <v/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3" t="str">
        <f aca="false">IF($A74="","",IF($R74&lt;&gt;"","95 Hủy/hoàn",IF($Q74&lt;&gt;"","99 Đóng",IF($P74&lt;&gt;"","90 Đã giao",IF($O74&lt;&gt;"","80 Đang giao",IF($N74&lt;&gt;"","70 Thông quan",IF($M74&lt;&gt;"","60 Đã xuất",IF($L74&lt;&gt;"","50 QC đạt",IF($K74&lt;&gt;"","40 NCC đã gửi",IF($I74&lt;&gt;"","30 Đã đặt NCC",IF($H74&lt;&gt;"","20 Đã xác nhận","10 Mới")))))))))))</f>
        <v/>
      </c>
      <c r="U74" s="33" t="str">
        <f aca="false">IF($T74="","",IFERROR(VLOOKUP($T74,DS!$A$2:$B$12,2,FALSE()),""))</f>
        <v/>
      </c>
      <c r="V74" s="34" t="str">
        <f aca="true">IF(OR($T74="",LEFT($T74,2)="99",LEFT($T74,2)="95"),"",TODAY()-MAX($E74,$H74:$P74))</f>
        <v/>
      </c>
      <c r="W74" s="34" t="str">
        <f aca="true">IF(AND($E74&lt;&gt;"",$I74="",$R74=""),IF(TODAY()-$E74&gt;1,"⚑",""),"")</f>
        <v/>
      </c>
      <c r="X74" s="34" t="str">
        <f aca="true">IF(AND($J74&lt;&gt;"",$K74="",$R74=""),IF(TODAY()-$J74&gt;2,"⚑",""),"")</f>
        <v/>
      </c>
      <c r="Y74" s="34" t="str">
        <f aca="true">IF(AND($G74&lt;&gt;"",$M74="",$R74=""),IF(AND($G74-TODAY()&lt;=14,$G74&gt;=TODAY()),"⚑",""),"")</f>
        <v/>
      </c>
      <c r="Z74" s="34" t="str">
        <f aca="true">IF(AND($G74&lt;&gt;"",$P74="",$R74=""),IF(TODAY()&gt;$G74,"⚑",""),"")</f>
        <v/>
      </c>
      <c r="AA74" s="34" t="str">
        <f aca="true">IF(AND($E74&lt;&gt;"",$P74="",$R74=""),IF(TODAY()-MAX($E74,$H74,$M74,$S74)&gt;7,"⚑",""),"")</f>
        <v/>
      </c>
      <c r="AB74" s="34" t="str">
        <f aca="false">IF(OR($P74="",$G74=""),"",IF($P74&lt;=$G74,"Có","Không"))</f>
        <v/>
      </c>
      <c r="AC74" s="34" t="str">
        <f aca="false">IF(OR($P74="",$E74=""),"",$P74-$E74)</f>
        <v/>
      </c>
      <c r="AD74" s="35" t="str">
        <f aca="false">IF($A74="","",COUNTIF(CASE!$B$3:$B$202,$A74))</f>
        <v/>
      </c>
      <c r="AE74" s="34" t="str">
        <f aca="false">IF(OR($I74="",$E74=""),"",$I74-$E74)</f>
        <v/>
      </c>
      <c r="AF74" s="34" t="str">
        <f aca="false">IF(OR($K74="",$I74=""),"",$K74-$I74)</f>
        <v/>
      </c>
      <c r="AG74" s="34" t="str">
        <f aca="false">IF(OR($L74="",$K74=""),"",$L74-$K74)</f>
        <v/>
      </c>
      <c r="AH74" s="34" t="str">
        <f aca="false">IF(OR($M74="",$L74=""),"",$M74-$L74)</f>
        <v/>
      </c>
      <c r="AI74" s="34" t="str">
        <f aca="false">IF(OR($P74="",$M74=""),"",$P74-$M74)</f>
        <v/>
      </c>
    </row>
    <row r="75" customFormat="false" ht="15" hidden="false" customHeight="false" outlineLevel="0" collapsed="false">
      <c r="A75" s="29"/>
      <c r="B75" s="29"/>
      <c r="C75" s="29"/>
      <c r="D75" s="30"/>
      <c r="E75" s="31"/>
      <c r="F75" s="32" t="str">
        <f aca="false">IF($E75="","",$E75+7*IFERROR(VLOOKUP($B75,DS!$K$2:$M$4,2,FALSE()),12))</f>
        <v/>
      </c>
      <c r="G75" s="32" t="str">
        <f aca="false">IF($E75="","",$E75+7*IFERROR(VLOOKUP($B75,DS!$K$2:$M$4,3,FALSE()),12))</f>
        <v/>
      </c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3" t="str">
        <f aca="false">IF($A75="","",IF($R75&lt;&gt;"","95 Hủy/hoàn",IF($Q75&lt;&gt;"","99 Đóng",IF($P75&lt;&gt;"","90 Đã giao",IF($O75&lt;&gt;"","80 Đang giao",IF($N75&lt;&gt;"","70 Thông quan",IF($M75&lt;&gt;"","60 Đã xuất",IF($L75&lt;&gt;"","50 QC đạt",IF($K75&lt;&gt;"","40 NCC đã gửi",IF($I75&lt;&gt;"","30 Đã đặt NCC",IF($H75&lt;&gt;"","20 Đã xác nhận","10 Mới")))))))))))</f>
        <v/>
      </c>
      <c r="U75" s="33" t="str">
        <f aca="false">IF($T75="","",IFERROR(VLOOKUP($T75,DS!$A$2:$B$12,2,FALSE()),""))</f>
        <v/>
      </c>
      <c r="V75" s="34" t="str">
        <f aca="true">IF(OR($T75="",LEFT($T75,2)="99",LEFT($T75,2)="95"),"",TODAY()-MAX($E75,$H75:$P75))</f>
        <v/>
      </c>
      <c r="W75" s="34" t="str">
        <f aca="true">IF(AND($E75&lt;&gt;"",$I75="",$R75=""),IF(TODAY()-$E75&gt;1,"⚑",""),"")</f>
        <v/>
      </c>
      <c r="X75" s="34" t="str">
        <f aca="true">IF(AND($J75&lt;&gt;"",$K75="",$R75=""),IF(TODAY()-$J75&gt;2,"⚑",""),"")</f>
        <v/>
      </c>
      <c r="Y75" s="34" t="str">
        <f aca="true">IF(AND($G75&lt;&gt;"",$M75="",$R75=""),IF(AND($G75-TODAY()&lt;=14,$G75&gt;=TODAY()),"⚑",""),"")</f>
        <v/>
      </c>
      <c r="Z75" s="34" t="str">
        <f aca="true">IF(AND($G75&lt;&gt;"",$P75="",$R75=""),IF(TODAY()&gt;$G75,"⚑",""),"")</f>
        <v/>
      </c>
      <c r="AA75" s="34" t="str">
        <f aca="true">IF(AND($E75&lt;&gt;"",$P75="",$R75=""),IF(TODAY()-MAX($E75,$H75,$M75,$S75)&gt;7,"⚑",""),"")</f>
        <v/>
      </c>
      <c r="AB75" s="34" t="str">
        <f aca="false">IF(OR($P75="",$G75=""),"",IF($P75&lt;=$G75,"Có","Không"))</f>
        <v/>
      </c>
      <c r="AC75" s="34" t="str">
        <f aca="false">IF(OR($P75="",$E75=""),"",$P75-$E75)</f>
        <v/>
      </c>
      <c r="AD75" s="35" t="str">
        <f aca="false">IF($A75="","",COUNTIF(CASE!$B$3:$B$202,$A75))</f>
        <v/>
      </c>
      <c r="AE75" s="34" t="str">
        <f aca="false">IF(OR($I75="",$E75=""),"",$I75-$E75)</f>
        <v/>
      </c>
      <c r="AF75" s="34" t="str">
        <f aca="false">IF(OR($K75="",$I75=""),"",$K75-$I75)</f>
        <v/>
      </c>
      <c r="AG75" s="34" t="str">
        <f aca="false">IF(OR($L75="",$K75=""),"",$L75-$K75)</f>
        <v/>
      </c>
      <c r="AH75" s="34" t="str">
        <f aca="false">IF(OR($M75="",$L75=""),"",$M75-$L75)</f>
        <v/>
      </c>
      <c r="AI75" s="34" t="str">
        <f aca="false">IF(OR($P75="",$M75=""),"",$P75-$M75)</f>
        <v/>
      </c>
    </row>
    <row r="76" customFormat="false" ht="15" hidden="false" customHeight="false" outlineLevel="0" collapsed="false">
      <c r="A76" s="29"/>
      <c r="B76" s="29"/>
      <c r="C76" s="29"/>
      <c r="D76" s="30"/>
      <c r="E76" s="31"/>
      <c r="F76" s="32" t="str">
        <f aca="false">IF($E76="","",$E76+7*IFERROR(VLOOKUP($B76,DS!$K$2:$M$4,2,FALSE()),12))</f>
        <v/>
      </c>
      <c r="G76" s="32" t="str">
        <f aca="false">IF($E76="","",$E76+7*IFERROR(VLOOKUP($B76,DS!$K$2:$M$4,3,FALSE()),12))</f>
        <v/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3" t="str">
        <f aca="false">IF($A76="","",IF($R76&lt;&gt;"","95 Hủy/hoàn",IF($Q76&lt;&gt;"","99 Đóng",IF($P76&lt;&gt;"","90 Đã giao",IF($O76&lt;&gt;"","80 Đang giao",IF($N76&lt;&gt;"","70 Thông quan",IF($M76&lt;&gt;"","60 Đã xuất",IF($L76&lt;&gt;"","50 QC đạt",IF($K76&lt;&gt;"","40 NCC đã gửi",IF($I76&lt;&gt;"","30 Đã đặt NCC",IF($H76&lt;&gt;"","20 Đã xác nhận","10 Mới")))))))))))</f>
        <v/>
      </c>
      <c r="U76" s="33" t="str">
        <f aca="false">IF($T76="","",IFERROR(VLOOKUP($T76,DS!$A$2:$B$12,2,FALSE()),""))</f>
        <v/>
      </c>
      <c r="V76" s="34" t="str">
        <f aca="true">IF(OR($T76="",LEFT($T76,2)="99",LEFT($T76,2)="95"),"",TODAY()-MAX($E76,$H76:$P76))</f>
        <v/>
      </c>
      <c r="W76" s="34" t="str">
        <f aca="true">IF(AND($E76&lt;&gt;"",$I76="",$R76=""),IF(TODAY()-$E76&gt;1,"⚑",""),"")</f>
        <v/>
      </c>
      <c r="X76" s="34" t="str">
        <f aca="true">IF(AND($J76&lt;&gt;"",$K76="",$R76=""),IF(TODAY()-$J76&gt;2,"⚑",""),"")</f>
        <v/>
      </c>
      <c r="Y76" s="34" t="str">
        <f aca="true">IF(AND($G76&lt;&gt;"",$M76="",$R76=""),IF(AND($G76-TODAY()&lt;=14,$G76&gt;=TODAY()),"⚑",""),"")</f>
        <v/>
      </c>
      <c r="Z76" s="34" t="str">
        <f aca="true">IF(AND($G76&lt;&gt;"",$P76="",$R76=""),IF(TODAY()&gt;$G76,"⚑",""),"")</f>
        <v/>
      </c>
      <c r="AA76" s="34" t="str">
        <f aca="true">IF(AND($E76&lt;&gt;"",$P76="",$R76=""),IF(TODAY()-MAX($E76,$H76,$M76,$S76)&gt;7,"⚑",""),"")</f>
        <v/>
      </c>
      <c r="AB76" s="34" t="str">
        <f aca="false">IF(OR($P76="",$G76=""),"",IF($P76&lt;=$G76,"Có","Không"))</f>
        <v/>
      </c>
      <c r="AC76" s="34" t="str">
        <f aca="false">IF(OR($P76="",$E76=""),"",$P76-$E76)</f>
        <v/>
      </c>
      <c r="AD76" s="35" t="str">
        <f aca="false">IF($A76="","",COUNTIF(CASE!$B$3:$B$202,$A76))</f>
        <v/>
      </c>
      <c r="AE76" s="34" t="str">
        <f aca="false">IF(OR($I76="",$E76=""),"",$I76-$E76)</f>
        <v/>
      </c>
      <c r="AF76" s="34" t="str">
        <f aca="false">IF(OR($K76="",$I76=""),"",$K76-$I76)</f>
        <v/>
      </c>
      <c r="AG76" s="34" t="str">
        <f aca="false">IF(OR($L76="",$K76=""),"",$L76-$K76)</f>
        <v/>
      </c>
      <c r="AH76" s="34" t="str">
        <f aca="false">IF(OR($M76="",$L76=""),"",$M76-$L76)</f>
        <v/>
      </c>
      <c r="AI76" s="34" t="str">
        <f aca="false">IF(OR($P76="",$M76=""),"",$P76-$M76)</f>
        <v/>
      </c>
    </row>
    <row r="77" customFormat="false" ht="15" hidden="false" customHeight="false" outlineLevel="0" collapsed="false">
      <c r="A77" s="29"/>
      <c r="B77" s="29"/>
      <c r="C77" s="29"/>
      <c r="D77" s="30"/>
      <c r="E77" s="31"/>
      <c r="F77" s="32" t="str">
        <f aca="false">IF($E77="","",$E77+7*IFERROR(VLOOKUP($B77,DS!$K$2:$M$4,2,FALSE()),12))</f>
        <v/>
      </c>
      <c r="G77" s="32" t="str">
        <f aca="false">IF($E77="","",$E77+7*IFERROR(VLOOKUP($B77,DS!$K$2:$M$4,3,FALSE()),12))</f>
        <v/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3" t="str">
        <f aca="false">IF($A77="","",IF($R77&lt;&gt;"","95 Hủy/hoàn",IF($Q77&lt;&gt;"","99 Đóng",IF($P77&lt;&gt;"","90 Đã giao",IF($O77&lt;&gt;"","80 Đang giao",IF($N77&lt;&gt;"","70 Thông quan",IF($M77&lt;&gt;"","60 Đã xuất",IF($L77&lt;&gt;"","50 QC đạt",IF($K77&lt;&gt;"","40 NCC đã gửi",IF($I77&lt;&gt;"","30 Đã đặt NCC",IF($H77&lt;&gt;"","20 Đã xác nhận","10 Mới")))))))))))</f>
        <v/>
      </c>
      <c r="U77" s="33" t="str">
        <f aca="false">IF($T77="","",IFERROR(VLOOKUP($T77,DS!$A$2:$B$12,2,FALSE()),""))</f>
        <v/>
      </c>
      <c r="V77" s="34" t="str">
        <f aca="true">IF(OR($T77="",LEFT($T77,2)="99",LEFT($T77,2)="95"),"",TODAY()-MAX($E77,$H77:$P77))</f>
        <v/>
      </c>
      <c r="W77" s="34" t="str">
        <f aca="true">IF(AND($E77&lt;&gt;"",$I77="",$R77=""),IF(TODAY()-$E77&gt;1,"⚑",""),"")</f>
        <v/>
      </c>
      <c r="X77" s="34" t="str">
        <f aca="true">IF(AND($J77&lt;&gt;"",$K77="",$R77=""),IF(TODAY()-$J77&gt;2,"⚑",""),"")</f>
        <v/>
      </c>
      <c r="Y77" s="34" t="str">
        <f aca="true">IF(AND($G77&lt;&gt;"",$M77="",$R77=""),IF(AND($G77-TODAY()&lt;=14,$G77&gt;=TODAY()),"⚑",""),"")</f>
        <v/>
      </c>
      <c r="Z77" s="34" t="str">
        <f aca="true">IF(AND($G77&lt;&gt;"",$P77="",$R77=""),IF(TODAY()&gt;$G77,"⚑",""),"")</f>
        <v/>
      </c>
      <c r="AA77" s="34" t="str">
        <f aca="true">IF(AND($E77&lt;&gt;"",$P77="",$R77=""),IF(TODAY()-MAX($E77,$H77,$M77,$S77)&gt;7,"⚑",""),"")</f>
        <v/>
      </c>
      <c r="AB77" s="34" t="str">
        <f aca="false">IF(OR($P77="",$G77=""),"",IF($P77&lt;=$G77,"Có","Không"))</f>
        <v/>
      </c>
      <c r="AC77" s="34" t="str">
        <f aca="false">IF(OR($P77="",$E77=""),"",$P77-$E77)</f>
        <v/>
      </c>
      <c r="AD77" s="35" t="str">
        <f aca="false">IF($A77="","",COUNTIF(CASE!$B$3:$B$202,$A77))</f>
        <v/>
      </c>
      <c r="AE77" s="34" t="str">
        <f aca="false">IF(OR($I77="",$E77=""),"",$I77-$E77)</f>
        <v/>
      </c>
      <c r="AF77" s="34" t="str">
        <f aca="false">IF(OR($K77="",$I77=""),"",$K77-$I77)</f>
        <v/>
      </c>
      <c r="AG77" s="34" t="str">
        <f aca="false">IF(OR($L77="",$K77=""),"",$L77-$K77)</f>
        <v/>
      </c>
      <c r="AH77" s="34" t="str">
        <f aca="false">IF(OR($M77="",$L77=""),"",$M77-$L77)</f>
        <v/>
      </c>
      <c r="AI77" s="34" t="str">
        <f aca="false">IF(OR($P77="",$M77=""),"",$P77-$M77)</f>
        <v/>
      </c>
    </row>
    <row r="78" customFormat="false" ht="15" hidden="false" customHeight="false" outlineLevel="0" collapsed="false">
      <c r="A78" s="29"/>
      <c r="B78" s="29"/>
      <c r="C78" s="29"/>
      <c r="D78" s="30"/>
      <c r="E78" s="31"/>
      <c r="F78" s="32" t="str">
        <f aca="false">IF($E78="","",$E78+7*IFERROR(VLOOKUP($B78,DS!$K$2:$M$4,2,FALSE()),12))</f>
        <v/>
      </c>
      <c r="G78" s="32" t="str">
        <f aca="false">IF($E78="","",$E78+7*IFERROR(VLOOKUP($B78,DS!$K$2:$M$4,3,FALSE()),12))</f>
        <v/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3" t="str">
        <f aca="false">IF($A78="","",IF($R78&lt;&gt;"","95 Hủy/hoàn",IF($Q78&lt;&gt;"","99 Đóng",IF($P78&lt;&gt;"","90 Đã giao",IF($O78&lt;&gt;"","80 Đang giao",IF($N78&lt;&gt;"","70 Thông quan",IF($M78&lt;&gt;"","60 Đã xuất",IF($L78&lt;&gt;"","50 QC đạt",IF($K78&lt;&gt;"","40 NCC đã gửi",IF($I78&lt;&gt;"","30 Đã đặt NCC",IF($H78&lt;&gt;"","20 Đã xác nhận","10 Mới")))))))))))</f>
        <v/>
      </c>
      <c r="U78" s="33" t="str">
        <f aca="false">IF($T78="","",IFERROR(VLOOKUP($T78,DS!$A$2:$B$12,2,FALSE()),""))</f>
        <v/>
      </c>
      <c r="V78" s="34" t="str">
        <f aca="true">IF(OR($T78="",LEFT($T78,2)="99",LEFT($T78,2)="95"),"",TODAY()-MAX($E78,$H78:$P78))</f>
        <v/>
      </c>
      <c r="W78" s="34" t="str">
        <f aca="true">IF(AND($E78&lt;&gt;"",$I78="",$R78=""),IF(TODAY()-$E78&gt;1,"⚑",""),"")</f>
        <v/>
      </c>
      <c r="X78" s="34" t="str">
        <f aca="true">IF(AND($J78&lt;&gt;"",$K78="",$R78=""),IF(TODAY()-$J78&gt;2,"⚑",""),"")</f>
        <v/>
      </c>
      <c r="Y78" s="34" t="str">
        <f aca="true">IF(AND($G78&lt;&gt;"",$M78="",$R78=""),IF(AND($G78-TODAY()&lt;=14,$G78&gt;=TODAY()),"⚑",""),"")</f>
        <v/>
      </c>
      <c r="Z78" s="34" t="str">
        <f aca="true">IF(AND($G78&lt;&gt;"",$P78="",$R78=""),IF(TODAY()&gt;$G78,"⚑",""),"")</f>
        <v/>
      </c>
      <c r="AA78" s="34" t="str">
        <f aca="true">IF(AND($E78&lt;&gt;"",$P78="",$R78=""),IF(TODAY()-MAX($E78,$H78,$M78,$S78)&gt;7,"⚑",""),"")</f>
        <v/>
      </c>
      <c r="AB78" s="34" t="str">
        <f aca="false">IF(OR($P78="",$G78=""),"",IF($P78&lt;=$G78,"Có","Không"))</f>
        <v/>
      </c>
      <c r="AC78" s="34" t="str">
        <f aca="false">IF(OR($P78="",$E78=""),"",$P78-$E78)</f>
        <v/>
      </c>
      <c r="AD78" s="35" t="str">
        <f aca="false">IF($A78="","",COUNTIF(CASE!$B$3:$B$202,$A78))</f>
        <v/>
      </c>
      <c r="AE78" s="34" t="str">
        <f aca="false">IF(OR($I78="",$E78=""),"",$I78-$E78)</f>
        <v/>
      </c>
      <c r="AF78" s="34" t="str">
        <f aca="false">IF(OR($K78="",$I78=""),"",$K78-$I78)</f>
        <v/>
      </c>
      <c r="AG78" s="34" t="str">
        <f aca="false">IF(OR($L78="",$K78=""),"",$L78-$K78)</f>
        <v/>
      </c>
      <c r="AH78" s="34" t="str">
        <f aca="false">IF(OR($M78="",$L78=""),"",$M78-$L78)</f>
        <v/>
      </c>
      <c r="AI78" s="34" t="str">
        <f aca="false">IF(OR($P78="",$M78=""),"",$P78-$M78)</f>
        <v/>
      </c>
    </row>
    <row r="79" customFormat="false" ht="15" hidden="false" customHeight="false" outlineLevel="0" collapsed="false">
      <c r="A79" s="29"/>
      <c r="B79" s="29"/>
      <c r="C79" s="29"/>
      <c r="D79" s="30"/>
      <c r="E79" s="31"/>
      <c r="F79" s="32" t="str">
        <f aca="false">IF($E79="","",$E79+7*IFERROR(VLOOKUP($B79,DS!$K$2:$M$4,2,FALSE()),12))</f>
        <v/>
      </c>
      <c r="G79" s="32" t="str">
        <f aca="false">IF($E79="","",$E79+7*IFERROR(VLOOKUP($B79,DS!$K$2:$M$4,3,FALSE()),12))</f>
        <v/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3" t="str">
        <f aca="false">IF($A79="","",IF($R79&lt;&gt;"","95 Hủy/hoàn",IF($Q79&lt;&gt;"","99 Đóng",IF($P79&lt;&gt;"","90 Đã giao",IF($O79&lt;&gt;"","80 Đang giao",IF($N79&lt;&gt;"","70 Thông quan",IF($M79&lt;&gt;"","60 Đã xuất",IF($L79&lt;&gt;"","50 QC đạt",IF($K79&lt;&gt;"","40 NCC đã gửi",IF($I79&lt;&gt;"","30 Đã đặt NCC",IF($H79&lt;&gt;"","20 Đã xác nhận","10 Mới")))))))))))</f>
        <v/>
      </c>
      <c r="U79" s="33" t="str">
        <f aca="false">IF($T79="","",IFERROR(VLOOKUP($T79,DS!$A$2:$B$12,2,FALSE()),""))</f>
        <v/>
      </c>
      <c r="V79" s="34" t="str">
        <f aca="true">IF(OR($T79="",LEFT($T79,2)="99",LEFT($T79,2)="95"),"",TODAY()-MAX($E79,$H79:$P79))</f>
        <v/>
      </c>
      <c r="W79" s="34" t="str">
        <f aca="true">IF(AND($E79&lt;&gt;"",$I79="",$R79=""),IF(TODAY()-$E79&gt;1,"⚑",""),"")</f>
        <v/>
      </c>
      <c r="X79" s="34" t="str">
        <f aca="true">IF(AND($J79&lt;&gt;"",$K79="",$R79=""),IF(TODAY()-$J79&gt;2,"⚑",""),"")</f>
        <v/>
      </c>
      <c r="Y79" s="34" t="str">
        <f aca="true">IF(AND($G79&lt;&gt;"",$M79="",$R79=""),IF(AND($G79-TODAY()&lt;=14,$G79&gt;=TODAY()),"⚑",""),"")</f>
        <v/>
      </c>
      <c r="Z79" s="34" t="str">
        <f aca="true">IF(AND($G79&lt;&gt;"",$P79="",$R79=""),IF(TODAY()&gt;$G79,"⚑",""),"")</f>
        <v/>
      </c>
      <c r="AA79" s="34" t="str">
        <f aca="true">IF(AND($E79&lt;&gt;"",$P79="",$R79=""),IF(TODAY()-MAX($E79,$H79,$M79,$S79)&gt;7,"⚑",""),"")</f>
        <v/>
      </c>
      <c r="AB79" s="34" t="str">
        <f aca="false">IF(OR($P79="",$G79=""),"",IF($P79&lt;=$G79,"Có","Không"))</f>
        <v/>
      </c>
      <c r="AC79" s="34" t="str">
        <f aca="false">IF(OR($P79="",$E79=""),"",$P79-$E79)</f>
        <v/>
      </c>
      <c r="AD79" s="35" t="str">
        <f aca="false">IF($A79="","",COUNTIF(CASE!$B$3:$B$202,$A79))</f>
        <v/>
      </c>
      <c r="AE79" s="34" t="str">
        <f aca="false">IF(OR($I79="",$E79=""),"",$I79-$E79)</f>
        <v/>
      </c>
      <c r="AF79" s="34" t="str">
        <f aca="false">IF(OR($K79="",$I79=""),"",$K79-$I79)</f>
        <v/>
      </c>
      <c r="AG79" s="34" t="str">
        <f aca="false">IF(OR($L79="",$K79=""),"",$L79-$K79)</f>
        <v/>
      </c>
      <c r="AH79" s="34" t="str">
        <f aca="false">IF(OR($M79="",$L79=""),"",$M79-$L79)</f>
        <v/>
      </c>
      <c r="AI79" s="34" t="str">
        <f aca="false">IF(OR($P79="",$M79=""),"",$P79-$M79)</f>
        <v/>
      </c>
    </row>
    <row r="80" customFormat="false" ht="15" hidden="false" customHeight="false" outlineLevel="0" collapsed="false">
      <c r="A80" s="29"/>
      <c r="B80" s="29"/>
      <c r="C80" s="29"/>
      <c r="D80" s="30"/>
      <c r="E80" s="31"/>
      <c r="F80" s="32" t="str">
        <f aca="false">IF($E80="","",$E80+7*IFERROR(VLOOKUP($B80,DS!$K$2:$M$4,2,FALSE()),12))</f>
        <v/>
      </c>
      <c r="G80" s="32" t="str">
        <f aca="false">IF($E80="","",$E80+7*IFERROR(VLOOKUP($B80,DS!$K$2:$M$4,3,FALSE()),12))</f>
        <v/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3" t="str">
        <f aca="false">IF($A80="","",IF($R80&lt;&gt;"","95 Hủy/hoàn",IF($Q80&lt;&gt;"","99 Đóng",IF($P80&lt;&gt;"","90 Đã giao",IF($O80&lt;&gt;"","80 Đang giao",IF($N80&lt;&gt;"","70 Thông quan",IF($M80&lt;&gt;"","60 Đã xuất",IF($L80&lt;&gt;"","50 QC đạt",IF($K80&lt;&gt;"","40 NCC đã gửi",IF($I80&lt;&gt;"","30 Đã đặt NCC",IF($H80&lt;&gt;"","20 Đã xác nhận","10 Mới")))))))))))</f>
        <v/>
      </c>
      <c r="U80" s="33" t="str">
        <f aca="false">IF($T80="","",IFERROR(VLOOKUP($T80,DS!$A$2:$B$12,2,FALSE()),""))</f>
        <v/>
      </c>
      <c r="V80" s="34" t="str">
        <f aca="true">IF(OR($T80="",LEFT($T80,2)="99",LEFT($T80,2)="95"),"",TODAY()-MAX($E80,$H80:$P80))</f>
        <v/>
      </c>
      <c r="W80" s="34" t="str">
        <f aca="true">IF(AND($E80&lt;&gt;"",$I80="",$R80=""),IF(TODAY()-$E80&gt;1,"⚑",""),"")</f>
        <v/>
      </c>
      <c r="X80" s="34" t="str">
        <f aca="true">IF(AND($J80&lt;&gt;"",$K80="",$R80=""),IF(TODAY()-$J80&gt;2,"⚑",""),"")</f>
        <v/>
      </c>
      <c r="Y80" s="34" t="str">
        <f aca="true">IF(AND($G80&lt;&gt;"",$M80="",$R80=""),IF(AND($G80-TODAY()&lt;=14,$G80&gt;=TODAY()),"⚑",""),"")</f>
        <v/>
      </c>
      <c r="Z80" s="34" t="str">
        <f aca="true">IF(AND($G80&lt;&gt;"",$P80="",$R80=""),IF(TODAY()&gt;$G80,"⚑",""),"")</f>
        <v/>
      </c>
      <c r="AA80" s="34" t="str">
        <f aca="true">IF(AND($E80&lt;&gt;"",$P80="",$R80=""),IF(TODAY()-MAX($E80,$H80,$M80,$S80)&gt;7,"⚑",""),"")</f>
        <v/>
      </c>
      <c r="AB80" s="34" t="str">
        <f aca="false">IF(OR($P80="",$G80=""),"",IF($P80&lt;=$G80,"Có","Không"))</f>
        <v/>
      </c>
      <c r="AC80" s="34" t="str">
        <f aca="false">IF(OR($P80="",$E80=""),"",$P80-$E80)</f>
        <v/>
      </c>
      <c r="AD80" s="35" t="str">
        <f aca="false">IF($A80="","",COUNTIF(CASE!$B$3:$B$202,$A80))</f>
        <v/>
      </c>
      <c r="AE80" s="34" t="str">
        <f aca="false">IF(OR($I80="",$E80=""),"",$I80-$E80)</f>
        <v/>
      </c>
      <c r="AF80" s="34" t="str">
        <f aca="false">IF(OR($K80="",$I80=""),"",$K80-$I80)</f>
        <v/>
      </c>
      <c r="AG80" s="34" t="str">
        <f aca="false">IF(OR($L80="",$K80=""),"",$L80-$K80)</f>
        <v/>
      </c>
      <c r="AH80" s="34" t="str">
        <f aca="false">IF(OR($M80="",$L80=""),"",$M80-$L80)</f>
        <v/>
      </c>
      <c r="AI80" s="34" t="str">
        <f aca="false">IF(OR($P80="",$M80=""),"",$P80-$M80)</f>
        <v/>
      </c>
    </row>
    <row r="81" customFormat="false" ht="15" hidden="false" customHeight="false" outlineLevel="0" collapsed="false">
      <c r="A81" s="29"/>
      <c r="B81" s="29"/>
      <c r="C81" s="29"/>
      <c r="D81" s="30"/>
      <c r="E81" s="31"/>
      <c r="F81" s="32" t="str">
        <f aca="false">IF($E81="","",$E81+7*IFERROR(VLOOKUP($B81,DS!$K$2:$M$4,2,FALSE()),12))</f>
        <v/>
      </c>
      <c r="G81" s="32" t="str">
        <f aca="false">IF($E81="","",$E81+7*IFERROR(VLOOKUP($B81,DS!$K$2:$M$4,3,FALSE()),12))</f>
        <v/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3" t="str">
        <f aca="false">IF($A81="","",IF($R81&lt;&gt;"","95 Hủy/hoàn",IF($Q81&lt;&gt;"","99 Đóng",IF($P81&lt;&gt;"","90 Đã giao",IF($O81&lt;&gt;"","80 Đang giao",IF($N81&lt;&gt;"","70 Thông quan",IF($M81&lt;&gt;"","60 Đã xuất",IF($L81&lt;&gt;"","50 QC đạt",IF($K81&lt;&gt;"","40 NCC đã gửi",IF($I81&lt;&gt;"","30 Đã đặt NCC",IF($H81&lt;&gt;"","20 Đã xác nhận","10 Mới")))))))))))</f>
        <v/>
      </c>
      <c r="U81" s="33" t="str">
        <f aca="false">IF($T81="","",IFERROR(VLOOKUP($T81,DS!$A$2:$B$12,2,FALSE()),""))</f>
        <v/>
      </c>
      <c r="V81" s="34" t="str">
        <f aca="true">IF(OR($T81="",LEFT($T81,2)="99",LEFT($T81,2)="95"),"",TODAY()-MAX($E81,$H81:$P81))</f>
        <v/>
      </c>
      <c r="W81" s="34" t="str">
        <f aca="true">IF(AND($E81&lt;&gt;"",$I81="",$R81=""),IF(TODAY()-$E81&gt;1,"⚑",""),"")</f>
        <v/>
      </c>
      <c r="X81" s="34" t="str">
        <f aca="true">IF(AND($J81&lt;&gt;"",$K81="",$R81=""),IF(TODAY()-$J81&gt;2,"⚑",""),"")</f>
        <v/>
      </c>
      <c r="Y81" s="34" t="str">
        <f aca="true">IF(AND($G81&lt;&gt;"",$M81="",$R81=""),IF(AND($G81-TODAY()&lt;=14,$G81&gt;=TODAY()),"⚑",""),"")</f>
        <v/>
      </c>
      <c r="Z81" s="34" t="str">
        <f aca="true">IF(AND($G81&lt;&gt;"",$P81="",$R81=""),IF(TODAY()&gt;$G81,"⚑",""),"")</f>
        <v/>
      </c>
      <c r="AA81" s="34" t="str">
        <f aca="true">IF(AND($E81&lt;&gt;"",$P81="",$R81=""),IF(TODAY()-MAX($E81,$H81,$M81,$S81)&gt;7,"⚑",""),"")</f>
        <v/>
      </c>
      <c r="AB81" s="34" t="str">
        <f aca="false">IF(OR($P81="",$G81=""),"",IF($P81&lt;=$G81,"Có","Không"))</f>
        <v/>
      </c>
      <c r="AC81" s="34" t="str">
        <f aca="false">IF(OR($P81="",$E81=""),"",$P81-$E81)</f>
        <v/>
      </c>
      <c r="AD81" s="35" t="str">
        <f aca="false">IF($A81="","",COUNTIF(CASE!$B$3:$B$202,$A81))</f>
        <v/>
      </c>
      <c r="AE81" s="34" t="str">
        <f aca="false">IF(OR($I81="",$E81=""),"",$I81-$E81)</f>
        <v/>
      </c>
      <c r="AF81" s="34" t="str">
        <f aca="false">IF(OR($K81="",$I81=""),"",$K81-$I81)</f>
        <v/>
      </c>
      <c r="AG81" s="34" t="str">
        <f aca="false">IF(OR($L81="",$K81=""),"",$L81-$K81)</f>
        <v/>
      </c>
      <c r="AH81" s="34" t="str">
        <f aca="false">IF(OR($M81="",$L81=""),"",$M81-$L81)</f>
        <v/>
      </c>
      <c r="AI81" s="34" t="str">
        <f aca="false">IF(OR($P81="",$M81=""),"",$P81-$M81)</f>
        <v/>
      </c>
    </row>
    <row r="82" customFormat="false" ht="15" hidden="false" customHeight="false" outlineLevel="0" collapsed="false">
      <c r="A82" s="29"/>
      <c r="B82" s="29"/>
      <c r="C82" s="29"/>
      <c r="D82" s="30"/>
      <c r="E82" s="31"/>
      <c r="F82" s="32" t="str">
        <f aca="false">IF($E82="","",$E82+7*IFERROR(VLOOKUP($B82,DS!$K$2:$M$4,2,FALSE()),12))</f>
        <v/>
      </c>
      <c r="G82" s="32" t="str">
        <f aca="false">IF($E82="","",$E82+7*IFERROR(VLOOKUP($B82,DS!$K$2:$M$4,3,FALSE()),12))</f>
        <v/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3" t="str">
        <f aca="false">IF($A82="","",IF($R82&lt;&gt;"","95 Hủy/hoàn",IF($Q82&lt;&gt;"","99 Đóng",IF($P82&lt;&gt;"","90 Đã giao",IF($O82&lt;&gt;"","80 Đang giao",IF($N82&lt;&gt;"","70 Thông quan",IF($M82&lt;&gt;"","60 Đã xuất",IF($L82&lt;&gt;"","50 QC đạt",IF($K82&lt;&gt;"","40 NCC đã gửi",IF($I82&lt;&gt;"","30 Đã đặt NCC",IF($H82&lt;&gt;"","20 Đã xác nhận","10 Mới")))))))))))</f>
        <v/>
      </c>
      <c r="U82" s="33" t="str">
        <f aca="false">IF($T82="","",IFERROR(VLOOKUP($T82,DS!$A$2:$B$12,2,FALSE()),""))</f>
        <v/>
      </c>
      <c r="V82" s="34" t="str">
        <f aca="true">IF(OR($T82="",LEFT($T82,2)="99",LEFT($T82,2)="95"),"",TODAY()-MAX($E82,$H82:$P82))</f>
        <v/>
      </c>
      <c r="W82" s="34" t="str">
        <f aca="true">IF(AND($E82&lt;&gt;"",$I82="",$R82=""),IF(TODAY()-$E82&gt;1,"⚑",""),"")</f>
        <v/>
      </c>
      <c r="X82" s="34" t="str">
        <f aca="true">IF(AND($J82&lt;&gt;"",$K82="",$R82=""),IF(TODAY()-$J82&gt;2,"⚑",""),"")</f>
        <v/>
      </c>
      <c r="Y82" s="34" t="str">
        <f aca="true">IF(AND($G82&lt;&gt;"",$M82="",$R82=""),IF(AND($G82-TODAY()&lt;=14,$G82&gt;=TODAY()),"⚑",""),"")</f>
        <v/>
      </c>
      <c r="Z82" s="34" t="str">
        <f aca="true">IF(AND($G82&lt;&gt;"",$P82="",$R82=""),IF(TODAY()&gt;$G82,"⚑",""),"")</f>
        <v/>
      </c>
      <c r="AA82" s="34" t="str">
        <f aca="true">IF(AND($E82&lt;&gt;"",$P82="",$R82=""),IF(TODAY()-MAX($E82,$H82,$M82,$S82)&gt;7,"⚑",""),"")</f>
        <v/>
      </c>
      <c r="AB82" s="34" t="str">
        <f aca="false">IF(OR($P82="",$G82=""),"",IF($P82&lt;=$G82,"Có","Không"))</f>
        <v/>
      </c>
      <c r="AC82" s="34" t="str">
        <f aca="false">IF(OR($P82="",$E82=""),"",$P82-$E82)</f>
        <v/>
      </c>
      <c r="AD82" s="35" t="str">
        <f aca="false">IF($A82="","",COUNTIF(CASE!$B$3:$B$202,$A82))</f>
        <v/>
      </c>
      <c r="AE82" s="34" t="str">
        <f aca="false">IF(OR($I82="",$E82=""),"",$I82-$E82)</f>
        <v/>
      </c>
      <c r="AF82" s="34" t="str">
        <f aca="false">IF(OR($K82="",$I82=""),"",$K82-$I82)</f>
        <v/>
      </c>
      <c r="AG82" s="34" t="str">
        <f aca="false">IF(OR($L82="",$K82=""),"",$L82-$K82)</f>
        <v/>
      </c>
      <c r="AH82" s="34" t="str">
        <f aca="false">IF(OR($M82="",$L82=""),"",$M82-$L82)</f>
        <v/>
      </c>
      <c r="AI82" s="34" t="str">
        <f aca="false">IF(OR($P82="",$M82=""),"",$P82-$M82)</f>
        <v/>
      </c>
    </row>
    <row r="83" customFormat="false" ht="15" hidden="false" customHeight="false" outlineLevel="0" collapsed="false">
      <c r="A83" s="29"/>
      <c r="B83" s="29"/>
      <c r="C83" s="29"/>
      <c r="D83" s="30"/>
      <c r="E83" s="31"/>
      <c r="F83" s="32" t="str">
        <f aca="false">IF($E83="","",$E83+7*IFERROR(VLOOKUP($B83,DS!$K$2:$M$4,2,FALSE()),12))</f>
        <v/>
      </c>
      <c r="G83" s="32" t="str">
        <f aca="false">IF($E83="","",$E83+7*IFERROR(VLOOKUP($B83,DS!$K$2:$M$4,3,FALSE()),12))</f>
        <v/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3" t="str">
        <f aca="false">IF($A83="","",IF($R83&lt;&gt;"","95 Hủy/hoàn",IF($Q83&lt;&gt;"","99 Đóng",IF($P83&lt;&gt;"","90 Đã giao",IF($O83&lt;&gt;"","80 Đang giao",IF($N83&lt;&gt;"","70 Thông quan",IF($M83&lt;&gt;"","60 Đã xuất",IF($L83&lt;&gt;"","50 QC đạt",IF($K83&lt;&gt;"","40 NCC đã gửi",IF($I83&lt;&gt;"","30 Đã đặt NCC",IF($H83&lt;&gt;"","20 Đã xác nhận","10 Mới")))))))))))</f>
        <v/>
      </c>
      <c r="U83" s="33" t="str">
        <f aca="false">IF($T83="","",IFERROR(VLOOKUP($T83,DS!$A$2:$B$12,2,FALSE()),""))</f>
        <v/>
      </c>
      <c r="V83" s="34" t="str">
        <f aca="true">IF(OR($T83="",LEFT($T83,2)="99",LEFT($T83,2)="95"),"",TODAY()-MAX($E83,$H83:$P83))</f>
        <v/>
      </c>
      <c r="W83" s="34" t="str">
        <f aca="true">IF(AND($E83&lt;&gt;"",$I83="",$R83=""),IF(TODAY()-$E83&gt;1,"⚑",""),"")</f>
        <v/>
      </c>
      <c r="X83" s="34" t="str">
        <f aca="true">IF(AND($J83&lt;&gt;"",$K83="",$R83=""),IF(TODAY()-$J83&gt;2,"⚑",""),"")</f>
        <v/>
      </c>
      <c r="Y83" s="34" t="str">
        <f aca="true">IF(AND($G83&lt;&gt;"",$M83="",$R83=""),IF(AND($G83-TODAY()&lt;=14,$G83&gt;=TODAY()),"⚑",""),"")</f>
        <v/>
      </c>
      <c r="Z83" s="34" t="str">
        <f aca="true">IF(AND($G83&lt;&gt;"",$P83="",$R83=""),IF(TODAY()&gt;$G83,"⚑",""),"")</f>
        <v/>
      </c>
      <c r="AA83" s="34" t="str">
        <f aca="true">IF(AND($E83&lt;&gt;"",$P83="",$R83=""),IF(TODAY()-MAX($E83,$H83,$M83,$S83)&gt;7,"⚑",""),"")</f>
        <v/>
      </c>
      <c r="AB83" s="34" t="str">
        <f aca="false">IF(OR($P83="",$G83=""),"",IF($P83&lt;=$G83,"Có","Không"))</f>
        <v/>
      </c>
      <c r="AC83" s="34" t="str">
        <f aca="false">IF(OR($P83="",$E83=""),"",$P83-$E83)</f>
        <v/>
      </c>
      <c r="AD83" s="35" t="str">
        <f aca="false">IF($A83="","",COUNTIF(CASE!$B$3:$B$202,$A83))</f>
        <v/>
      </c>
      <c r="AE83" s="34" t="str">
        <f aca="false">IF(OR($I83="",$E83=""),"",$I83-$E83)</f>
        <v/>
      </c>
      <c r="AF83" s="34" t="str">
        <f aca="false">IF(OR($K83="",$I83=""),"",$K83-$I83)</f>
        <v/>
      </c>
      <c r="AG83" s="34" t="str">
        <f aca="false">IF(OR($L83="",$K83=""),"",$L83-$K83)</f>
        <v/>
      </c>
      <c r="AH83" s="34" t="str">
        <f aca="false">IF(OR($M83="",$L83=""),"",$M83-$L83)</f>
        <v/>
      </c>
      <c r="AI83" s="34" t="str">
        <f aca="false">IF(OR($P83="",$M83=""),"",$P83-$M83)</f>
        <v/>
      </c>
    </row>
    <row r="84" customFormat="false" ht="15" hidden="false" customHeight="false" outlineLevel="0" collapsed="false">
      <c r="A84" s="29"/>
      <c r="B84" s="29"/>
      <c r="C84" s="29"/>
      <c r="D84" s="30"/>
      <c r="E84" s="31"/>
      <c r="F84" s="32" t="str">
        <f aca="false">IF($E84="","",$E84+7*IFERROR(VLOOKUP($B84,DS!$K$2:$M$4,2,FALSE()),12))</f>
        <v/>
      </c>
      <c r="G84" s="32" t="str">
        <f aca="false">IF($E84="","",$E84+7*IFERROR(VLOOKUP($B84,DS!$K$2:$M$4,3,FALSE()),12))</f>
        <v/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3" t="str">
        <f aca="false">IF($A84="","",IF($R84&lt;&gt;"","95 Hủy/hoàn",IF($Q84&lt;&gt;"","99 Đóng",IF($P84&lt;&gt;"","90 Đã giao",IF($O84&lt;&gt;"","80 Đang giao",IF($N84&lt;&gt;"","70 Thông quan",IF($M84&lt;&gt;"","60 Đã xuất",IF($L84&lt;&gt;"","50 QC đạt",IF($K84&lt;&gt;"","40 NCC đã gửi",IF($I84&lt;&gt;"","30 Đã đặt NCC",IF($H84&lt;&gt;"","20 Đã xác nhận","10 Mới")))))))))))</f>
        <v/>
      </c>
      <c r="U84" s="33" t="str">
        <f aca="false">IF($T84="","",IFERROR(VLOOKUP($T84,DS!$A$2:$B$12,2,FALSE()),""))</f>
        <v/>
      </c>
      <c r="V84" s="34" t="str">
        <f aca="true">IF(OR($T84="",LEFT($T84,2)="99",LEFT($T84,2)="95"),"",TODAY()-MAX($E84,$H84:$P84))</f>
        <v/>
      </c>
      <c r="W84" s="34" t="str">
        <f aca="true">IF(AND($E84&lt;&gt;"",$I84="",$R84=""),IF(TODAY()-$E84&gt;1,"⚑",""),"")</f>
        <v/>
      </c>
      <c r="X84" s="34" t="str">
        <f aca="true">IF(AND($J84&lt;&gt;"",$K84="",$R84=""),IF(TODAY()-$J84&gt;2,"⚑",""),"")</f>
        <v/>
      </c>
      <c r="Y84" s="34" t="str">
        <f aca="true">IF(AND($G84&lt;&gt;"",$M84="",$R84=""),IF(AND($G84-TODAY()&lt;=14,$G84&gt;=TODAY()),"⚑",""),"")</f>
        <v/>
      </c>
      <c r="Z84" s="34" t="str">
        <f aca="true">IF(AND($G84&lt;&gt;"",$P84="",$R84=""),IF(TODAY()&gt;$G84,"⚑",""),"")</f>
        <v/>
      </c>
      <c r="AA84" s="34" t="str">
        <f aca="true">IF(AND($E84&lt;&gt;"",$P84="",$R84=""),IF(TODAY()-MAX($E84,$H84,$M84,$S84)&gt;7,"⚑",""),"")</f>
        <v/>
      </c>
      <c r="AB84" s="34" t="str">
        <f aca="false">IF(OR($P84="",$G84=""),"",IF($P84&lt;=$G84,"Có","Không"))</f>
        <v/>
      </c>
      <c r="AC84" s="34" t="str">
        <f aca="false">IF(OR($P84="",$E84=""),"",$P84-$E84)</f>
        <v/>
      </c>
      <c r="AD84" s="35" t="str">
        <f aca="false">IF($A84="","",COUNTIF(CASE!$B$3:$B$202,$A84))</f>
        <v/>
      </c>
      <c r="AE84" s="34" t="str">
        <f aca="false">IF(OR($I84="",$E84=""),"",$I84-$E84)</f>
        <v/>
      </c>
      <c r="AF84" s="34" t="str">
        <f aca="false">IF(OR($K84="",$I84=""),"",$K84-$I84)</f>
        <v/>
      </c>
      <c r="AG84" s="34" t="str">
        <f aca="false">IF(OR($L84="",$K84=""),"",$L84-$K84)</f>
        <v/>
      </c>
      <c r="AH84" s="34" t="str">
        <f aca="false">IF(OR($M84="",$L84=""),"",$M84-$L84)</f>
        <v/>
      </c>
      <c r="AI84" s="34" t="str">
        <f aca="false">IF(OR($P84="",$M84=""),"",$P84-$M84)</f>
        <v/>
      </c>
    </row>
    <row r="85" customFormat="false" ht="15" hidden="false" customHeight="false" outlineLevel="0" collapsed="false">
      <c r="A85" s="29"/>
      <c r="B85" s="29"/>
      <c r="C85" s="29"/>
      <c r="D85" s="30"/>
      <c r="E85" s="31"/>
      <c r="F85" s="32" t="str">
        <f aca="false">IF($E85="","",$E85+7*IFERROR(VLOOKUP($B85,DS!$K$2:$M$4,2,FALSE()),12))</f>
        <v/>
      </c>
      <c r="G85" s="32" t="str">
        <f aca="false">IF($E85="","",$E85+7*IFERROR(VLOOKUP($B85,DS!$K$2:$M$4,3,FALSE()),12))</f>
        <v/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3" t="str">
        <f aca="false">IF($A85="","",IF($R85&lt;&gt;"","95 Hủy/hoàn",IF($Q85&lt;&gt;"","99 Đóng",IF($P85&lt;&gt;"","90 Đã giao",IF($O85&lt;&gt;"","80 Đang giao",IF($N85&lt;&gt;"","70 Thông quan",IF($M85&lt;&gt;"","60 Đã xuất",IF($L85&lt;&gt;"","50 QC đạt",IF($K85&lt;&gt;"","40 NCC đã gửi",IF($I85&lt;&gt;"","30 Đã đặt NCC",IF($H85&lt;&gt;"","20 Đã xác nhận","10 Mới")))))))))))</f>
        <v/>
      </c>
      <c r="U85" s="33" t="str">
        <f aca="false">IF($T85="","",IFERROR(VLOOKUP($T85,DS!$A$2:$B$12,2,FALSE()),""))</f>
        <v/>
      </c>
      <c r="V85" s="34" t="str">
        <f aca="true">IF(OR($T85="",LEFT($T85,2)="99",LEFT($T85,2)="95"),"",TODAY()-MAX($E85,$H85:$P85))</f>
        <v/>
      </c>
      <c r="W85" s="34" t="str">
        <f aca="true">IF(AND($E85&lt;&gt;"",$I85="",$R85=""),IF(TODAY()-$E85&gt;1,"⚑",""),"")</f>
        <v/>
      </c>
      <c r="X85" s="34" t="str">
        <f aca="true">IF(AND($J85&lt;&gt;"",$K85="",$R85=""),IF(TODAY()-$J85&gt;2,"⚑",""),"")</f>
        <v/>
      </c>
      <c r="Y85" s="34" t="str">
        <f aca="true">IF(AND($G85&lt;&gt;"",$M85="",$R85=""),IF(AND($G85-TODAY()&lt;=14,$G85&gt;=TODAY()),"⚑",""),"")</f>
        <v/>
      </c>
      <c r="Z85" s="34" t="str">
        <f aca="true">IF(AND($G85&lt;&gt;"",$P85="",$R85=""),IF(TODAY()&gt;$G85,"⚑",""),"")</f>
        <v/>
      </c>
      <c r="AA85" s="34" t="str">
        <f aca="true">IF(AND($E85&lt;&gt;"",$P85="",$R85=""),IF(TODAY()-MAX($E85,$H85,$M85,$S85)&gt;7,"⚑",""),"")</f>
        <v/>
      </c>
      <c r="AB85" s="34" t="str">
        <f aca="false">IF(OR($P85="",$G85=""),"",IF($P85&lt;=$G85,"Có","Không"))</f>
        <v/>
      </c>
      <c r="AC85" s="34" t="str">
        <f aca="false">IF(OR($P85="",$E85=""),"",$P85-$E85)</f>
        <v/>
      </c>
      <c r="AD85" s="35" t="str">
        <f aca="false">IF($A85="","",COUNTIF(CASE!$B$3:$B$202,$A85))</f>
        <v/>
      </c>
      <c r="AE85" s="34" t="str">
        <f aca="false">IF(OR($I85="",$E85=""),"",$I85-$E85)</f>
        <v/>
      </c>
      <c r="AF85" s="34" t="str">
        <f aca="false">IF(OR($K85="",$I85=""),"",$K85-$I85)</f>
        <v/>
      </c>
      <c r="AG85" s="34" t="str">
        <f aca="false">IF(OR($L85="",$K85=""),"",$L85-$K85)</f>
        <v/>
      </c>
      <c r="AH85" s="34" t="str">
        <f aca="false">IF(OR($M85="",$L85=""),"",$M85-$L85)</f>
        <v/>
      </c>
      <c r="AI85" s="34" t="str">
        <f aca="false">IF(OR($P85="",$M85=""),"",$P85-$M85)</f>
        <v/>
      </c>
    </row>
    <row r="86" customFormat="false" ht="15" hidden="false" customHeight="false" outlineLevel="0" collapsed="false">
      <c r="A86" s="29"/>
      <c r="B86" s="29"/>
      <c r="C86" s="29"/>
      <c r="D86" s="30"/>
      <c r="E86" s="31"/>
      <c r="F86" s="32" t="str">
        <f aca="false">IF($E86="","",$E86+7*IFERROR(VLOOKUP($B86,DS!$K$2:$M$4,2,FALSE()),12))</f>
        <v/>
      </c>
      <c r="G86" s="32" t="str">
        <f aca="false">IF($E86="","",$E86+7*IFERROR(VLOOKUP($B86,DS!$K$2:$M$4,3,FALSE()),12))</f>
        <v/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3" t="str">
        <f aca="false">IF($A86="","",IF($R86&lt;&gt;"","95 Hủy/hoàn",IF($Q86&lt;&gt;"","99 Đóng",IF($P86&lt;&gt;"","90 Đã giao",IF($O86&lt;&gt;"","80 Đang giao",IF($N86&lt;&gt;"","70 Thông quan",IF($M86&lt;&gt;"","60 Đã xuất",IF($L86&lt;&gt;"","50 QC đạt",IF($K86&lt;&gt;"","40 NCC đã gửi",IF($I86&lt;&gt;"","30 Đã đặt NCC",IF($H86&lt;&gt;"","20 Đã xác nhận","10 Mới")))))))))))</f>
        <v/>
      </c>
      <c r="U86" s="33" t="str">
        <f aca="false">IF($T86="","",IFERROR(VLOOKUP($T86,DS!$A$2:$B$12,2,FALSE()),""))</f>
        <v/>
      </c>
      <c r="V86" s="34" t="str">
        <f aca="true">IF(OR($T86="",LEFT($T86,2)="99",LEFT($T86,2)="95"),"",TODAY()-MAX($E86,$H86:$P86))</f>
        <v/>
      </c>
      <c r="W86" s="34" t="str">
        <f aca="true">IF(AND($E86&lt;&gt;"",$I86="",$R86=""),IF(TODAY()-$E86&gt;1,"⚑",""),"")</f>
        <v/>
      </c>
      <c r="X86" s="34" t="str">
        <f aca="true">IF(AND($J86&lt;&gt;"",$K86="",$R86=""),IF(TODAY()-$J86&gt;2,"⚑",""),"")</f>
        <v/>
      </c>
      <c r="Y86" s="34" t="str">
        <f aca="true">IF(AND($G86&lt;&gt;"",$M86="",$R86=""),IF(AND($G86-TODAY()&lt;=14,$G86&gt;=TODAY()),"⚑",""),"")</f>
        <v/>
      </c>
      <c r="Z86" s="34" t="str">
        <f aca="true">IF(AND($G86&lt;&gt;"",$P86="",$R86=""),IF(TODAY()&gt;$G86,"⚑",""),"")</f>
        <v/>
      </c>
      <c r="AA86" s="34" t="str">
        <f aca="true">IF(AND($E86&lt;&gt;"",$P86="",$R86=""),IF(TODAY()-MAX($E86,$H86,$M86,$S86)&gt;7,"⚑",""),"")</f>
        <v/>
      </c>
      <c r="AB86" s="34" t="str">
        <f aca="false">IF(OR($P86="",$G86=""),"",IF($P86&lt;=$G86,"Có","Không"))</f>
        <v/>
      </c>
      <c r="AC86" s="34" t="str">
        <f aca="false">IF(OR($P86="",$E86=""),"",$P86-$E86)</f>
        <v/>
      </c>
      <c r="AD86" s="35" t="str">
        <f aca="false">IF($A86="","",COUNTIF(CASE!$B$3:$B$202,$A86))</f>
        <v/>
      </c>
      <c r="AE86" s="34" t="str">
        <f aca="false">IF(OR($I86="",$E86=""),"",$I86-$E86)</f>
        <v/>
      </c>
      <c r="AF86" s="34" t="str">
        <f aca="false">IF(OR($K86="",$I86=""),"",$K86-$I86)</f>
        <v/>
      </c>
      <c r="AG86" s="34" t="str">
        <f aca="false">IF(OR($L86="",$K86=""),"",$L86-$K86)</f>
        <v/>
      </c>
      <c r="AH86" s="34" t="str">
        <f aca="false">IF(OR($M86="",$L86=""),"",$M86-$L86)</f>
        <v/>
      </c>
      <c r="AI86" s="34" t="str">
        <f aca="false">IF(OR($P86="",$M86=""),"",$P86-$M86)</f>
        <v/>
      </c>
    </row>
    <row r="87" customFormat="false" ht="15" hidden="false" customHeight="false" outlineLevel="0" collapsed="false">
      <c r="A87" s="29"/>
      <c r="B87" s="29"/>
      <c r="C87" s="29"/>
      <c r="D87" s="30"/>
      <c r="E87" s="31"/>
      <c r="F87" s="32" t="str">
        <f aca="false">IF($E87="","",$E87+7*IFERROR(VLOOKUP($B87,DS!$K$2:$M$4,2,FALSE()),12))</f>
        <v/>
      </c>
      <c r="G87" s="32" t="str">
        <f aca="false">IF($E87="","",$E87+7*IFERROR(VLOOKUP($B87,DS!$K$2:$M$4,3,FALSE()),12))</f>
        <v/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3" t="str">
        <f aca="false">IF($A87="","",IF($R87&lt;&gt;"","95 Hủy/hoàn",IF($Q87&lt;&gt;"","99 Đóng",IF($P87&lt;&gt;"","90 Đã giao",IF($O87&lt;&gt;"","80 Đang giao",IF($N87&lt;&gt;"","70 Thông quan",IF($M87&lt;&gt;"","60 Đã xuất",IF($L87&lt;&gt;"","50 QC đạt",IF($K87&lt;&gt;"","40 NCC đã gửi",IF($I87&lt;&gt;"","30 Đã đặt NCC",IF($H87&lt;&gt;"","20 Đã xác nhận","10 Mới")))))))))))</f>
        <v/>
      </c>
      <c r="U87" s="33" t="str">
        <f aca="false">IF($T87="","",IFERROR(VLOOKUP($T87,DS!$A$2:$B$12,2,FALSE()),""))</f>
        <v/>
      </c>
      <c r="V87" s="34" t="str">
        <f aca="true">IF(OR($T87="",LEFT($T87,2)="99",LEFT($T87,2)="95"),"",TODAY()-MAX($E87,$H87:$P87))</f>
        <v/>
      </c>
      <c r="W87" s="34" t="str">
        <f aca="true">IF(AND($E87&lt;&gt;"",$I87="",$R87=""),IF(TODAY()-$E87&gt;1,"⚑",""),"")</f>
        <v/>
      </c>
      <c r="X87" s="34" t="str">
        <f aca="true">IF(AND($J87&lt;&gt;"",$K87="",$R87=""),IF(TODAY()-$J87&gt;2,"⚑",""),"")</f>
        <v/>
      </c>
      <c r="Y87" s="34" t="str">
        <f aca="true">IF(AND($G87&lt;&gt;"",$M87="",$R87=""),IF(AND($G87-TODAY()&lt;=14,$G87&gt;=TODAY()),"⚑",""),"")</f>
        <v/>
      </c>
      <c r="Z87" s="34" t="str">
        <f aca="true">IF(AND($G87&lt;&gt;"",$P87="",$R87=""),IF(TODAY()&gt;$G87,"⚑",""),"")</f>
        <v/>
      </c>
      <c r="AA87" s="34" t="str">
        <f aca="true">IF(AND($E87&lt;&gt;"",$P87="",$R87=""),IF(TODAY()-MAX($E87,$H87,$M87,$S87)&gt;7,"⚑",""),"")</f>
        <v/>
      </c>
      <c r="AB87" s="34" t="str">
        <f aca="false">IF(OR($P87="",$G87=""),"",IF($P87&lt;=$G87,"Có","Không"))</f>
        <v/>
      </c>
      <c r="AC87" s="34" t="str">
        <f aca="false">IF(OR($P87="",$E87=""),"",$P87-$E87)</f>
        <v/>
      </c>
      <c r="AD87" s="35" t="str">
        <f aca="false">IF($A87="","",COUNTIF(CASE!$B$3:$B$202,$A87))</f>
        <v/>
      </c>
      <c r="AE87" s="34" t="str">
        <f aca="false">IF(OR($I87="",$E87=""),"",$I87-$E87)</f>
        <v/>
      </c>
      <c r="AF87" s="34" t="str">
        <f aca="false">IF(OR($K87="",$I87=""),"",$K87-$I87)</f>
        <v/>
      </c>
      <c r="AG87" s="34" t="str">
        <f aca="false">IF(OR($L87="",$K87=""),"",$L87-$K87)</f>
        <v/>
      </c>
      <c r="AH87" s="34" t="str">
        <f aca="false">IF(OR($M87="",$L87=""),"",$M87-$L87)</f>
        <v/>
      </c>
      <c r="AI87" s="34" t="str">
        <f aca="false">IF(OR($P87="",$M87=""),"",$P87-$M87)</f>
        <v/>
      </c>
    </row>
    <row r="88" customFormat="false" ht="15" hidden="false" customHeight="false" outlineLevel="0" collapsed="false">
      <c r="A88" s="29"/>
      <c r="B88" s="29"/>
      <c r="C88" s="29"/>
      <c r="D88" s="30"/>
      <c r="E88" s="31"/>
      <c r="F88" s="32" t="str">
        <f aca="false">IF($E88="","",$E88+7*IFERROR(VLOOKUP($B88,DS!$K$2:$M$4,2,FALSE()),12))</f>
        <v/>
      </c>
      <c r="G88" s="32" t="str">
        <f aca="false">IF($E88="","",$E88+7*IFERROR(VLOOKUP($B88,DS!$K$2:$M$4,3,FALSE()),12))</f>
        <v/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3" t="str">
        <f aca="false">IF($A88="","",IF($R88&lt;&gt;"","95 Hủy/hoàn",IF($Q88&lt;&gt;"","99 Đóng",IF($P88&lt;&gt;"","90 Đã giao",IF($O88&lt;&gt;"","80 Đang giao",IF($N88&lt;&gt;"","70 Thông quan",IF($M88&lt;&gt;"","60 Đã xuất",IF($L88&lt;&gt;"","50 QC đạt",IF($K88&lt;&gt;"","40 NCC đã gửi",IF($I88&lt;&gt;"","30 Đã đặt NCC",IF($H88&lt;&gt;"","20 Đã xác nhận","10 Mới")))))))))))</f>
        <v/>
      </c>
      <c r="U88" s="33" t="str">
        <f aca="false">IF($T88="","",IFERROR(VLOOKUP($T88,DS!$A$2:$B$12,2,FALSE()),""))</f>
        <v/>
      </c>
      <c r="V88" s="34" t="str">
        <f aca="true">IF(OR($T88="",LEFT($T88,2)="99",LEFT($T88,2)="95"),"",TODAY()-MAX($E88,$H88:$P88))</f>
        <v/>
      </c>
      <c r="W88" s="34" t="str">
        <f aca="true">IF(AND($E88&lt;&gt;"",$I88="",$R88=""),IF(TODAY()-$E88&gt;1,"⚑",""),"")</f>
        <v/>
      </c>
      <c r="X88" s="34" t="str">
        <f aca="true">IF(AND($J88&lt;&gt;"",$K88="",$R88=""),IF(TODAY()-$J88&gt;2,"⚑",""),"")</f>
        <v/>
      </c>
      <c r="Y88" s="34" t="str">
        <f aca="true">IF(AND($G88&lt;&gt;"",$M88="",$R88=""),IF(AND($G88-TODAY()&lt;=14,$G88&gt;=TODAY()),"⚑",""),"")</f>
        <v/>
      </c>
      <c r="Z88" s="34" t="str">
        <f aca="true">IF(AND($G88&lt;&gt;"",$P88="",$R88=""),IF(TODAY()&gt;$G88,"⚑",""),"")</f>
        <v/>
      </c>
      <c r="AA88" s="34" t="str">
        <f aca="true">IF(AND($E88&lt;&gt;"",$P88="",$R88=""),IF(TODAY()-MAX($E88,$H88,$M88,$S88)&gt;7,"⚑",""),"")</f>
        <v/>
      </c>
      <c r="AB88" s="34" t="str">
        <f aca="false">IF(OR($P88="",$G88=""),"",IF($P88&lt;=$G88,"Có","Không"))</f>
        <v/>
      </c>
      <c r="AC88" s="34" t="str">
        <f aca="false">IF(OR($P88="",$E88=""),"",$P88-$E88)</f>
        <v/>
      </c>
      <c r="AD88" s="35" t="str">
        <f aca="false">IF($A88="","",COUNTIF(CASE!$B$3:$B$202,$A88))</f>
        <v/>
      </c>
      <c r="AE88" s="34" t="str">
        <f aca="false">IF(OR($I88="",$E88=""),"",$I88-$E88)</f>
        <v/>
      </c>
      <c r="AF88" s="34" t="str">
        <f aca="false">IF(OR($K88="",$I88=""),"",$K88-$I88)</f>
        <v/>
      </c>
      <c r="AG88" s="34" t="str">
        <f aca="false">IF(OR($L88="",$K88=""),"",$L88-$K88)</f>
        <v/>
      </c>
      <c r="AH88" s="34" t="str">
        <f aca="false">IF(OR($M88="",$L88=""),"",$M88-$L88)</f>
        <v/>
      </c>
      <c r="AI88" s="34" t="str">
        <f aca="false">IF(OR($P88="",$M88=""),"",$P88-$M88)</f>
        <v/>
      </c>
    </row>
    <row r="89" customFormat="false" ht="15" hidden="false" customHeight="false" outlineLevel="0" collapsed="false">
      <c r="A89" s="29"/>
      <c r="B89" s="29"/>
      <c r="C89" s="29"/>
      <c r="D89" s="30"/>
      <c r="E89" s="31"/>
      <c r="F89" s="32" t="str">
        <f aca="false">IF($E89="","",$E89+7*IFERROR(VLOOKUP($B89,DS!$K$2:$M$4,2,FALSE()),12))</f>
        <v/>
      </c>
      <c r="G89" s="32" t="str">
        <f aca="false">IF($E89="","",$E89+7*IFERROR(VLOOKUP($B89,DS!$K$2:$M$4,3,FALSE()),12))</f>
        <v/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3" t="str">
        <f aca="false">IF($A89="","",IF($R89&lt;&gt;"","95 Hủy/hoàn",IF($Q89&lt;&gt;"","99 Đóng",IF($P89&lt;&gt;"","90 Đã giao",IF($O89&lt;&gt;"","80 Đang giao",IF($N89&lt;&gt;"","70 Thông quan",IF($M89&lt;&gt;"","60 Đã xuất",IF($L89&lt;&gt;"","50 QC đạt",IF($K89&lt;&gt;"","40 NCC đã gửi",IF($I89&lt;&gt;"","30 Đã đặt NCC",IF($H89&lt;&gt;"","20 Đã xác nhận","10 Mới")))))))))))</f>
        <v/>
      </c>
      <c r="U89" s="33" t="str">
        <f aca="false">IF($T89="","",IFERROR(VLOOKUP($T89,DS!$A$2:$B$12,2,FALSE()),""))</f>
        <v/>
      </c>
      <c r="V89" s="34" t="str">
        <f aca="true">IF(OR($T89="",LEFT($T89,2)="99",LEFT($T89,2)="95"),"",TODAY()-MAX($E89,$H89:$P89))</f>
        <v/>
      </c>
      <c r="W89" s="34" t="str">
        <f aca="true">IF(AND($E89&lt;&gt;"",$I89="",$R89=""),IF(TODAY()-$E89&gt;1,"⚑",""),"")</f>
        <v/>
      </c>
      <c r="X89" s="34" t="str">
        <f aca="true">IF(AND($J89&lt;&gt;"",$K89="",$R89=""),IF(TODAY()-$J89&gt;2,"⚑",""),"")</f>
        <v/>
      </c>
      <c r="Y89" s="34" t="str">
        <f aca="true">IF(AND($G89&lt;&gt;"",$M89="",$R89=""),IF(AND($G89-TODAY()&lt;=14,$G89&gt;=TODAY()),"⚑",""),"")</f>
        <v/>
      </c>
      <c r="Z89" s="34" t="str">
        <f aca="true">IF(AND($G89&lt;&gt;"",$P89="",$R89=""),IF(TODAY()&gt;$G89,"⚑",""),"")</f>
        <v/>
      </c>
      <c r="AA89" s="34" t="str">
        <f aca="true">IF(AND($E89&lt;&gt;"",$P89="",$R89=""),IF(TODAY()-MAX($E89,$H89,$M89,$S89)&gt;7,"⚑",""),"")</f>
        <v/>
      </c>
      <c r="AB89" s="34" t="str">
        <f aca="false">IF(OR($P89="",$G89=""),"",IF($P89&lt;=$G89,"Có","Không"))</f>
        <v/>
      </c>
      <c r="AC89" s="34" t="str">
        <f aca="false">IF(OR($P89="",$E89=""),"",$P89-$E89)</f>
        <v/>
      </c>
      <c r="AD89" s="35" t="str">
        <f aca="false">IF($A89="","",COUNTIF(CASE!$B$3:$B$202,$A89))</f>
        <v/>
      </c>
      <c r="AE89" s="34" t="str">
        <f aca="false">IF(OR($I89="",$E89=""),"",$I89-$E89)</f>
        <v/>
      </c>
      <c r="AF89" s="34" t="str">
        <f aca="false">IF(OR($K89="",$I89=""),"",$K89-$I89)</f>
        <v/>
      </c>
      <c r="AG89" s="34" t="str">
        <f aca="false">IF(OR($L89="",$K89=""),"",$L89-$K89)</f>
        <v/>
      </c>
      <c r="AH89" s="34" t="str">
        <f aca="false">IF(OR($M89="",$L89=""),"",$M89-$L89)</f>
        <v/>
      </c>
      <c r="AI89" s="34" t="str">
        <f aca="false">IF(OR($P89="",$M89=""),"",$P89-$M89)</f>
        <v/>
      </c>
    </row>
    <row r="90" customFormat="false" ht="15" hidden="false" customHeight="false" outlineLevel="0" collapsed="false">
      <c r="A90" s="29"/>
      <c r="B90" s="29"/>
      <c r="C90" s="29"/>
      <c r="D90" s="30"/>
      <c r="E90" s="31"/>
      <c r="F90" s="32" t="str">
        <f aca="false">IF($E90="","",$E90+7*IFERROR(VLOOKUP($B90,DS!$K$2:$M$4,2,FALSE()),12))</f>
        <v/>
      </c>
      <c r="G90" s="32" t="str">
        <f aca="false">IF($E90="","",$E90+7*IFERROR(VLOOKUP($B90,DS!$K$2:$M$4,3,FALSE()),12))</f>
        <v/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3" t="str">
        <f aca="false">IF($A90="","",IF($R90&lt;&gt;"","95 Hủy/hoàn",IF($Q90&lt;&gt;"","99 Đóng",IF($P90&lt;&gt;"","90 Đã giao",IF($O90&lt;&gt;"","80 Đang giao",IF($N90&lt;&gt;"","70 Thông quan",IF($M90&lt;&gt;"","60 Đã xuất",IF($L90&lt;&gt;"","50 QC đạt",IF($K90&lt;&gt;"","40 NCC đã gửi",IF($I90&lt;&gt;"","30 Đã đặt NCC",IF($H90&lt;&gt;"","20 Đã xác nhận","10 Mới")))))))))))</f>
        <v/>
      </c>
      <c r="U90" s="33" t="str">
        <f aca="false">IF($T90="","",IFERROR(VLOOKUP($T90,DS!$A$2:$B$12,2,FALSE()),""))</f>
        <v/>
      </c>
      <c r="V90" s="34" t="str">
        <f aca="true">IF(OR($T90="",LEFT($T90,2)="99",LEFT($T90,2)="95"),"",TODAY()-MAX($E90,$H90:$P90))</f>
        <v/>
      </c>
      <c r="W90" s="34" t="str">
        <f aca="true">IF(AND($E90&lt;&gt;"",$I90="",$R90=""),IF(TODAY()-$E90&gt;1,"⚑",""),"")</f>
        <v/>
      </c>
      <c r="X90" s="34" t="str">
        <f aca="true">IF(AND($J90&lt;&gt;"",$K90="",$R90=""),IF(TODAY()-$J90&gt;2,"⚑",""),"")</f>
        <v/>
      </c>
      <c r="Y90" s="34" t="str">
        <f aca="true">IF(AND($G90&lt;&gt;"",$M90="",$R90=""),IF(AND($G90-TODAY()&lt;=14,$G90&gt;=TODAY()),"⚑",""),"")</f>
        <v/>
      </c>
      <c r="Z90" s="34" t="str">
        <f aca="true">IF(AND($G90&lt;&gt;"",$P90="",$R90=""),IF(TODAY()&gt;$G90,"⚑",""),"")</f>
        <v/>
      </c>
      <c r="AA90" s="34" t="str">
        <f aca="true">IF(AND($E90&lt;&gt;"",$P90="",$R90=""),IF(TODAY()-MAX($E90,$H90,$M90,$S90)&gt;7,"⚑",""),"")</f>
        <v/>
      </c>
      <c r="AB90" s="34" t="str">
        <f aca="false">IF(OR($P90="",$G90=""),"",IF($P90&lt;=$G90,"Có","Không"))</f>
        <v/>
      </c>
      <c r="AC90" s="34" t="str">
        <f aca="false">IF(OR($P90="",$E90=""),"",$P90-$E90)</f>
        <v/>
      </c>
      <c r="AD90" s="35" t="str">
        <f aca="false">IF($A90="","",COUNTIF(CASE!$B$3:$B$202,$A90))</f>
        <v/>
      </c>
      <c r="AE90" s="34" t="str">
        <f aca="false">IF(OR($I90="",$E90=""),"",$I90-$E90)</f>
        <v/>
      </c>
      <c r="AF90" s="34" t="str">
        <f aca="false">IF(OR($K90="",$I90=""),"",$K90-$I90)</f>
        <v/>
      </c>
      <c r="AG90" s="34" t="str">
        <f aca="false">IF(OR($L90="",$K90=""),"",$L90-$K90)</f>
        <v/>
      </c>
      <c r="AH90" s="34" t="str">
        <f aca="false">IF(OR($M90="",$L90=""),"",$M90-$L90)</f>
        <v/>
      </c>
      <c r="AI90" s="34" t="str">
        <f aca="false">IF(OR($P90="",$M90=""),"",$P90-$M90)</f>
        <v/>
      </c>
    </row>
    <row r="91" customFormat="false" ht="15" hidden="false" customHeight="false" outlineLevel="0" collapsed="false">
      <c r="A91" s="29"/>
      <c r="B91" s="29"/>
      <c r="C91" s="29"/>
      <c r="D91" s="30"/>
      <c r="E91" s="31"/>
      <c r="F91" s="32" t="str">
        <f aca="false">IF($E91="","",$E91+7*IFERROR(VLOOKUP($B91,DS!$K$2:$M$4,2,FALSE()),12))</f>
        <v/>
      </c>
      <c r="G91" s="32" t="str">
        <f aca="false">IF($E91="","",$E91+7*IFERROR(VLOOKUP($B91,DS!$K$2:$M$4,3,FALSE()),12))</f>
        <v/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3" t="str">
        <f aca="false">IF($A91="","",IF($R91&lt;&gt;"","95 Hủy/hoàn",IF($Q91&lt;&gt;"","99 Đóng",IF($P91&lt;&gt;"","90 Đã giao",IF($O91&lt;&gt;"","80 Đang giao",IF($N91&lt;&gt;"","70 Thông quan",IF($M91&lt;&gt;"","60 Đã xuất",IF($L91&lt;&gt;"","50 QC đạt",IF($K91&lt;&gt;"","40 NCC đã gửi",IF($I91&lt;&gt;"","30 Đã đặt NCC",IF($H91&lt;&gt;"","20 Đã xác nhận","10 Mới")))))))))))</f>
        <v/>
      </c>
      <c r="U91" s="33" t="str">
        <f aca="false">IF($T91="","",IFERROR(VLOOKUP($T91,DS!$A$2:$B$12,2,FALSE()),""))</f>
        <v/>
      </c>
      <c r="V91" s="34" t="str">
        <f aca="true">IF(OR($T91="",LEFT($T91,2)="99",LEFT($T91,2)="95"),"",TODAY()-MAX($E91,$H91:$P91))</f>
        <v/>
      </c>
      <c r="W91" s="34" t="str">
        <f aca="true">IF(AND($E91&lt;&gt;"",$I91="",$R91=""),IF(TODAY()-$E91&gt;1,"⚑",""),"")</f>
        <v/>
      </c>
      <c r="X91" s="34" t="str">
        <f aca="true">IF(AND($J91&lt;&gt;"",$K91="",$R91=""),IF(TODAY()-$J91&gt;2,"⚑",""),"")</f>
        <v/>
      </c>
      <c r="Y91" s="34" t="str">
        <f aca="true">IF(AND($G91&lt;&gt;"",$M91="",$R91=""),IF(AND($G91-TODAY()&lt;=14,$G91&gt;=TODAY()),"⚑",""),"")</f>
        <v/>
      </c>
      <c r="Z91" s="34" t="str">
        <f aca="true">IF(AND($G91&lt;&gt;"",$P91="",$R91=""),IF(TODAY()&gt;$G91,"⚑",""),"")</f>
        <v/>
      </c>
      <c r="AA91" s="34" t="str">
        <f aca="true">IF(AND($E91&lt;&gt;"",$P91="",$R91=""),IF(TODAY()-MAX($E91,$H91,$M91,$S91)&gt;7,"⚑",""),"")</f>
        <v/>
      </c>
      <c r="AB91" s="34" t="str">
        <f aca="false">IF(OR($P91="",$G91=""),"",IF($P91&lt;=$G91,"Có","Không"))</f>
        <v/>
      </c>
      <c r="AC91" s="34" t="str">
        <f aca="false">IF(OR($P91="",$E91=""),"",$P91-$E91)</f>
        <v/>
      </c>
      <c r="AD91" s="35" t="str">
        <f aca="false">IF($A91="","",COUNTIF(CASE!$B$3:$B$202,$A91))</f>
        <v/>
      </c>
      <c r="AE91" s="34" t="str">
        <f aca="false">IF(OR($I91="",$E91=""),"",$I91-$E91)</f>
        <v/>
      </c>
      <c r="AF91" s="34" t="str">
        <f aca="false">IF(OR($K91="",$I91=""),"",$K91-$I91)</f>
        <v/>
      </c>
      <c r="AG91" s="34" t="str">
        <f aca="false">IF(OR($L91="",$K91=""),"",$L91-$K91)</f>
        <v/>
      </c>
      <c r="AH91" s="34" t="str">
        <f aca="false">IF(OR($M91="",$L91=""),"",$M91-$L91)</f>
        <v/>
      </c>
      <c r="AI91" s="34" t="str">
        <f aca="false">IF(OR($P91="",$M91=""),"",$P91-$M91)</f>
        <v/>
      </c>
    </row>
    <row r="92" customFormat="false" ht="15" hidden="false" customHeight="false" outlineLevel="0" collapsed="false">
      <c r="A92" s="29"/>
      <c r="B92" s="29"/>
      <c r="C92" s="29"/>
      <c r="D92" s="30"/>
      <c r="E92" s="31"/>
      <c r="F92" s="32" t="str">
        <f aca="false">IF($E92="","",$E92+7*IFERROR(VLOOKUP($B92,DS!$K$2:$M$4,2,FALSE()),12))</f>
        <v/>
      </c>
      <c r="G92" s="32" t="str">
        <f aca="false">IF($E92="","",$E92+7*IFERROR(VLOOKUP($B92,DS!$K$2:$M$4,3,FALSE()),12))</f>
        <v/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3" t="str">
        <f aca="false">IF($A92="","",IF($R92&lt;&gt;"","95 Hủy/hoàn",IF($Q92&lt;&gt;"","99 Đóng",IF($P92&lt;&gt;"","90 Đã giao",IF($O92&lt;&gt;"","80 Đang giao",IF($N92&lt;&gt;"","70 Thông quan",IF($M92&lt;&gt;"","60 Đã xuất",IF($L92&lt;&gt;"","50 QC đạt",IF($K92&lt;&gt;"","40 NCC đã gửi",IF($I92&lt;&gt;"","30 Đã đặt NCC",IF($H92&lt;&gt;"","20 Đã xác nhận","10 Mới")))))))))))</f>
        <v/>
      </c>
      <c r="U92" s="33" t="str">
        <f aca="false">IF($T92="","",IFERROR(VLOOKUP($T92,DS!$A$2:$B$12,2,FALSE()),""))</f>
        <v/>
      </c>
      <c r="V92" s="34" t="str">
        <f aca="true">IF(OR($T92="",LEFT($T92,2)="99",LEFT($T92,2)="95"),"",TODAY()-MAX($E92,$H92:$P92))</f>
        <v/>
      </c>
      <c r="W92" s="34" t="str">
        <f aca="true">IF(AND($E92&lt;&gt;"",$I92="",$R92=""),IF(TODAY()-$E92&gt;1,"⚑",""),"")</f>
        <v/>
      </c>
      <c r="X92" s="34" t="str">
        <f aca="true">IF(AND($J92&lt;&gt;"",$K92="",$R92=""),IF(TODAY()-$J92&gt;2,"⚑",""),"")</f>
        <v/>
      </c>
      <c r="Y92" s="34" t="str">
        <f aca="true">IF(AND($G92&lt;&gt;"",$M92="",$R92=""),IF(AND($G92-TODAY()&lt;=14,$G92&gt;=TODAY()),"⚑",""),"")</f>
        <v/>
      </c>
      <c r="Z92" s="34" t="str">
        <f aca="true">IF(AND($G92&lt;&gt;"",$P92="",$R92=""),IF(TODAY()&gt;$G92,"⚑",""),"")</f>
        <v/>
      </c>
      <c r="AA92" s="34" t="str">
        <f aca="true">IF(AND($E92&lt;&gt;"",$P92="",$R92=""),IF(TODAY()-MAX($E92,$H92,$M92,$S92)&gt;7,"⚑",""),"")</f>
        <v/>
      </c>
      <c r="AB92" s="34" t="str">
        <f aca="false">IF(OR($P92="",$G92=""),"",IF($P92&lt;=$G92,"Có","Không"))</f>
        <v/>
      </c>
      <c r="AC92" s="34" t="str">
        <f aca="false">IF(OR($P92="",$E92=""),"",$P92-$E92)</f>
        <v/>
      </c>
      <c r="AD92" s="35" t="str">
        <f aca="false">IF($A92="","",COUNTIF(CASE!$B$3:$B$202,$A92))</f>
        <v/>
      </c>
      <c r="AE92" s="34" t="str">
        <f aca="false">IF(OR($I92="",$E92=""),"",$I92-$E92)</f>
        <v/>
      </c>
      <c r="AF92" s="34" t="str">
        <f aca="false">IF(OR($K92="",$I92=""),"",$K92-$I92)</f>
        <v/>
      </c>
      <c r="AG92" s="34" t="str">
        <f aca="false">IF(OR($L92="",$K92=""),"",$L92-$K92)</f>
        <v/>
      </c>
      <c r="AH92" s="34" t="str">
        <f aca="false">IF(OR($M92="",$L92=""),"",$M92-$L92)</f>
        <v/>
      </c>
      <c r="AI92" s="34" t="str">
        <f aca="false">IF(OR($P92="",$M92=""),"",$P92-$M92)</f>
        <v/>
      </c>
    </row>
    <row r="93" customFormat="false" ht="15" hidden="false" customHeight="false" outlineLevel="0" collapsed="false">
      <c r="A93" s="29"/>
      <c r="B93" s="29"/>
      <c r="C93" s="29"/>
      <c r="D93" s="30"/>
      <c r="E93" s="31"/>
      <c r="F93" s="32" t="str">
        <f aca="false">IF($E93="","",$E93+7*IFERROR(VLOOKUP($B93,DS!$K$2:$M$4,2,FALSE()),12))</f>
        <v/>
      </c>
      <c r="G93" s="32" t="str">
        <f aca="false">IF($E93="","",$E93+7*IFERROR(VLOOKUP($B93,DS!$K$2:$M$4,3,FALSE()),12))</f>
        <v/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3" t="str">
        <f aca="false">IF($A93="","",IF($R93&lt;&gt;"","95 Hủy/hoàn",IF($Q93&lt;&gt;"","99 Đóng",IF($P93&lt;&gt;"","90 Đã giao",IF($O93&lt;&gt;"","80 Đang giao",IF($N93&lt;&gt;"","70 Thông quan",IF($M93&lt;&gt;"","60 Đã xuất",IF($L93&lt;&gt;"","50 QC đạt",IF($K93&lt;&gt;"","40 NCC đã gửi",IF($I93&lt;&gt;"","30 Đã đặt NCC",IF($H93&lt;&gt;"","20 Đã xác nhận","10 Mới")))))))))))</f>
        <v/>
      </c>
      <c r="U93" s="33" t="str">
        <f aca="false">IF($T93="","",IFERROR(VLOOKUP($T93,DS!$A$2:$B$12,2,FALSE()),""))</f>
        <v/>
      </c>
      <c r="V93" s="34" t="str">
        <f aca="true">IF(OR($T93="",LEFT($T93,2)="99",LEFT($T93,2)="95"),"",TODAY()-MAX($E93,$H93:$P93))</f>
        <v/>
      </c>
      <c r="W93" s="34" t="str">
        <f aca="true">IF(AND($E93&lt;&gt;"",$I93="",$R93=""),IF(TODAY()-$E93&gt;1,"⚑",""),"")</f>
        <v/>
      </c>
      <c r="X93" s="34" t="str">
        <f aca="true">IF(AND($J93&lt;&gt;"",$K93="",$R93=""),IF(TODAY()-$J93&gt;2,"⚑",""),"")</f>
        <v/>
      </c>
      <c r="Y93" s="34" t="str">
        <f aca="true">IF(AND($G93&lt;&gt;"",$M93="",$R93=""),IF(AND($G93-TODAY()&lt;=14,$G93&gt;=TODAY()),"⚑",""),"")</f>
        <v/>
      </c>
      <c r="Z93" s="34" t="str">
        <f aca="true">IF(AND($G93&lt;&gt;"",$P93="",$R93=""),IF(TODAY()&gt;$G93,"⚑",""),"")</f>
        <v/>
      </c>
      <c r="AA93" s="34" t="str">
        <f aca="true">IF(AND($E93&lt;&gt;"",$P93="",$R93=""),IF(TODAY()-MAX($E93,$H93,$M93,$S93)&gt;7,"⚑",""),"")</f>
        <v/>
      </c>
      <c r="AB93" s="34" t="str">
        <f aca="false">IF(OR($P93="",$G93=""),"",IF($P93&lt;=$G93,"Có","Không"))</f>
        <v/>
      </c>
      <c r="AC93" s="34" t="str">
        <f aca="false">IF(OR($P93="",$E93=""),"",$P93-$E93)</f>
        <v/>
      </c>
      <c r="AD93" s="35" t="str">
        <f aca="false">IF($A93="","",COUNTIF(CASE!$B$3:$B$202,$A93))</f>
        <v/>
      </c>
      <c r="AE93" s="34" t="str">
        <f aca="false">IF(OR($I93="",$E93=""),"",$I93-$E93)</f>
        <v/>
      </c>
      <c r="AF93" s="34" t="str">
        <f aca="false">IF(OR($K93="",$I93=""),"",$K93-$I93)</f>
        <v/>
      </c>
      <c r="AG93" s="34" t="str">
        <f aca="false">IF(OR($L93="",$K93=""),"",$L93-$K93)</f>
        <v/>
      </c>
      <c r="AH93" s="34" t="str">
        <f aca="false">IF(OR($M93="",$L93=""),"",$M93-$L93)</f>
        <v/>
      </c>
      <c r="AI93" s="34" t="str">
        <f aca="false">IF(OR($P93="",$M93=""),"",$P93-$M93)</f>
        <v/>
      </c>
    </row>
    <row r="94" customFormat="false" ht="15" hidden="false" customHeight="false" outlineLevel="0" collapsed="false">
      <c r="A94" s="29"/>
      <c r="B94" s="29"/>
      <c r="C94" s="29"/>
      <c r="D94" s="30"/>
      <c r="E94" s="31"/>
      <c r="F94" s="32" t="str">
        <f aca="false">IF($E94="","",$E94+7*IFERROR(VLOOKUP($B94,DS!$K$2:$M$4,2,FALSE()),12))</f>
        <v/>
      </c>
      <c r="G94" s="32" t="str">
        <f aca="false">IF($E94="","",$E94+7*IFERROR(VLOOKUP($B94,DS!$K$2:$M$4,3,FALSE()),12))</f>
        <v/>
      </c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3" t="str">
        <f aca="false">IF($A94="","",IF($R94&lt;&gt;"","95 Hủy/hoàn",IF($Q94&lt;&gt;"","99 Đóng",IF($P94&lt;&gt;"","90 Đã giao",IF($O94&lt;&gt;"","80 Đang giao",IF($N94&lt;&gt;"","70 Thông quan",IF($M94&lt;&gt;"","60 Đã xuất",IF($L94&lt;&gt;"","50 QC đạt",IF($K94&lt;&gt;"","40 NCC đã gửi",IF($I94&lt;&gt;"","30 Đã đặt NCC",IF($H94&lt;&gt;"","20 Đã xác nhận","10 Mới")))))))))))</f>
        <v/>
      </c>
      <c r="U94" s="33" t="str">
        <f aca="false">IF($T94="","",IFERROR(VLOOKUP($T94,DS!$A$2:$B$12,2,FALSE()),""))</f>
        <v/>
      </c>
      <c r="V94" s="34" t="str">
        <f aca="true">IF(OR($T94="",LEFT($T94,2)="99",LEFT($T94,2)="95"),"",TODAY()-MAX($E94,$H94:$P94))</f>
        <v/>
      </c>
      <c r="W94" s="34" t="str">
        <f aca="true">IF(AND($E94&lt;&gt;"",$I94="",$R94=""),IF(TODAY()-$E94&gt;1,"⚑",""),"")</f>
        <v/>
      </c>
      <c r="X94" s="34" t="str">
        <f aca="true">IF(AND($J94&lt;&gt;"",$K94="",$R94=""),IF(TODAY()-$J94&gt;2,"⚑",""),"")</f>
        <v/>
      </c>
      <c r="Y94" s="34" t="str">
        <f aca="true">IF(AND($G94&lt;&gt;"",$M94="",$R94=""),IF(AND($G94-TODAY()&lt;=14,$G94&gt;=TODAY()),"⚑",""),"")</f>
        <v/>
      </c>
      <c r="Z94" s="34" t="str">
        <f aca="true">IF(AND($G94&lt;&gt;"",$P94="",$R94=""),IF(TODAY()&gt;$G94,"⚑",""),"")</f>
        <v/>
      </c>
      <c r="AA94" s="34" t="str">
        <f aca="true">IF(AND($E94&lt;&gt;"",$P94="",$R94=""),IF(TODAY()-MAX($E94,$H94,$M94,$S94)&gt;7,"⚑",""),"")</f>
        <v/>
      </c>
      <c r="AB94" s="34" t="str">
        <f aca="false">IF(OR($P94="",$G94=""),"",IF($P94&lt;=$G94,"Có","Không"))</f>
        <v/>
      </c>
      <c r="AC94" s="34" t="str">
        <f aca="false">IF(OR($P94="",$E94=""),"",$P94-$E94)</f>
        <v/>
      </c>
      <c r="AD94" s="35" t="str">
        <f aca="false">IF($A94="","",COUNTIF(CASE!$B$3:$B$202,$A94))</f>
        <v/>
      </c>
      <c r="AE94" s="34" t="str">
        <f aca="false">IF(OR($I94="",$E94=""),"",$I94-$E94)</f>
        <v/>
      </c>
      <c r="AF94" s="34" t="str">
        <f aca="false">IF(OR($K94="",$I94=""),"",$K94-$I94)</f>
        <v/>
      </c>
      <c r="AG94" s="34" t="str">
        <f aca="false">IF(OR($L94="",$K94=""),"",$L94-$K94)</f>
        <v/>
      </c>
      <c r="AH94" s="34" t="str">
        <f aca="false">IF(OR($M94="",$L94=""),"",$M94-$L94)</f>
        <v/>
      </c>
      <c r="AI94" s="34" t="str">
        <f aca="false">IF(OR($P94="",$M94=""),"",$P94-$M94)</f>
        <v/>
      </c>
    </row>
    <row r="95" customFormat="false" ht="15" hidden="false" customHeight="false" outlineLevel="0" collapsed="false">
      <c r="A95" s="29"/>
      <c r="B95" s="29"/>
      <c r="C95" s="29"/>
      <c r="D95" s="30"/>
      <c r="E95" s="31"/>
      <c r="F95" s="32" t="str">
        <f aca="false">IF($E95="","",$E95+7*IFERROR(VLOOKUP($B95,DS!$K$2:$M$4,2,FALSE()),12))</f>
        <v/>
      </c>
      <c r="G95" s="32" t="str">
        <f aca="false">IF($E95="","",$E95+7*IFERROR(VLOOKUP($B95,DS!$K$2:$M$4,3,FALSE()),12))</f>
        <v/>
      </c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3" t="str">
        <f aca="false">IF($A95="","",IF($R95&lt;&gt;"","95 Hủy/hoàn",IF($Q95&lt;&gt;"","99 Đóng",IF($P95&lt;&gt;"","90 Đã giao",IF($O95&lt;&gt;"","80 Đang giao",IF($N95&lt;&gt;"","70 Thông quan",IF($M95&lt;&gt;"","60 Đã xuất",IF($L95&lt;&gt;"","50 QC đạt",IF($K95&lt;&gt;"","40 NCC đã gửi",IF($I95&lt;&gt;"","30 Đã đặt NCC",IF($H95&lt;&gt;"","20 Đã xác nhận","10 Mới")))))))))))</f>
        <v/>
      </c>
      <c r="U95" s="33" t="str">
        <f aca="false">IF($T95="","",IFERROR(VLOOKUP($T95,DS!$A$2:$B$12,2,FALSE()),""))</f>
        <v/>
      </c>
      <c r="V95" s="34" t="str">
        <f aca="true">IF(OR($T95="",LEFT($T95,2)="99",LEFT($T95,2)="95"),"",TODAY()-MAX($E95,$H95:$P95))</f>
        <v/>
      </c>
      <c r="W95" s="34" t="str">
        <f aca="true">IF(AND($E95&lt;&gt;"",$I95="",$R95=""),IF(TODAY()-$E95&gt;1,"⚑",""),"")</f>
        <v/>
      </c>
      <c r="X95" s="34" t="str">
        <f aca="true">IF(AND($J95&lt;&gt;"",$K95="",$R95=""),IF(TODAY()-$J95&gt;2,"⚑",""),"")</f>
        <v/>
      </c>
      <c r="Y95" s="34" t="str">
        <f aca="true">IF(AND($G95&lt;&gt;"",$M95="",$R95=""),IF(AND($G95-TODAY()&lt;=14,$G95&gt;=TODAY()),"⚑",""),"")</f>
        <v/>
      </c>
      <c r="Z95" s="34" t="str">
        <f aca="true">IF(AND($G95&lt;&gt;"",$P95="",$R95=""),IF(TODAY()&gt;$G95,"⚑",""),"")</f>
        <v/>
      </c>
      <c r="AA95" s="34" t="str">
        <f aca="true">IF(AND($E95&lt;&gt;"",$P95="",$R95=""),IF(TODAY()-MAX($E95,$H95,$M95,$S95)&gt;7,"⚑",""),"")</f>
        <v/>
      </c>
      <c r="AB95" s="34" t="str">
        <f aca="false">IF(OR($P95="",$G95=""),"",IF($P95&lt;=$G95,"Có","Không"))</f>
        <v/>
      </c>
      <c r="AC95" s="34" t="str">
        <f aca="false">IF(OR($P95="",$E95=""),"",$P95-$E95)</f>
        <v/>
      </c>
      <c r="AD95" s="35" t="str">
        <f aca="false">IF($A95="","",COUNTIF(CASE!$B$3:$B$202,$A95))</f>
        <v/>
      </c>
      <c r="AE95" s="34" t="str">
        <f aca="false">IF(OR($I95="",$E95=""),"",$I95-$E95)</f>
        <v/>
      </c>
      <c r="AF95" s="34" t="str">
        <f aca="false">IF(OR($K95="",$I95=""),"",$K95-$I95)</f>
        <v/>
      </c>
      <c r="AG95" s="34" t="str">
        <f aca="false">IF(OR($L95="",$K95=""),"",$L95-$K95)</f>
        <v/>
      </c>
      <c r="AH95" s="34" t="str">
        <f aca="false">IF(OR($M95="",$L95=""),"",$M95-$L95)</f>
        <v/>
      </c>
      <c r="AI95" s="34" t="str">
        <f aca="false">IF(OR($P95="",$M95=""),"",$P95-$M95)</f>
        <v/>
      </c>
    </row>
    <row r="96" customFormat="false" ht="15" hidden="false" customHeight="false" outlineLevel="0" collapsed="false">
      <c r="A96" s="29"/>
      <c r="B96" s="29"/>
      <c r="C96" s="29"/>
      <c r="D96" s="30"/>
      <c r="E96" s="31"/>
      <c r="F96" s="32" t="str">
        <f aca="false">IF($E96="","",$E96+7*IFERROR(VLOOKUP($B96,DS!$K$2:$M$4,2,FALSE()),12))</f>
        <v/>
      </c>
      <c r="G96" s="32" t="str">
        <f aca="false">IF($E96="","",$E96+7*IFERROR(VLOOKUP($B96,DS!$K$2:$M$4,3,FALSE()),12))</f>
        <v/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3" t="str">
        <f aca="false">IF($A96="","",IF($R96&lt;&gt;"","95 Hủy/hoàn",IF($Q96&lt;&gt;"","99 Đóng",IF($P96&lt;&gt;"","90 Đã giao",IF($O96&lt;&gt;"","80 Đang giao",IF($N96&lt;&gt;"","70 Thông quan",IF($M96&lt;&gt;"","60 Đã xuất",IF($L96&lt;&gt;"","50 QC đạt",IF($K96&lt;&gt;"","40 NCC đã gửi",IF($I96&lt;&gt;"","30 Đã đặt NCC",IF($H96&lt;&gt;"","20 Đã xác nhận","10 Mới")))))))))))</f>
        <v/>
      </c>
      <c r="U96" s="33" t="str">
        <f aca="false">IF($T96="","",IFERROR(VLOOKUP($T96,DS!$A$2:$B$12,2,FALSE()),""))</f>
        <v/>
      </c>
      <c r="V96" s="34" t="str">
        <f aca="true">IF(OR($T96="",LEFT($T96,2)="99",LEFT($T96,2)="95"),"",TODAY()-MAX($E96,$H96:$P96))</f>
        <v/>
      </c>
      <c r="W96" s="34" t="str">
        <f aca="true">IF(AND($E96&lt;&gt;"",$I96="",$R96=""),IF(TODAY()-$E96&gt;1,"⚑",""),"")</f>
        <v/>
      </c>
      <c r="X96" s="34" t="str">
        <f aca="true">IF(AND($J96&lt;&gt;"",$K96="",$R96=""),IF(TODAY()-$J96&gt;2,"⚑",""),"")</f>
        <v/>
      </c>
      <c r="Y96" s="34" t="str">
        <f aca="true">IF(AND($G96&lt;&gt;"",$M96="",$R96=""),IF(AND($G96-TODAY()&lt;=14,$G96&gt;=TODAY()),"⚑",""),"")</f>
        <v/>
      </c>
      <c r="Z96" s="34" t="str">
        <f aca="true">IF(AND($G96&lt;&gt;"",$P96="",$R96=""),IF(TODAY()&gt;$G96,"⚑",""),"")</f>
        <v/>
      </c>
      <c r="AA96" s="34" t="str">
        <f aca="true">IF(AND($E96&lt;&gt;"",$P96="",$R96=""),IF(TODAY()-MAX($E96,$H96,$M96,$S96)&gt;7,"⚑",""),"")</f>
        <v/>
      </c>
      <c r="AB96" s="34" t="str">
        <f aca="false">IF(OR($P96="",$G96=""),"",IF($P96&lt;=$G96,"Có","Không"))</f>
        <v/>
      </c>
      <c r="AC96" s="34" t="str">
        <f aca="false">IF(OR($P96="",$E96=""),"",$P96-$E96)</f>
        <v/>
      </c>
      <c r="AD96" s="35" t="str">
        <f aca="false">IF($A96="","",COUNTIF(CASE!$B$3:$B$202,$A96))</f>
        <v/>
      </c>
      <c r="AE96" s="34" t="str">
        <f aca="false">IF(OR($I96="",$E96=""),"",$I96-$E96)</f>
        <v/>
      </c>
      <c r="AF96" s="34" t="str">
        <f aca="false">IF(OR($K96="",$I96=""),"",$K96-$I96)</f>
        <v/>
      </c>
      <c r="AG96" s="34" t="str">
        <f aca="false">IF(OR($L96="",$K96=""),"",$L96-$K96)</f>
        <v/>
      </c>
      <c r="AH96" s="34" t="str">
        <f aca="false">IF(OR($M96="",$L96=""),"",$M96-$L96)</f>
        <v/>
      </c>
      <c r="AI96" s="34" t="str">
        <f aca="false">IF(OR($P96="",$M96=""),"",$P96-$M96)</f>
        <v/>
      </c>
    </row>
    <row r="97" customFormat="false" ht="15" hidden="false" customHeight="false" outlineLevel="0" collapsed="false">
      <c r="A97" s="29"/>
      <c r="B97" s="29"/>
      <c r="C97" s="29"/>
      <c r="D97" s="30"/>
      <c r="E97" s="31"/>
      <c r="F97" s="32" t="str">
        <f aca="false">IF($E97="","",$E97+7*IFERROR(VLOOKUP($B97,DS!$K$2:$M$4,2,FALSE()),12))</f>
        <v/>
      </c>
      <c r="G97" s="32" t="str">
        <f aca="false">IF($E97="","",$E97+7*IFERROR(VLOOKUP($B97,DS!$K$2:$M$4,3,FALSE()),12))</f>
        <v/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3" t="str">
        <f aca="false">IF($A97="","",IF($R97&lt;&gt;"","95 Hủy/hoàn",IF($Q97&lt;&gt;"","99 Đóng",IF($P97&lt;&gt;"","90 Đã giao",IF($O97&lt;&gt;"","80 Đang giao",IF($N97&lt;&gt;"","70 Thông quan",IF($M97&lt;&gt;"","60 Đã xuất",IF($L97&lt;&gt;"","50 QC đạt",IF($K97&lt;&gt;"","40 NCC đã gửi",IF($I97&lt;&gt;"","30 Đã đặt NCC",IF($H97&lt;&gt;"","20 Đã xác nhận","10 Mới")))))))))))</f>
        <v/>
      </c>
      <c r="U97" s="33" t="str">
        <f aca="false">IF($T97="","",IFERROR(VLOOKUP($T97,DS!$A$2:$B$12,2,FALSE()),""))</f>
        <v/>
      </c>
      <c r="V97" s="34" t="str">
        <f aca="true">IF(OR($T97="",LEFT($T97,2)="99",LEFT($T97,2)="95"),"",TODAY()-MAX($E97,$H97:$P97))</f>
        <v/>
      </c>
      <c r="W97" s="34" t="str">
        <f aca="true">IF(AND($E97&lt;&gt;"",$I97="",$R97=""),IF(TODAY()-$E97&gt;1,"⚑",""),"")</f>
        <v/>
      </c>
      <c r="X97" s="34" t="str">
        <f aca="true">IF(AND($J97&lt;&gt;"",$K97="",$R97=""),IF(TODAY()-$J97&gt;2,"⚑",""),"")</f>
        <v/>
      </c>
      <c r="Y97" s="34" t="str">
        <f aca="true">IF(AND($G97&lt;&gt;"",$M97="",$R97=""),IF(AND($G97-TODAY()&lt;=14,$G97&gt;=TODAY()),"⚑",""),"")</f>
        <v/>
      </c>
      <c r="Z97" s="34" t="str">
        <f aca="true">IF(AND($G97&lt;&gt;"",$P97="",$R97=""),IF(TODAY()&gt;$G97,"⚑",""),"")</f>
        <v/>
      </c>
      <c r="AA97" s="34" t="str">
        <f aca="true">IF(AND($E97&lt;&gt;"",$P97="",$R97=""),IF(TODAY()-MAX($E97,$H97,$M97,$S97)&gt;7,"⚑",""),"")</f>
        <v/>
      </c>
      <c r="AB97" s="34" t="str">
        <f aca="false">IF(OR($P97="",$G97=""),"",IF($P97&lt;=$G97,"Có","Không"))</f>
        <v/>
      </c>
      <c r="AC97" s="34" t="str">
        <f aca="false">IF(OR($P97="",$E97=""),"",$P97-$E97)</f>
        <v/>
      </c>
      <c r="AD97" s="35" t="str">
        <f aca="false">IF($A97="","",COUNTIF(CASE!$B$3:$B$202,$A97))</f>
        <v/>
      </c>
      <c r="AE97" s="34" t="str">
        <f aca="false">IF(OR($I97="",$E97=""),"",$I97-$E97)</f>
        <v/>
      </c>
      <c r="AF97" s="34" t="str">
        <f aca="false">IF(OR($K97="",$I97=""),"",$K97-$I97)</f>
        <v/>
      </c>
      <c r="AG97" s="34" t="str">
        <f aca="false">IF(OR($L97="",$K97=""),"",$L97-$K97)</f>
        <v/>
      </c>
      <c r="AH97" s="34" t="str">
        <f aca="false">IF(OR($M97="",$L97=""),"",$M97-$L97)</f>
        <v/>
      </c>
      <c r="AI97" s="34" t="str">
        <f aca="false">IF(OR($P97="",$M97=""),"",$P97-$M97)</f>
        <v/>
      </c>
    </row>
    <row r="98" customFormat="false" ht="15" hidden="false" customHeight="false" outlineLevel="0" collapsed="false">
      <c r="A98" s="29"/>
      <c r="B98" s="29"/>
      <c r="C98" s="29"/>
      <c r="D98" s="30"/>
      <c r="E98" s="31"/>
      <c r="F98" s="32" t="str">
        <f aca="false">IF($E98="","",$E98+7*IFERROR(VLOOKUP($B98,DS!$K$2:$M$4,2,FALSE()),12))</f>
        <v/>
      </c>
      <c r="G98" s="32" t="str">
        <f aca="false">IF($E98="","",$E98+7*IFERROR(VLOOKUP($B98,DS!$K$2:$M$4,3,FALSE()),12))</f>
        <v/>
      </c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3" t="str">
        <f aca="false">IF($A98="","",IF($R98&lt;&gt;"","95 Hủy/hoàn",IF($Q98&lt;&gt;"","99 Đóng",IF($P98&lt;&gt;"","90 Đã giao",IF($O98&lt;&gt;"","80 Đang giao",IF($N98&lt;&gt;"","70 Thông quan",IF($M98&lt;&gt;"","60 Đã xuất",IF($L98&lt;&gt;"","50 QC đạt",IF($K98&lt;&gt;"","40 NCC đã gửi",IF($I98&lt;&gt;"","30 Đã đặt NCC",IF($H98&lt;&gt;"","20 Đã xác nhận","10 Mới")))))))))))</f>
        <v/>
      </c>
      <c r="U98" s="33" t="str">
        <f aca="false">IF($T98="","",IFERROR(VLOOKUP($T98,DS!$A$2:$B$12,2,FALSE()),""))</f>
        <v/>
      </c>
      <c r="V98" s="34" t="str">
        <f aca="true">IF(OR($T98="",LEFT($T98,2)="99",LEFT($T98,2)="95"),"",TODAY()-MAX($E98,$H98:$P98))</f>
        <v/>
      </c>
      <c r="W98" s="34" t="str">
        <f aca="true">IF(AND($E98&lt;&gt;"",$I98="",$R98=""),IF(TODAY()-$E98&gt;1,"⚑",""),"")</f>
        <v/>
      </c>
      <c r="X98" s="34" t="str">
        <f aca="true">IF(AND($J98&lt;&gt;"",$K98="",$R98=""),IF(TODAY()-$J98&gt;2,"⚑",""),"")</f>
        <v/>
      </c>
      <c r="Y98" s="34" t="str">
        <f aca="true">IF(AND($G98&lt;&gt;"",$M98="",$R98=""),IF(AND($G98-TODAY()&lt;=14,$G98&gt;=TODAY()),"⚑",""),"")</f>
        <v/>
      </c>
      <c r="Z98" s="34" t="str">
        <f aca="true">IF(AND($G98&lt;&gt;"",$P98="",$R98=""),IF(TODAY()&gt;$G98,"⚑",""),"")</f>
        <v/>
      </c>
      <c r="AA98" s="34" t="str">
        <f aca="true">IF(AND($E98&lt;&gt;"",$P98="",$R98=""),IF(TODAY()-MAX($E98,$H98,$M98,$S98)&gt;7,"⚑",""),"")</f>
        <v/>
      </c>
      <c r="AB98" s="34" t="str">
        <f aca="false">IF(OR($P98="",$G98=""),"",IF($P98&lt;=$G98,"Có","Không"))</f>
        <v/>
      </c>
      <c r="AC98" s="34" t="str">
        <f aca="false">IF(OR($P98="",$E98=""),"",$P98-$E98)</f>
        <v/>
      </c>
      <c r="AD98" s="35" t="str">
        <f aca="false">IF($A98="","",COUNTIF(CASE!$B$3:$B$202,$A98))</f>
        <v/>
      </c>
      <c r="AE98" s="34" t="str">
        <f aca="false">IF(OR($I98="",$E98=""),"",$I98-$E98)</f>
        <v/>
      </c>
      <c r="AF98" s="34" t="str">
        <f aca="false">IF(OR($K98="",$I98=""),"",$K98-$I98)</f>
        <v/>
      </c>
      <c r="AG98" s="34" t="str">
        <f aca="false">IF(OR($L98="",$K98=""),"",$L98-$K98)</f>
        <v/>
      </c>
      <c r="AH98" s="34" t="str">
        <f aca="false">IF(OR($M98="",$L98=""),"",$M98-$L98)</f>
        <v/>
      </c>
      <c r="AI98" s="34" t="str">
        <f aca="false">IF(OR($P98="",$M98=""),"",$P98-$M98)</f>
        <v/>
      </c>
    </row>
    <row r="99" customFormat="false" ht="15" hidden="false" customHeight="false" outlineLevel="0" collapsed="false">
      <c r="A99" s="29"/>
      <c r="B99" s="29"/>
      <c r="C99" s="29"/>
      <c r="D99" s="30"/>
      <c r="E99" s="31"/>
      <c r="F99" s="32" t="str">
        <f aca="false">IF($E99="","",$E99+7*IFERROR(VLOOKUP($B99,DS!$K$2:$M$4,2,FALSE()),12))</f>
        <v/>
      </c>
      <c r="G99" s="32" t="str">
        <f aca="false">IF($E99="","",$E99+7*IFERROR(VLOOKUP($B99,DS!$K$2:$M$4,3,FALSE()),12))</f>
        <v/>
      </c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3" t="str">
        <f aca="false">IF($A99="","",IF($R99&lt;&gt;"","95 Hủy/hoàn",IF($Q99&lt;&gt;"","99 Đóng",IF($P99&lt;&gt;"","90 Đã giao",IF($O99&lt;&gt;"","80 Đang giao",IF($N99&lt;&gt;"","70 Thông quan",IF($M99&lt;&gt;"","60 Đã xuất",IF($L99&lt;&gt;"","50 QC đạt",IF($K99&lt;&gt;"","40 NCC đã gửi",IF($I99&lt;&gt;"","30 Đã đặt NCC",IF($H99&lt;&gt;"","20 Đã xác nhận","10 Mới")))))))))))</f>
        <v/>
      </c>
      <c r="U99" s="33" t="str">
        <f aca="false">IF($T99="","",IFERROR(VLOOKUP($T99,DS!$A$2:$B$12,2,FALSE()),""))</f>
        <v/>
      </c>
      <c r="V99" s="34" t="str">
        <f aca="true">IF(OR($T99="",LEFT($T99,2)="99",LEFT($T99,2)="95"),"",TODAY()-MAX($E99,$H99:$P99))</f>
        <v/>
      </c>
      <c r="W99" s="34" t="str">
        <f aca="true">IF(AND($E99&lt;&gt;"",$I99="",$R99=""),IF(TODAY()-$E99&gt;1,"⚑",""),"")</f>
        <v/>
      </c>
      <c r="X99" s="34" t="str">
        <f aca="true">IF(AND($J99&lt;&gt;"",$K99="",$R99=""),IF(TODAY()-$J99&gt;2,"⚑",""),"")</f>
        <v/>
      </c>
      <c r="Y99" s="34" t="str">
        <f aca="true">IF(AND($G99&lt;&gt;"",$M99="",$R99=""),IF(AND($G99-TODAY()&lt;=14,$G99&gt;=TODAY()),"⚑",""),"")</f>
        <v/>
      </c>
      <c r="Z99" s="34" t="str">
        <f aca="true">IF(AND($G99&lt;&gt;"",$P99="",$R99=""),IF(TODAY()&gt;$G99,"⚑",""),"")</f>
        <v/>
      </c>
      <c r="AA99" s="34" t="str">
        <f aca="true">IF(AND($E99&lt;&gt;"",$P99="",$R99=""),IF(TODAY()-MAX($E99,$H99,$M99,$S99)&gt;7,"⚑",""),"")</f>
        <v/>
      </c>
      <c r="AB99" s="34" t="str">
        <f aca="false">IF(OR($P99="",$G99=""),"",IF($P99&lt;=$G99,"Có","Không"))</f>
        <v/>
      </c>
      <c r="AC99" s="34" t="str">
        <f aca="false">IF(OR($P99="",$E99=""),"",$P99-$E99)</f>
        <v/>
      </c>
      <c r="AD99" s="35" t="str">
        <f aca="false">IF($A99="","",COUNTIF(CASE!$B$3:$B$202,$A99))</f>
        <v/>
      </c>
      <c r="AE99" s="34" t="str">
        <f aca="false">IF(OR($I99="",$E99=""),"",$I99-$E99)</f>
        <v/>
      </c>
      <c r="AF99" s="34" t="str">
        <f aca="false">IF(OR($K99="",$I99=""),"",$K99-$I99)</f>
        <v/>
      </c>
      <c r="AG99" s="34" t="str">
        <f aca="false">IF(OR($L99="",$K99=""),"",$L99-$K99)</f>
        <v/>
      </c>
      <c r="AH99" s="34" t="str">
        <f aca="false">IF(OR($M99="",$L99=""),"",$M99-$L99)</f>
        <v/>
      </c>
      <c r="AI99" s="34" t="str">
        <f aca="false">IF(OR($P99="",$M99=""),"",$P99-$M99)</f>
        <v/>
      </c>
    </row>
    <row r="100" customFormat="false" ht="15" hidden="false" customHeight="false" outlineLevel="0" collapsed="false">
      <c r="A100" s="29"/>
      <c r="B100" s="29"/>
      <c r="C100" s="29"/>
      <c r="D100" s="30"/>
      <c r="E100" s="31"/>
      <c r="F100" s="32" t="str">
        <f aca="false">IF($E100="","",$E100+7*IFERROR(VLOOKUP($B100,DS!$K$2:$M$4,2,FALSE()),12))</f>
        <v/>
      </c>
      <c r="G100" s="32" t="str">
        <f aca="false">IF($E100="","",$E100+7*IFERROR(VLOOKUP($B100,DS!$K$2:$M$4,3,FALSE()),12))</f>
        <v/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3" t="str">
        <f aca="false">IF($A100="","",IF($R100&lt;&gt;"","95 Hủy/hoàn",IF($Q100&lt;&gt;"","99 Đóng",IF($P100&lt;&gt;"","90 Đã giao",IF($O100&lt;&gt;"","80 Đang giao",IF($N100&lt;&gt;"","70 Thông quan",IF($M100&lt;&gt;"","60 Đã xuất",IF($L100&lt;&gt;"","50 QC đạt",IF($K100&lt;&gt;"","40 NCC đã gửi",IF($I100&lt;&gt;"","30 Đã đặt NCC",IF($H100&lt;&gt;"","20 Đã xác nhận","10 Mới")))))))))))</f>
        <v/>
      </c>
      <c r="U100" s="33" t="str">
        <f aca="false">IF($T100="","",IFERROR(VLOOKUP($T100,DS!$A$2:$B$12,2,FALSE()),""))</f>
        <v/>
      </c>
      <c r="V100" s="34" t="str">
        <f aca="true">IF(OR($T100="",LEFT($T100,2)="99",LEFT($T100,2)="95"),"",TODAY()-MAX($E100,$H100:$P100))</f>
        <v/>
      </c>
      <c r="W100" s="34" t="str">
        <f aca="true">IF(AND($E100&lt;&gt;"",$I100="",$R100=""),IF(TODAY()-$E100&gt;1,"⚑",""),"")</f>
        <v/>
      </c>
      <c r="X100" s="34" t="str">
        <f aca="true">IF(AND($J100&lt;&gt;"",$K100="",$R100=""),IF(TODAY()-$J100&gt;2,"⚑",""),"")</f>
        <v/>
      </c>
      <c r="Y100" s="34" t="str">
        <f aca="true">IF(AND($G100&lt;&gt;"",$M100="",$R100=""),IF(AND($G100-TODAY()&lt;=14,$G100&gt;=TODAY()),"⚑",""),"")</f>
        <v/>
      </c>
      <c r="Z100" s="34" t="str">
        <f aca="true">IF(AND($G100&lt;&gt;"",$P100="",$R100=""),IF(TODAY()&gt;$G100,"⚑",""),"")</f>
        <v/>
      </c>
      <c r="AA100" s="34" t="str">
        <f aca="true">IF(AND($E100&lt;&gt;"",$P100="",$R100=""),IF(TODAY()-MAX($E100,$H100,$M100,$S100)&gt;7,"⚑",""),"")</f>
        <v/>
      </c>
      <c r="AB100" s="34" t="str">
        <f aca="false">IF(OR($P100="",$G100=""),"",IF($P100&lt;=$G100,"Có","Không"))</f>
        <v/>
      </c>
      <c r="AC100" s="34" t="str">
        <f aca="false">IF(OR($P100="",$E100=""),"",$P100-$E100)</f>
        <v/>
      </c>
      <c r="AD100" s="35" t="str">
        <f aca="false">IF($A100="","",COUNTIF(CASE!$B$3:$B$202,$A100))</f>
        <v/>
      </c>
      <c r="AE100" s="34" t="str">
        <f aca="false">IF(OR($I100="",$E100=""),"",$I100-$E100)</f>
        <v/>
      </c>
      <c r="AF100" s="34" t="str">
        <f aca="false">IF(OR($K100="",$I100=""),"",$K100-$I100)</f>
        <v/>
      </c>
      <c r="AG100" s="34" t="str">
        <f aca="false">IF(OR($L100="",$K100=""),"",$L100-$K100)</f>
        <v/>
      </c>
      <c r="AH100" s="34" t="str">
        <f aca="false">IF(OR($M100="",$L100=""),"",$M100-$L100)</f>
        <v/>
      </c>
      <c r="AI100" s="34" t="str">
        <f aca="false">IF(OR($P100="",$M100=""),"",$P100-$M100)</f>
        <v/>
      </c>
    </row>
    <row r="101" customFormat="false" ht="15" hidden="false" customHeight="false" outlineLevel="0" collapsed="false">
      <c r="A101" s="29"/>
      <c r="B101" s="29"/>
      <c r="C101" s="29"/>
      <c r="D101" s="30"/>
      <c r="E101" s="31"/>
      <c r="F101" s="32" t="str">
        <f aca="false">IF($E101="","",$E101+7*IFERROR(VLOOKUP($B101,DS!$K$2:$M$4,2,FALSE()),12))</f>
        <v/>
      </c>
      <c r="G101" s="32" t="str">
        <f aca="false">IF($E101="","",$E101+7*IFERROR(VLOOKUP($B101,DS!$K$2:$M$4,3,FALSE()),12))</f>
        <v/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3" t="str">
        <f aca="false">IF($A101="","",IF($R101&lt;&gt;"","95 Hủy/hoàn",IF($Q101&lt;&gt;"","99 Đóng",IF($P101&lt;&gt;"","90 Đã giao",IF($O101&lt;&gt;"","80 Đang giao",IF($N101&lt;&gt;"","70 Thông quan",IF($M101&lt;&gt;"","60 Đã xuất",IF($L101&lt;&gt;"","50 QC đạt",IF($K101&lt;&gt;"","40 NCC đã gửi",IF($I101&lt;&gt;"","30 Đã đặt NCC",IF($H101&lt;&gt;"","20 Đã xác nhận","10 Mới")))))))))))</f>
        <v/>
      </c>
      <c r="U101" s="33" t="str">
        <f aca="false">IF($T101="","",IFERROR(VLOOKUP($T101,DS!$A$2:$B$12,2,FALSE()),""))</f>
        <v/>
      </c>
      <c r="V101" s="34" t="str">
        <f aca="true">IF(OR($T101="",LEFT($T101,2)="99",LEFT($T101,2)="95"),"",TODAY()-MAX($E101,$H101:$P101))</f>
        <v/>
      </c>
      <c r="W101" s="34" t="str">
        <f aca="true">IF(AND($E101&lt;&gt;"",$I101="",$R101=""),IF(TODAY()-$E101&gt;1,"⚑",""),"")</f>
        <v/>
      </c>
      <c r="X101" s="34" t="str">
        <f aca="true">IF(AND($J101&lt;&gt;"",$K101="",$R101=""),IF(TODAY()-$J101&gt;2,"⚑",""),"")</f>
        <v/>
      </c>
      <c r="Y101" s="34" t="str">
        <f aca="true">IF(AND($G101&lt;&gt;"",$M101="",$R101=""),IF(AND($G101-TODAY()&lt;=14,$G101&gt;=TODAY()),"⚑",""),"")</f>
        <v/>
      </c>
      <c r="Z101" s="34" t="str">
        <f aca="true">IF(AND($G101&lt;&gt;"",$P101="",$R101=""),IF(TODAY()&gt;$G101,"⚑",""),"")</f>
        <v/>
      </c>
      <c r="AA101" s="34" t="str">
        <f aca="true">IF(AND($E101&lt;&gt;"",$P101="",$R101=""),IF(TODAY()-MAX($E101,$H101,$M101,$S101)&gt;7,"⚑",""),"")</f>
        <v/>
      </c>
      <c r="AB101" s="34" t="str">
        <f aca="false">IF(OR($P101="",$G101=""),"",IF($P101&lt;=$G101,"Có","Không"))</f>
        <v/>
      </c>
      <c r="AC101" s="34" t="str">
        <f aca="false">IF(OR($P101="",$E101=""),"",$P101-$E101)</f>
        <v/>
      </c>
      <c r="AD101" s="35" t="str">
        <f aca="false">IF($A101="","",COUNTIF(CASE!$B$3:$B$202,$A101))</f>
        <v/>
      </c>
      <c r="AE101" s="34" t="str">
        <f aca="false">IF(OR($I101="",$E101=""),"",$I101-$E101)</f>
        <v/>
      </c>
      <c r="AF101" s="34" t="str">
        <f aca="false">IF(OR($K101="",$I101=""),"",$K101-$I101)</f>
        <v/>
      </c>
      <c r="AG101" s="34" t="str">
        <f aca="false">IF(OR($L101="",$K101=""),"",$L101-$K101)</f>
        <v/>
      </c>
      <c r="AH101" s="34" t="str">
        <f aca="false">IF(OR($M101="",$L101=""),"",$M101-$L101)</f>
        <v/>
      </c>
      <c r="AI101" s="34" t="str">
        <f aca="false">IF(OR($P101="",$M101=""),"",$P101-$M101)</f>
        <v/>
      </c>
    </row>
    <row r="102" customFormat="false" ht="15" hidden="false" customHeight="false" outlineLevel="0" collapsed="false">
      <c r="A102" s="29"/>
      <c r="B102" s="29"/>
      <c r="C102" s="29"/>
      <c r="D102" s="30"/>
      <c r="E102" s="31"/>
      <c r="F102" s="32" t="str">
        <f aca="false">IF($E102="","",$E102+7*IFERROR(VLOOKUP($B102,DS!$K$2:$M$4,2,FALSE()),12))</f>
        <v/>
      </c>
      <c r="G102" s="32" t="str">
        <f aca="false">IF($E102="","",$E102+7*IFERROR(VLOOKUP($B102,DS!$K$2:$M$4,3,FALSE()),12))</f>
        <v/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3" t="str">
        <f aca="false">IF($A102="","",IF($R102&lt;&gt;"","95 Hủy/hoàn",IF($Q102&lt;&gt;"","99 Đóng",IF($P102&lt;&gt;"","90 Đã giao",IF($O102&lt;&gt;"","80 Đang giao",IF($N102&lt;&gt;"","70 Thông quan",IF($M102&lt;&gt;"","60 Đã xuất",IF($L102&lt;&gt;"","50 QC đạt",IF($K102&lt;&gt;"","40 NCC đã gửi",IF($I102&lt;&gt;"","30 Đã đặt NCC",IF($H102&lt;&gt;"","20 Đã xác nhận","10 Mới")))))))))))</f>
        <v/>
      </c>
      <c r="U102" s="33" t="str">
        <f aca="false">IF($T102="","",IFERROR(VLOOKUP($T102,DS!$A$2:$B$12,2,FALSE()),""))</f>
        <v/>
      </c>
      <c r="V102" s="34" t="str">
        <f aca="true">IF(OR($T102="",LEFT($T102,2)="99",LEFT($T102,2)="95"),"",TODAY()-MAX($E102,$H102:$P102))</f>
        <v/>
      </c>
      <c r="W102" s="34" t="str">
        <f aca="true">IF(AND($E102&lt;&gt;"",$I102="",$R102=""),IF(TODAY()-$E102&gt;1,"⚑",""),"")</f>
        <v/>
      </c>
      <c r="X102" s="34" t="str">
        <f aca="true">IF(AND($J102&lt;&gt;"",$K102="",$R102=""),IF(TODAY()-$J102&gt;2,"⚑",""),"")</f>
        <v/>
      </c>
      <c r="Y102" s="34" t="str">
        <f aca="true">IF(AND($G102&lt;&gt;"",$M102="",$R102=""),IF(AND($G102-TODAY()&lt;=14,$G102&gt;=TODAY()),"⚑",""),"")</f>
        <v/>
      </c>
      <c r="Z102" s="34" t="str">
        <f aca="true">IF(AND($G102&lt;&gt;"",$P102="",$R102=""),IF(TODAY()&gt;$G102,"⚑",""),"")</f>
        <v/>
      </c>
      <c r="AA102" s="34" t="str">
        <f aca="true">IF(AND($E102&lt;&gt;"",$P102="",$R102=""),IF(TODAY()-MAX($E102,$H102,$M102,$S102)&gt;7,"⚑",""),"")</f>
        <v/>
      </c>
      <c r="AB102" s="34" t="str">
        <f aca="false">IF(OR($P102="",$G102=""),"",IF($P102&lt;=$G102,"Có","Không"))</f>
        <v/>
      </c>
      <c r="AC102" s="34" t="str">
        <f aca="false">IF(OR($P102="",$E102=""),"",$P102-$E102)</f>
        <v/>
      </c>
      <c r="AD102" s="35" t="str">
        <f aca="false">IF($A102="","",COUNTIF(CASE!$B$3:$B$202,$A102))</f>
        <v/>
      </c>
      <c r="AE102" s="34" t="str">
        <f aca="false">IF(OR($I102="",$E102=""),"",$I102-$E102)</f>
        <v/>
      </c>
      <c r="AF102" s="34" t="str">
        <f aca="false">IF(OR($K102="",$I102=""),"",$K102-$I102)</f>
        <v/>
      </c>
      <c r="AG102" s="34" t="str">
        <f aca="false">IF(OR($L102="",$K102=""),"",$L102-$K102)</f>
        <v/>
      </c>
      <c r="AH102" s="34" t="str">
        <f aca="false">IF(OR($M102="",$L102=""),"",$M102-$L102)</f>
        <v/>
      </c>
      <c r="AI102" s="34" t="str">
        <f aca="false">IF(OR($P102="",$M102=""),"",$P102-$M102)</f>
        <v/>
      </c>
    </row>
    <row r="103" customFormat="false" ht="15" hidden="false" customHeight="false" outlineLevel="0" collapsed="false">
      <c r="A103" s="29"/>
      <c r="B103" s="29"/>
      <c r="C103" s="29"/>
      <c r="D103" s="30"/>
      <c r="E103" s="31"/>
      <c r="F103" s="32" t="str">
        <f aca="false">IF($E103="","",$E103+7*IFERROR(VLOOKUP($B103,DS!$K$2:$M$4,2,FALSE()),12))</f>
        <v/>
      </c>
      <c r="G103" s="32" t="str">
        <f aca="false">IF($E103="","",$E103+7*IFERROR(VLOOKUP($B103,DS!$K$2:$M$4,3,FALSE()),12))</f>
        <v/>
      </c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3" t="str">
        <f aca="false">IF($A103="","",IF($R103&lt;&gt;"","95 Hủy/hoàn",IF($Q103&lt;&gt;"","99 Đóng",IF($P103&lt;&gt;"","90 Đã giao",IF($O103&lt;&gt;"","80 Đang giao",IF($N103&lt;&gt;"","70 Thông quan",IF($M103&lt;&gt;"","60 Đã xuất",IF($L103&lt;&gt;"","50 QC đạt",IF($K103&lt;&gt;"","40 NCC đã gửi",IF($I103&lt;&gt;"","30 Đã đặt NCC",IF($H103&lt;&gt;"","20 Đã xác nhận","10 Mới")))))))))))</f>
        <v/>
      </c>
      <c r="U103" s="33" t="str">
        <f aca="false">IF($T103="","",IFERROR(VLOOKUP($T103,DS!$A$2:$B$12,2,FALSE()),""))</f>
        <v/>
      </c>
      <c r="V103" s="34" t="str">
        <f aca="true">IF(OR($T103="",LEFT($T103,2)="99",LEFT($T103,2)="95"),"",TODAY()-MAX($E103,$H103:$P103))</f>
        <v/>
      </c>
      <c r="W103" s="34" t="str">
        <f aca="true">IF(AND($E103&lt;&gt;"",$I103="",$R103=""),IF(TODAY()-$E103&gt;1,"⚑",""),"")</f>
        <v/>
      </c>
      <c r="X103" s="34" t="str">
        <f aca="true">IF(AND($J103&lt;&gt;"",$K103="",$R103=""),IF(TODAY()-$J103&gt;2,"⚑",""),"")</f>
        <v/>
      </c>
      <c r="Y103" s="34" t="str">
        <f aca="true">IF(AND($G103&lt;&gt;"",$M103="",$R103=""),IF(AND($G103-TODAY()&lt;=14,$G103&gt;=TODAY()),"⚑",""),"")</f>
        <v/>
      </c>
      <c r="Z103" s="34" t="str">
        <f aca="true">IF(AND($G103&lt;&gt;"",$P103="",$R103=""),IF(TODAY()&gt;$G103,"⚑",""),"")</f>
        <v/>
      </c>
      <c r="AA103" s="34" t="str">
        <f aca="true">IF(AND($E103&lt;&gt;"",$P103="",$R103=""),IF(TODAY()-MAX($E103,$H103,$M103,$S103)&gt;7,"⚑",""),"")</f>
        <v/>
      </c>
      <c r="AB103" s="34" t="str">
        <f aca="false">IF(OR($P103="",$G103=""),"",IF($P103&lt;=$G103,"Có","Không"))</f>
        <v/>
      </c>
      <c r="AC103" s="34" t="str">
        <f aca="false">IF(OR($P103="",$E103=""),"",$P103-$E103)</f>
        <v/>
      </c>
      <c r="AD103" s="35" t="str">
        <f aca="false">IF($A103="","",COUNTIF(CASE!$B$3:$B$202,$A103))</f>
        <v/>
      </c>
      <c r="AE103" s="34" t="str">
        <f aca="false">IF(OR($I103="",$E103=""),"",$I103-$E103)</f>
        <v/>
      </c>
      <c r="AF103" s="34" t="str">
        <f aca="false">IF(OR($K103="",$I103=""),"",$K103-$I103)</f>
        <v/>
      </c>
      <c r="AG103" s="34" t="str">
        <f aca="false">IF(OR($L103="",$K103=""),"",$L103-$K103)</f>
        <v/>
      </c>
      <c r="AH103" s="34" t="str">
        <f aca="false">IF(OR($M103="",$L103=""),"",$M103-$L103)</f>
        <v/>
      </c>
      <c r="AI103" s="34" t="str">
        <f aca="false">IF(OR($P103="",$M103=""),"",$P103-$M103)</f>
        <v/>
      </c>
    </row>
    <row r="104" customFormat="false" ht="15" hidden="false" customHeight="false" outlineLevel="0" collapsed="false">
      <c r="A104" s="29"/>
      <c r="B104" s="29"/>
      <c r="C104" s="29"/>
      <c r="D104" s="30"/>
      <c r="E104" s="31"/>
      <c r="F104" s="32" t="str">
        <f aca="false">IF($E104="","",$E104+7*IFERROR(VLOOKUP($B104,DS!$K$2:$M$4,2,FALSE()),12))</f>
        <v/>
      </c>
      <c r="G104" s="32" t="str">
        <f aca="false">IF($E104="","",$E104+7*IFERROR(VLOOKUP($B104,DS!$K$2:$M$4,3,FALSE()),12))</f>
        <v/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3" t="str">
        <f aca="false">IF($A104="","",IF($R104&lt;&gt;"","95 Hủy/hoàn",IF($Q104&lt;&gt;"","99 Đóng",IF($P104&lt;&gt;"","90 Đã giao",IF($O104&lt;&gt;"","80 Đang giao",IF($N104&lt;&gt;"","70 Thông quan",IF($M104&lt;&gt;"","60 Đã xuất",IF($L104&lt;&gt;"","50 QC đạt",IF($K104&lt;&gt;"","40 NCC đã gửi",IF($I104&lt;&gt;"","30 Đã đặt NCC",IF($H104&lt;&gt;"","20 Đã xác nhận","10 Mới")))))))))))</f>
        <v/>
      </c>
      <c r="U104" s="33" t="str">
        <f aca="false">IF($T104="","",IFERROR(VLOOKUP($T104,DS!$A$2:$B$12,2,FALSE()),""))</f>
        <v/>
      </c>
      <c r="V104" s="34" t="str">
        <f aca="true">IF(OR($T104="",LEFT($T104,2)="99",LEFT($T104,2)="95"),"",TODAY()-MAX($E104,$H104:$P104))</f>
        <v/>
      </c>
      <c r="W104" s="34" t="str">
        <f aca="true">IF(AND($E104&lt;&gt;"",$I104="",$R104=""),IF(TODAY()-$E104&gt;1,"⚑",""),"")</f>
        <v/>
      </c>
      <c r="X104" s="34" t="str">
        <f aca="true">IF(AND($J104&lt;&gt;"",$K104="",$R104=""),IF(TODAY()-$J104&gt;2,"⚑",""),"")</f>
        <v/>
      </c>
      <c r="Y104" s="34" t="str">
        <f aca="true">IF(AND($G104&lt;&gt;"",$M104="",$R104=""),IF(AND($G104-TODAY()&lt;=14,$G104&gt;=TODAY()),"⚑",""),"")</f>
        <v/>
      </c>
      <c r="Z104" s="34" t="str">
        <f aca="true">IF(AND($G104&lt;&gt;"",$P104="",$R104=""),IF(TODAY()&gt;$G104,"⚑",""),"")</f>
        <v/>
      </c>
      <c r="AA104" s="34" t="str">
        <f aca="true">IF(AND($E104&lt;&gt;"",$P104="",$R104=""),IF(TODAY()-MAX($E104,$H104,$M104,$S104)&gt;7,"⚑",""),"")</f>
        <v/>
      </c>
      <c r="AB104" s="34" t="str">
        <f aca="false">IF(OR($P104="",$G104=""),"",IF($P104&lt;=$G104,"Có","Không"))</f>
        <v/>
      </c>
      <c r="AC104" s="34" t="str">
        <f aca="false">IF(OR($P104="",$E104=""),"",$P104-$E104)</f>
        <v/>
      </c>
      <c r="AD104" s="35" t="str">
        <f aca="false">IF($A104="","",COUNTIF(CASE!$B$3:$B$202,$A104))</f>
        <v/>
      </c>
      <c r="AE104" s="34" t="str">
        <f aca="false">IF(OR($I104="",$E104=""),"",$I104-$E104)</f>
        <v/>
      </c>
      <c r="AF104" s="34" t="str">
        <f aca="false">IF(OR($K104="",$I104=""),"",$K104-$I104)</f>
        <v/>
      </c>
      <c r="AG104" s="34" t="str">
        <f aca="false">IF(OR($L104="",$K104=""),"",$L104-$K104)</f>
        <v/>
      </c>
      <c r="AH104" s="34" t="str">
        <f aca="false">IF(OR($M104="",$L104=""),"",$M104-$L104)</f>
        <v/>
      </c>
      <c r="AI104" s="34" t="str">
        <f aca="false">IF(OR($P104="",$M104=""),"",$P104-$M104)</f>
        <v/>
      </c>
    </row>
    <row r="105" customFormat="false" ht="15" hidden="false" customHeight="false" outlineLevel="0" collapsed="false">
      <c r="A105" s="29"/>
      <c r="B105" s="29"/>
      <c r="C105" s="29"/>
      <c r="D105" s="30"/>
      <c r="E105" s="31"/>
      <c r="F105" s="32" t="str">
        <f aca="false">IF($E105="","",$E105+7*IFERROR(VLOOKUP($B105,DS!$K$2:$M$4,2,FALSE()),12))</f>
        <v/>
      </c>
      <c r="G105" s="32" t="str">
        <f aca="false">IF($E105="","",$E105+7*IFERROR(VLOOKUP($B105,DS!$K$2:$M$4,3,FALSE()),12))</f>
        <v/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3" t="str">
        <f aca="false">IF($A105="","",IF($R105&lt;&gt;"","95 Hủy/hoàn",IF($Q105&lt;&gt;"","99 Đóng",IF($P105&lt;&gt;"","90 Đã giao",IF($O105&lt;&gt;"","80 Đang giao",IF($N105&lt;&gt;"","70 Thông quan",IF($M105&lt;&gt;"","60 Đã xuất",IF($L105&lt;&gt;"","50 QC đạt",IF($K105&lt;&gt;"","40 NCC đã gửi",IF($I105&lt;&gt;"","30 Đã đặt NCC",IF($H105&lt;&gt;"","20 Đã xác nhận","10 Mới")))))))))))</f>
        <v/>
      </c>
      <c r="U105" s="33" t="str">
        <f aca="false">IF($T105="","",IFERROR(VLOOKUP($T105,DS!$A$2:$B$12,2,FALSE()),""))</f>
        <v/>
      </c>
      <c r="V105" s="34" t="str">
        <f aca="true">IF(OR($T105="",LEFT($T105,2)="99",LEFT($T105,2)="95"),"",TODAY()-MAX($E105,$H105:$P105))</f>
        <v/>
      </c>
      <c r="W105" s="34" t="str">
        <f aca="true">IF(AND($E105&lt;&gt;"",$I105="",$R105=""),IF(TODAY()-$E105&gt;1,"⚑",""),"")</f>
        <v/>
      </c>
      <c r="X105" s="34" t="str">
        <f aca="true">IF(AND($J105&lt;&gt;"",$K105="",$R105=""),IF(TODAY()-$J105&gt;2,"⚑",""),"")</f>
        <v/>
      </c>
      <c r="Y105" s="34" t="str">
        <f aca="true">IF(AND($G105&lt;&gt;"",$M105="",$R105=""),IF(AND($G105-TODAY()&lt;=14,$G105&gt;=TODAY()),"⚑",""),"")</f>
        <v/>
      </c>
      <c r="Z105" s="34" t="str">
        <f aca="true">IF(AND($G105&lt;&gt;"",$P105="",$R105=""),IF(TODAY()&gt;$G105,"⚑",""),"")</f>
        <v/>
      </c>
      <c r="AA105" s="34" t="str">
        <f aca="true">IF(AND($E105&lt;&gt;"",$P105="",$R105=""),IF(TODAY()-MAX($E105,$H105,$M105,$S105)&gt;7,"⚑",""),"")</f>
        <v/>
      </c>
      <c r="AB105" s="34" t="str">
        <f aca="false">IF(OR($P105="",$G105=""),"",IF($P105&lt;=$G105,"Có","Không"))</f>
        <v/>
      </c>
      <c r="AC105" s="34" t="str">
        <f aca="false">IF(OR($P105="",$E105=""),"",$P105-$E105)</f>
        <v/>
      </c>
      <c r="AD105" s="35" t="str">
        <f aca="false">IF($A105="","",COUNTIF(CASE!$B$3:$B$202,$A105))</f>
        <v/>
      </c>
      <c r="AE105" s="34" t="str">
        <f aca="false">IF(OR($I105="",$E105=""),"",$I105-$E105)</f>
        <v/>
      </c>
      <c r="AF105" s="34" t="str">
        <f aca="false">IF(OR($K105="",$I105=""),"",$K105-$I105)</f>
        <v/>
      </c>
      <c r="AG105" s="34" t="str">
        <f aca="false">IF(OR($L105="",$K105=""),"",$L105-$K105)</f>
        <v/>
      </c>
      <c r="AH105" s="34" t="str">
        <f aca="false">IF(OR($M105="",$L105=""),"",$M105-$L105)</f>
        <v/>
      </c>
      <c r="AI105" s="34" t="str">
        <f aca="false">IF(OR($P105="",$M105=""),"",$P105-$M105)</f>
        <v/>
      </c>
    </row>
    <row r="106" customFormat="false" ht="15" hidden="false" customHeight="false" outlineLevel="0" collapsed="false">
      <c r="A106" s="29"/>
      <c r="B106" s="29"/>
      <c r="C106" s="29"/>
      <c r="D106" s="30"/>
      <c r="E106" s="31"/>
      <c r="F106" s="32" t="str">
        <f aca="false">IF($E106="","",$E106+7*IFERROR(VLOOKUP($B106,DS!$K$2:$M$4,2,FALSE()),12))</f>
        <v/>
      </c>
      <c r="G106" s="32" t="str">
        <f aca="false">IF($E106="","",$E106+7*IFERROR(VLOOKUP($B106,DS!$K$2:$M$4,3,FALSE()),12))</f>
        <v/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3" t="str">
        <f aca="false">IF($A106="","",IF($R106&lt;&gt;"","95 Hủy/hoàn",IF($Q106&lt;&gt;"","99 Đóng",IF($P106&lt;&gt;"","90 Đã giao",IF($O106&lt;&gt;"","80 Đang giao",IF($N106&lt;&gt;"","70 Thông quan",IF($M106&lt;&gt;"","60 Đã xuất",IF($L106&lt;&gt;"","50 QC đạt",IF($K106&lt;&gt;"","40 NCC đã gửi",IF($I106&lt;&gt;"","30 Đã đặt NCC",IF($H106&lt;&gt;"","20 Đã xác nhận","10 Mới")))))))))))</f>
        <v/>
      </c>
      <c r="U106" s="33" t="str">
        <f aca="false">IF($T106="","",IFERROR(VLOOKUP($T106,DS!$A$2:$B$12,2,FALSE()),""))</f>
        <v/>
      </c>
      <c r="V106" s="34" t="str">
        <f aca="true">IF(OR($T106="",LEFT($T106,2)="99",LEFT($T106,2)="95"),"",TODAY()-MAX($E106,$H106:$P106))</f>
        <v/>
      </c>
      <c r="W106" s="34" t="str">
        <f aca="true">IF(AND($E106&lt;&gt;"",$I106="",$R106=""),IF(TODAY()-$E106&gt;1,"⚑",""),"")</f>
        <v/>
      </c>
      <c r="X106" s="34" t="str">
        <f aca="true">IF(AND($J106&lt;&gt;"",$K106="",$R106=""),IF(TODAY()-$J106&gt;2,"⚑",""),"")</f>
        <v/>
      </c>
      <c r="Y106" s="34" t="str">
        <f aca="true">IF(AND($G106&lt;&gt;"",$M106="",$R106=""),IF(AND($G106-TODAY()&lt;=14,$G106&gt;=TODAY()),"⚑",""),"")</f>
        <v/>
      </c>
      <c r="Z106" s="34" t="str">
        <f aca="true">IF(AND($G106&lt;&gt;"",$P106="",$R106=""),IF(TODAY()&gt;$G106,"⚑",""),"")</f>
        <v/>
      </c>
      <c r="AA106" s="34" t="str">
        <f aca="true">IF(AND($E106&lt;&gt;"",$P106="",$R106=""),IF(TODAY()-MAX($E106,$H106,$M106,$S106)&gt;7,"⚑",""),"")</f>
        <v/>
      </c>
      <c r="AB106" s="34" t="str">
        <f aca="false">IF(OR($P106="",$G106=""),"",IF($P106&lt;=$G106,"Có","Không"))</f>
        <v/>
      </c>
      <c r="AC106" s="34" t="str">
        <f aca="false">IF(OR($P106="",$E106=""),"",$P106-$E106)</f>
        <v/>
      </c>
      <c r="AD106" s="35" t="str">
        <f aca="false">IF($A106="","",COUNTIF(CASE!$B$3:$B$202,$A106))</f>
        <v/>
      </c>
      <c r="AE106" s="34" t="str">
        <f aca="false">IF(OR($I106="",$E106=""),"",$I106-$E106)</f>
        <v/>
      </c>
      <c r="AF106" s="34" t="str">
        <f aca="false">IF(OR($K106="",$I106=""),"",$K106-$I106)</f>
        <v/>
      </c>
      <c r="AG106" s="34" t="str">
        <f aca="false">IF(OR($L106="",$K106=""),"",$L106-$K106)</f>
        <v/>
      </c>
      <c r="AH106" s="34" t="str">
        <f aca="false">IF(OR($M106="",$L106=""),"",$M106-$L106)</f>
        <v/>
      </c>
      <c r="AI106" s="34" t="str">
        <f aca="false">IF(OR($P106="",$M106=""),"",$P106-$M106)</f>
        <v/>
      </c>
    </row>
    <row r="107" customFormat="false" ht="15" hidden="false" customHeight="false" outlineLevel="0" collapsed="false">
      <c r="A107" s="29"/>
      <c r="B107" s="29"/>
      <c r="C107" s="29"/>
      <c r="D107" s="30"/>
      <c r="E107" s="31"/>
      <c r="F107" s="32" t="str">
        <f aca="false">IF($E107="","",$E107+7*IFERROR(VLOOKUP($B107,DS!$K$2:$M$4,2,FALSE()),12))</f>
        <v/>
      </c>
      <c r="G107" s="32" t="str">
        <f aca="false">IF($E107="","",$E107+7*IFERROR(VLOOKUP($B107,DS!$K$2:$M$4,3,FALSE()),12))</f>
        <v/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3" t="str">
        <f aca="false">IF($A107="","",IF($R107&lt;&gt;"","95 Hủy/hoàn",IF($Q107&lt;&gt;"","99 Đóng",IF($P107&lt;&gt;"","90 Đã giao",IF($O107&lt;&gt;"","80 Đang giao",IF($N107&lt;&gt;"","70 Thông quan",IF($M107&lt;&gt;"","60 Đã xuất",IF($L107&lt;&gt;"","50 QC đạt",IF($K107&lt;&gt;"","40 NCC đã gửi",IF($I107&lt;&gt;"","30 Đã đặt NCC",IF($H107&lt;&gt;"","20 Đã xác nhận","10 Mới")))))))))))</f>
        <v/>
      </c>
      <c r="U107" s="33" t="str">
        <f aca="false">IF($T107="","",IFERROR(VLOOKUP($T107,DS!$A$2:$B$12,2,FALSE()),""))</f>
        <v/>
      </c>
      <c r="V107" s="34" t="str">
        <f aca="true">IF(OR($T107="",LEFT($T107,2)="99",LEFT($T107,2)="95"),"",TODAY()-MAX($E107,$H107:$P107))</f>
        <v/>
      </c>
      <c r="W107" s="34" t="str">
        <f aca="true">IF(AND($E107&lt;&gt;"",$I107="",$R107=""),IF(TODAY()-$E107&gt;1,"⚑",""),"")</f>
        <v/>
      </c>
      <c r="X107" s="34" t="str">
        <f aca="true">IF(AND($J107&lt;&gt;"",$K107="",$R107=""),IF(TODAY()-$J107&gt;2,"⚑",""),"")</f>
        <v/>
      </c>
      <c r="Y107" s="34" t="str">
        <f aca="true">IF(AND($G107&lt;&gt;"",$M107="",$R107=""),IF(AND($G107-TODAY()&lt;=14,$G107&gt;=TODAY()),"⚑",""),"")</f>
        <v/>
      </c>
      <c r="Z107" s="34" t="str">
        <f aca="true">IF(AND($G107&lt;&gt;"",$P107="",$R107=""),IF(TODAY()&gt;$G107,"⚑",""),"")</f>
        <v/>
      </c>
      <c r="AA107" s="34" t="str">
        <f aca="true">IF(AND($E107&lt;&gt;"",$P107="",$R107=""),IF(TODAY()-MAX($E107,$H107,$M107,$S107)&gt;7,"⚑",""),"")</f>
        <v/>
      </c>
      <c r="AB107" s="34" t="str">
        <f aca="false">IF(OR($P107="",$G107=""),"",IF($P107&lt;=$G107,"Có","Không"))</f>
        <v/>
      </c>
      <c r="AC107" s="34" t="str">
        <f aca="false">IF(OR($P107="",$E107=""),"",$P107-$E107)</f>
        <v/>
      </c>
      <c r="AD107" s="35" t="str">
        <f aca="false">IF($A107="","",COUNTIF(CASE!$B$3:$B$202,$A107))</f>
        <v/>
      </c>
      <c r="AE107" s="34" t="str">
        <f aca="false">IF(OR($I107="",$E107=""),"",$I107-$E107)</f>
        <v/>
      </c>
      <c r="AF107" s="34" t="str">
        <f aca="false">IF(OR($K107="",$I107=""),"",$K107-$I107)</f>
        <v/>
      </c>
      <c r="AG107" s="34" t="str">
        <f aca="false">IF(OR($L107="",$K107=""),"",$L107-$K107)</f>
        <v/>
      </c>
      <c r="AH107" s="34" t="str">
        <f aca="false">IF(OR($M107="",$L107=""),"",$M107-$L107)</f>
        <v/>
      </c>
      <c r="AI107" s="34" t="str">
        <f aca="false">IF(OR($P107="",$M107=""),"",$P107-$M107)</f>
        <v/>
      </c>
    </row>
    <row r="108" customFormat="false" ht="15" hidden="false" customHeight="false" outlineLevel="0" collapsed="false">
      <c r="A108" s="29"/>
      <c r="B108" s="29"/>
      <c r="C108" s="29"/>
      <c r="D108" s="30"/>
      <c r="E108" s="31"/>
      <c r="F108" s="32" t="str">
        <f aca="false">IF($E108="","",$E108+7*IFERROR(VLOOKUP($B108,DS!$K$2:$M$4,2,FALSE()),12))</f>
        <v/>
      </c>
      <c r="G108" s="32" t="str">
        <f aca="false">IF($E108="","",$E108+7*IFERROR(VLOOKUP($B108,DS!$K$2:$M$4,3,FALSE()),12))</f>
        <v/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3" t="str">
        <f aca="false">IF($A108="","",IF($R108&lt;&gt;"","95 Hủy/hoàn",IF($Q108&lt;&gt;"","99 Đóng",IF($P108&lt;&gt;"","90 Đã giao",IF($O108&lt;&gt;"","80 Đang giao",IF($N108&lt;&gt;"","70 Thông quan",IF($M108&lt;&gt;"","60 Đã xuất",IF($L108&lt;&gt;"","50 QC đạt",IF($K108&lt;&gt;"","40 NCC đã gửi",IF($I108&lt;&gt;"","30 Đã đặt NCC",IF($H108&lt;&gt;"","20 Đã xác nhận","10 Mới")))))))))))</f>
        <v/>
      </c>
      <c r="U108" s="33" t="str">
        <f aca="false">IF($T108="","",IFERROR(VLOOKUP($T108,DS!$A$2:$B$12,2,FALSE()),""))</f>
        <v/>
      </c>
      <c r="V108" s="34" t="str">
        <f aca="true">IF(OR($T108="",LEFT($T108,2)="99",LEFT($T108,2)="95"),"",TODAY()-MAX($E108,$H108:$P108))</f>
        <v/>
      </c>
      <c r="W108" s="34" t="str">
        <f aca="true">IF(AND($E108&lt;&gt;"",$I108="",$R108=""),IF(TODAY()-$E108&gt;1,"⚑",""),"")</f>
        <v/>
      </c>
      <c r="X108" s="34" t="str">
        <f aca="true">IF(AND($J108&lt;&gt;"",$K108="",$R108=""),IF(TODAY()-$J108&gt;2,"⚑",""),"")</f>
        <v/>
      </c>
      <c r="Y108" s="34" t="str">
        <f aca="true">IF(AND($G108&lt;&gt;"",$M108="",$R108=""),IF(AND($G108-TODAY()&lt;=14,$G108&gt;=TODAY()),"⚑",""),"")</f>
        <v/>
      </c>
      <c r="Z108" s="34" t="str">
        <f aca="true">IF(AND($G108&lt;&gt;"",$P108="",$R108=""),IF(TODAY()&gt;$G108,"⚑",""),"")</f>
        <v/>
      </c>
      <c r="AA108" s="34" t="str">
        <f aca="true">IF(AND($E108&lt;&gt;"",$P108="",$R108=""),IF(TODAY()-MAX($E108,$H108,$M108,$S108)&gt;7,"⚑",""),"")</f>
        <v/>
      </c>
      <c r="AB108" s="34" t="str">
        <f aca="false">IF(OR($P108="",$G108=""),"",IF($P108&lt;=$G108,"Có","Không"))</f>
        <v/>
      </c>
      <c r="AC108" s="34" t="str">
        <f aca="false">IF(OR($P108="",$E108=""),"",$P108-$E108)</f>
        <v/>
      </c>
      <c r="AD108" s="35" t="str">
        <f aca="false">IF($A108="","",COUNTIF(CASE!$B$3:$B$202,$A108))</f>
        <v/>
      </c>
      <c r="AE108" s="34" t="str">
        <f aca="false">IF(OR($I108="",$E108=""),"",$I108-$E108)</f>
        <v/>
      </c>
      <c r="AF108" s="34" t="str">
        <f aca="false">IF(OR($K108="",$I108=""),"",$K108-$I108)</f>
        <v/>
      </c>
      <c r="AG108" s="34" t="str">
        <f aca="false">IF(OR($L108="",$K108=""),"",$L108-$K108)</f>
        <v/>
      </c>
      <c r="AH108" s="34" t="str">
        <f aca="false">IF(OR($M108="",$L108=""),"",$M108-$L108)</f>
        <v/>
      </c>
      <c r="AI108" s="34" t="str">
        <f aca="false">IF(OR($P108="",$M108=""),"",$P108-$M108)</f>
        <v/>
      </c>
    </row>
    <row r="109" customFormat="false" ht="15" hidden="false" customHeight="false" outlineLevel="0" collapsed="false">
      <c r="A109" s="29"/>
      <c r="B109" s="29"/>
      <c r="C109" s="29"/>
      <c r="D109" s="30"/>
      <c r="E109" s="31"/>
      <c r="F109" s="32" t="str">
        <f aca="false">IF($E109="","",$E109+7*IFERROR(VLOOKUP($B109,DS!$K$2:$M$4,2,FALSE()),12))</f>
        <v/>
      </c>
      <c r="G109" s="32" t="str">
        <f aca="false">IF($E109="","",$E109+7*IFERROR(VLOOKUP($B109,DS!$K$2:$M$4,3,FALSE()),12))</f>
        <v/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3" t="str">
        <f aca="false">IF($A109="","",IF($R109&lt;&gt;"","95 Hủy/hoàn",IF($Q109&lt;&gt;"","99 Đóng",IF($P109&lt;&gt;"","90 Đã giao",IF($O109&lt;&gt;"","80 Đang giao",IF($N109&lt;&gt;"","70 Thông quan",IF($M109&lt;&gt;"","60 Đã xuất",IF($L109&lt;&gt;"","50 QC đạt",IF($K109&lt;&gt;"","40 NCC đã gửi",IF($I109&lt;&gt;"","30 Đã đặt NCC",IF($H109&lt;&gt;"","20 Đã xác nhận","10 Mới")))))))))))</f>
        <v/>
      </c>
      <c r="U109" s="33" t="str">
        <f aca="false">IF($T109="","",IFERROR(VLOOKUP($T109,DS!$A$2:$B$12,2,FALSE()),""))</f>
        <v/>
      </c>
      <c r="V109" s="34" t="str">
        <f aca="true">IF(OR($T109="",LEFT($T109,2)="99",LEFT($T109,2)="95"),"",TODAY()-MAX($E109,$H109:$P109))</f>
        <v/>
      </c>
      <c r="W109" s="34" t="str">
        <f aca="true">IF(AND($E109&lt;&gt;"",$I109="",$R109=""),IF(TODAY()-$E109&gt;1,"⚑",""),"")</f>
        <v/>
      </c>
      <c r="X109" s="34" t="str">
        <f aca="true">IF(AND($J109&lt;&gt;"",$K109="",$R109=""),IF(TODAY()-$J109&gt;2,"⚑",""),"")</f>
        <v/>
      </c>
      <c r="Y109" s="34" t="str">
        <f aca="true">IF(AND($G109&lt;&gt;"",$M109="",$R109=""),IF(AND($G109-TODAY()&lt;=14,$G109&gt;=TODAY()),"⚑",""),"")</f>
        <v/>
      </c>
      <c r="Z109" s="34" t="str">
        <f aca="true">IF(AND($G109&lt;&gt;"",$P109="",$R109=""),IF(TODAY()&gt;$G109,"⚑",""),"")</f>
        <v/>
      </c>
      <c r="AA109" s="34" t="str">
        <f aca="true">IF(AND($E109&lt;&gt;"",$P109="",$R109=""),IF(TODAY()-MAX($E109,$H109,$M109,$S109)&gt;7,"⚑",""),"")</f>
        <v/>
      </c>
      <c r="AB109" s="34" t="str">
        <f aca="false">IF(OR($P109="",$G109=""),"",IF($P109&lt;=$G109,"Có","Không"))</f>
        <v/>
      </c>
      <c r="AC109" s="34" t="str">
        <f aca="false">IF(OR($P109="",$E109=""),"",$P109-$E109)</f>
        <v/>
      </c>
      <c r="AD109" s="35" t="str">
        <f aca="false">IF($A109="","",COUNTIF(CASE!$B$3:$B$202,$A109))</f>
        <v/>
      </c>
      <c r="AE109" s="34" t="str">
        <f aca="false">IF(OR($I109="",$E109=""),"",$I109-$E109)</f>
        <v/>
      </c>
      <c r="AF109" s="34" t="str">
        <f aca="false">IF(OR($K109="",$I109=""),"",$K109-$I109)</f>
        <v/>
      </c>
      <c r="AG109" s="34" t="str">
        <f aca="false">IF(OR($L109="",$K109=""),"",$L109-$K109)</f>
        <v/>
      </c>
      <c r="AH109" s="34" t="str">
        <f aca="false">IF(OR($M109="",$L109=""),"",$M109-$L109)</f>
        <v/>
      </c>
      <c r="AI109" s="34" t="str">
        <f aca="false">IF(OR($P109="",$M109=""),"",$P109-$M109)</f>
        <v/>
      </c>
    </row>
    <row r="110" customFormat="false" ht="15" hidden="false" customHeight="false" outlineLevel="0" collapsed="false">
      <c r="A110" s="29"/>
      <c r="B110" s="29"/>
      <c r="C110" s="29"/>
      <c r="D110" s="30"/>
      <c r="E110" s="31"/>
      <c r="F110" s="32" t="str">
        <f aca="false">IF($E110="","",$E110+7*IFERROR(VLOOKUP($B110,DS!$K$2:$M$4,2,FALSE()),12))</f>
        <v/>
      </c>
      <c r="G110" s="32" t="str">
        <f aca="false">IF($E110="","",$E110+7*IFERROR(VLOOKUP($B110,DS!$K$2:$M$4,3,FALSE()),12))</f>
        <v/>
      </c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3" t="str">
        <f aca="false">IF($A110="","",IF($R110&lt;&gt;"","95 Hủy/hoàn",IF($Q110&lt;&gt;"","99 Đóng",IF($P110&lt;&gt;"","90 Đã giao",IF($O110&lt;&gt;"","80 Đang giao",IF($N110&lt;&gt;"","70 Thông quan",IF($M110&lt;&gt;"","60 Đã xuất",IF($L110&lt;&gt;"","50 QC đạt",IF($K110&lt;&gt;"","40 NCC đã gửi",IF($I110&lt;&gt;"","30 Đã đặt NCC",IF($H110&lt;&gt;"","20 Đã xác nhận","10 Mới")))))))))))</f>
        <v/>
      </c>
      <c r="U110" s="33" t="str">
        <f aca="false">IF($T110="","",IFERROR(VLOOKUP($T110,DS!$A$2:$B$12,2,FALSE()),""))</f>
        <v/>
      </c>
      <c r="V110" s="34" t="str">
        <f aca="true">IF(OR($T110="",LEFT($T110,2)="99",LEFT($T110,2)="95"),"",TODAY()-MAX($E110,$H110:$P110))</f>
        <v/>
      </c>
      <c r="W110" s="34" t="str">
        <f aca="true">IF(AND($E110&lt;&gt;"",$I110="",$R110=""),IF(TODAY()-$E110&gt;1,"⚑",""),"")</f>
        <v/>
      </c>
      <c r="X110" s="34" t="str">
        <f aca="true">IF(AND($J110&lt;&gt;"",$K110="",$R110=""),IF(TODAY()-$J110&gt;2,"⚑",""),"")</f>
        <v/>
      </c>
      <c r="Y110" s="34" t="str">
        <f aca="true">IF(AND($G110&lt;&gt;"",$M110="",$R110=""),IF(AND($G110-TODAY()&lt;=14,$G110&gt;=TODAY()),"⚑",""),"")</f>
        <v/>
      </c>
      <c r="Z110" s="34" t="str">
        <f aca="true">IF(AND($G110&lt;&gt;"",$P110="",$R110=""),IF(TODAY()&gt;$G110,"⚑",""),"")</f>
        <v/>
      </c>
      <c r="AA110" s="34" t="str">
        <f aca="true">IF(AND($E110&lt;&gt;"",$P110="",$R110=""),IF(TODAY()-MAX($E110,$H110,$M110,$S110)&gt;7,"⚑",""),"")</f>
        <v/>
      </c>
      <c r="AB110" s="34" t="str">
        <f aca="false">IF(OR($P110="",$G110=""),"",IF($P110&lt;=$G110,"Có","Không"))</f>
        <v/>
      </c>
      <c r="AC110" s="34" t="str">
        <f aca="false">IF(OR($P110="",$E110=""),"",$P110-$E110)</f>
        <v/>
      </c>
      <c r="AD110" s="35" t="str">
        <f aca="false">IF($A110="","",COUNTIF(CASE!$B$3:$B$202,$A110))</f>
        <v/>
      </c>
      <c r="AE110" s="34" t="str">
        <f aca="false">IF(OR($I110="",$E110=""),"",$I110-$E110)</f>
        <v/>
      </c>
      <c r="AF110" s="34" t="str">
        <f aca="false">IF(OR($K110="",$I110=""),"",$K110-$I110)</f>
        <v/>
      </c>
      <c r="AG110" s="34" t="str">
        <f aca="false">IF(OR($L110="",$K110=""),"",$L110-$K110)</f>
        <v/>
      </c>
      <c r="AH110" s="34" t="str">
        <f aca="false">IF(OR($M110="",$L110=""),"",$M110-$L110)</f>
        <v/>
      </c>
      <c r="AI110" s="34" t="str">
        <f aca="false">IF(OR($P110="",$M110=""),"",$P110-$M110)</f>
        <v/>
      </c>
    </row>
    <row r="111" customFormat="false" ht="15" hidden="false" customHeight="false" outlineLevel="0" collapsed="false">
      <c r="A111" s="29"/>
      <c r="B111" s="29"/>
      <c r="C111" s="29"/>
      <c r="D111" s="30"/>
      <c r="E111" s="31"/>
      <c r="F111" s="32" t="str">
        <f aca="false">IF($E111="","",$E111+7*IFERROR(VLOOKUP($B111,DS!$K$2:$M$4,2,FALSE()),12))</f>
        <v/>
      </c>
      <c r="G111" s="32" t="str">
        <f aca="false">IF($E111="","",$E111+7*IFERROR(VLOOKUP($B111,DS!$K$2:$M$4,3,FALSE()),12))</f>
        <v/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3" t="str">
        <f aca="false">IF($A111="","",IF($R111&lt;&gt;"","95 Hủy/hoàn",IF($Q111&lt;&gt;"","99 Đóng",IF($P111&lt;&gt;"","90 Đã giao",IF($O111&lt;&gt;"","80 Đang giao",IF($N111&lt;&gt;"","70 Thông quan",IF($M111&lt;&gt;"","60 Đã xuất",IF($L111&lt;&gt;"","50 QC đạt",IF($K111&lt;&gt;"","40 NCC đã gửi",IF($I111&lt;&gt;"","30 Đã đặt NCC",IF($H111&lt;&gt;"","20 Đã xác nhận","10 Mới")))))))))))</f>
        <v/>
      </c>
      <c r="U111" s="33" t="str">
        <f aca="false">IF($T111="","",IFERROR(VLOOKUP($T111,DS!$A$2:$B$12,2,FALSE()),""))</f>
        <v/>
      </c>
      <c r="V111" s="34" t="str">
        <f aca="true">IF(OR($T111="",LEFT($T111,2)="99",LEFT($T111,2)="95"),"",TODAY()-MAX($E111,$H111:$P111))</f>
        <v/>
      </c>
      <c r="W111" s="34" t="str">
        <f aca="true">IF(AND($E111&lt;&gt;"",$I111="",$R111=""),IF(TODAY()-$E111&gt;1,"⚑",""),"")</f>
        <v/>
      </c>
      <c r="X111" s="34" t="str">
        <f aca="true">IF(AND($J111&lt;&gt;"",$K111="",$R111=""),IF(TODAY()-$J111&gt;2,"⚑",""),"")</f>
        <v/>
      </c>
      <c r="Y111" s="34" t="str">
        <f aca="true">IF(AND($G111&lt;&gt;"",$M111="",$R111=""),IF(AND($G111-TODAY()&lt;=14,$G111&gt;=TODAY()),"⚑",""),"")</f>
        <v/>
      </c>
      <c r="Z111" s="34" t="str">
        <f aca="true">IF(AND($G111&lt;&gt;"",$P111="",$R111=""),IF(TODAY()&gt;$G111,"⚑",""),"")</f>
        <v/>
      </c>
      <c r="AA111" s="34" t="str">
        <f aca="true">IF(AND($E111&lt;&gt;"",$P111="",$R111=""),IF(TODAY()-MAX($E111,$H111,$M111,$S111)&gt;7,"⚑",""),"")</f>
        <v/>
      </c>
      <c r="AB111" s="34" t="str">
        <f aca="false">IF(OR($P111="",$G111=""),"",IF($P111&lt;=$G111,"Có","Không"))</f>
        <v/>
      </c>
      <c r="AC111" s="34" t="str">
        <f aca="false">IF(OR($P111="",$E111=""),"",$P111-$E111)</f>
        <v/>
      </c>
      <c r="AD111" s="35" t="str">
        <f aca="false">IF($A111="","",COUNTIF(CASE!$B$3:$B$202,$A111))</f>
        <v/>
      </c>
      <c r="AE111" s="34" t="str">
        <f aca="false">IF(OR($I111="",$E111=""),"",$I111-$E111)</f>
        <v/>
      </c>
      <c r="AF111" s="34" t="str">
        <f aca="false">IF(OR($K111="",$I111=""),"",$K111-$I111)</f>
        <v/>
      </c>
      <c r="AG111" s="34" t="str">
        <f aca="false">IF(OR($L111="",$K111=""),"",$L111-$K111)</f>
        <v/>
      </c>
      <c r="AH111" s="34" t="str">
        <f aca="false">IF(OR($M111="",$L111=""),"",$M111-$L111)</f>
        <v/>
      </c>
      <c r="AI111" s="34" t="str">
        <f aca="false">IF(OR($P111="",$M111=""),"",$P111-$M111)</f>
        <v/>
      </c>
    </row>
    <row r="112" customFormat="false" ht="15" hidden="false" customHeight="false" outlineLevel="0" collapsed="false">
      <c r="A112" s="29"/>
      <c r="B112" s="29"/>
      <c r="C112" s="29"/>
      <c r="D112" s="30"/>
      <c r="E112" s="31"/>
      <c r="F112" s="32" t="str">
        <f aca="false">IF($E112="","",$E112+7*IFERROR(VLOOKUP($B112,DS!$K$2:$M$4,2,FALSE()),12))</f>
        <v/>
      </c>
      <c r="G112" s="32" t="str">
        <f aca="false">IF($E112="","",$E112+7*IFERROR(VLOOKUP($B112,DS!$K$2:$M$4,3,FALSE()),12))</f>
        <v/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3" t="str">
        <f aca="false">IF($A112="","",IF($R112&lt;&gt;"","95 Hủy/hoàn",IF($Q112&lt;&gt;"","99 Đóng",IF($P112&lt;&gt;"","90 Đã giao",IF($O112&lt;&gt;"","80 Đang giao",IF($N112&lt;&gt;"","70 Thông quan",IF($M112&lt;&gt;"","60 Đã xuất",IF($L112&lt;&gt;"","50 QC đạt",IF($K112&lt;&gt;"","40 NCC đã gửi",IF($I112&lt;&gt;"","30 Đã đặt NCC",IF($H112&lt;&gt;"","20 Đã xác nhận","10 Mới")))))))))))</f>
        <v/>
      </c>
      <c r="U112" s="33" t="str">
        <f aca="false">IF($T112="","",IFERROR(VLOOKUP($T112,DS!$A$2:$B$12,2,FALSE()),""))</f>
        <v/>
      </c>
      <c r="V112" s="34" t="str">
        <f aca="true">IF(OR($T112="",LEFT($T112,2)="99",LEFT($T112,2)="95"),"",TODAY()-MAX($E112,$H112:$P112))</f>
        <v/>
      </c>
      <c r="W112" s="34" t="str">
        <f aca="true">IF(AND($E112&lt;&gt;"",$I112="",$R112=""),IF(TODAY()-$E112&gt;1,"⚑",""),"")</f>
        <v/>
      </c>
      <c r="X112" s="34" t="str">
        <f aca="true">IF(AND($J112&lt;&gt;"",$K112="",$R112=""),IF(TODAY()-$J112&gt;2,"⚑",""),"")</f>
        <v/>
      </c>
      <c r="Y112" s="34" t="str">
        <f aca="true">IF(AND($G112&lt;&gt;"",$M112="",$R112=""),IF(AND($G112-TODAY()&lt;=14,$G112&gt;=TODAY()),"⚑",""),"")</f>
        <v/>
      </c>
      <c r="Z112" s="34" t="str">
        <f aca="true">IF(AND($G112&lt;&gt;"",$P112="",$R112=""),IF(TODAY()&gt;$G112,"⚑",""),"")</f>
        <v/>
      </c>
      <c r="AA112" s="34" t="str">
        <f aca="true">IF(AND($E112&lt;&gt;"",$P112="",$R112=""),IF(TODAY()-MAX($E112,$H112,$M112,$S112)&gt;7,"⚑",""),"")</f>
        <v/>
      </c>
      <c r="AB112" s="34" t="str">
        <f aca="false">IF(OR($P112="",$G112=""),"",IF($P112&lt;=$G112,"Có","Không"))</f>
        <v/>
      </c>
      <c r="AC112" s="34" t="str">
        <f aca="false">IF(OR($P112="",$E112=""),"",$P112-$E112)</f>
        <v/>
      </c>
      <c r="AD112" s="35" t="str">
        <f aca="false">IF($A112="","",COUNTIF(CASE!$B$3:$B$202,$A112))</f>
        <v/>
      </c>
      <c r="AE112" s="34" t="str">
        <f aca="false">IF(OR($I112="",$E112=""),"",$I112-$E112)</f>
        <v/>
      </c>
      <c r="AF112" s="34" t="str">
        <f aca="false">IF(OR($K112="",$I112=""),"",$K112-$I112)</f>
        <v/>
      </c>
      <c r="AG112" s="34" t="str">
        <f aca="false">IF(OR($L112="",$K112=""),"",$L112-$K112)</f>
        <v/>
      </c>
      <c r="AH112" s="34" t="str">
        <f aca="false">IF(OR($M112="",$L112=""),"",$M112-$L112)</f>
        <v/>
      </c>
      <c r="AI112" s="34" t="str">
        <f aca="false">IF(OR($P112="",$M112=""),"",$P112-$M112)</f>
        <v/>
      </c>
    </row>
    <row r="113" customFormat="false" ht="15" hidden="false" customHeight="false" outlineLevel="0" collapsed="false">
      <c r="A113" s="29"/>
      <c r="B113" s="29"/>
      <c r="C113" s="29"/>
      <c r="D113" s="30"/>
      <c r="E113" s="31"/>
      <c r="F113" s="32" t="str">
        <f aca="false">IF($E113="","",$E113+7*IFERROR(VLOOKUP($B113,DS!$K$2:$M$4,2,FALSE()),12))</f>
        <v/>
      </c>
      <c r="G113" s="32" t="str">
        <f aca="false">IF($E113="","",$E113+7*IFERROR(VLOOKUP($B113,DS!$K$2:$M$4,3,FALSE()),12))</f>
        <v/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3" t="str">
        <f aca="false">IF($A113="","",IF($R113&lt;&gt;"","95 Hủy/hoàn",IF($Q113&lt;&gt;"","99 Đóng",IF($P113&lt;&gt;"","90 Đã giao",IF($O113&lt;&gt;"","80 Đang giao",IF($N113&lt;&gt;"","70 Thông quan",IF($M113&lt;&gt;"","60 Đã xuất",IF($L113&lt;&gt;"","50 QC đạt",IF($K113&lt;&gt;"","40 NCC đã gửi",IF($I113&lt;&gt;"","30 Đã đặt NCC",IF($H113&lt;&gt;"","20 Đã xác nhận","10 Mới")))))))))))</f>
        <v/>
      </c>
      <c r="U113" s="33" t="str">
        <f aca="false">IF($T113="","",IFERROR(VLOOKUP($T113,DS!$A$2:$B$12,2,FALSE()),""))</f>
        <v/>
      </c>
      <c r="V113" s="34" t="str">
        <f aca="true">IF(OR($T113="",LEFT($T113,2)="99",LEFT($T113,2)="95"),"",TODAY()-MAX($E113,$H113:$P113))</f>
        <v/>
      </c>
      <c r="W113" s="34" t="str">
        <f aca="true">IF(AND($E113&lt;&gt;"",$I113="",$R113=""),IF(TODAY()-$E113&gt;1,"⚑",""),"")</f>
        <v/>
      </c>
      <c r="X113" s="34" t="str">
        <f aca="true">IF(AND($J113&lt;&gt;"",$K113="",$R113=""),IF(TODAY()-$J113&gt;2,"⚑",""),"")</f>
        <v/>
      </c>
      <c r="Y113" s="34" t="str">
        <f aca="true">IF(AND($G113&lt;&gt;"",$M113="",$R113=""),IF(AND($G113-TODAY()&lt;=14,$G113&gt;=TODAY()),"⚑",""),"")</f>
        <v/>
      </c>
      <c r="Z113" s="34" t="str">
        <f aca="true">IF(AND($G113&lt;&gt;"",$P113="",$R113=""),IF(TODAY()&gt;$G113,"⚑",""),"")</f>
        <v/>
      </c>
      <c r="AA113" s="34" t="str">
        <f aca="true">IF(AND($E113&lt;&gt;"",$P113="",$R113=""),IF(TODAY()-MAX($E113,$H113,$M113,$S113)&gt;7,"⚑",""),"")</f>
        <v/>
      </c>
      <c r="AB113" s="34" t="str">
        <f aca="false">IF(OR($P113="",$G113=""),"",IF($P113&lt;=$G113,"Có","Không"))</f>
        <v/>
      </c>
      <c r="AC113" s="34" t="str">
        <f aca="false">IF(OR($P113="",$E113=""),"",$P113-$E113)</f>
        <v/>
      </c>
      <c r="AD113" s="35" t="str">
        <f aca="false">IF($A113="","",COUNTIF(CASE!$B$3:$B$202,$A113))</f>
        <v/>
      </c>
      <c r="AE113" s="34" t="str">
        <f aca="false">IF(OR($I113="",$E113=""),"",$I113-$E113)</f>
        <v/>
      </c>
      <c r="AF113" s="34" t="str">
        <f aca="false">IF(OR($K113="",$I113=""),"",$K113-$I113)</f>
        <v/>
      </c>
      <c r="AG113" s="34" t="str">
        <f aca="false">IF(OR($L113="",$K113=""),"",$L113-$K113)</f>
        <v/>
      </c>
      <c r="AH113" s="34" t="str">
        <f aca="false">IF(OR($M113="",$L113=""),"",$M113-$L113)</f>
        <v/>
      </c>
      <c r="AI113" s="34" t="str">
        <f aca="false">IF(OR($P113="",$M113=""),"",$P113-$M113)</f>
        <v/>
      </c>
    </row>
    <row r="114" customFormat="false" ht="15" hidden="false" customHeight="false" outlineLevel="0" collapsed="false">
      <c r="A114" s="29"/>
      <c r="B114" s="29"/>
      <c r="C114" s="29"/>
      <c r="D114" s="30"/>
      <c r="E114" s="31"/>
      <c r="F114" s="32" t="str">
        <f aca="false">IF($E114="","",$E114+7*IFERROR(VLOOKUP($B114,DS!$K$2:$M$4,2,FALSE()),12))</f>
        <v/>
      </c>
      <c r="G114" s="32" t="str">
        <f aca="false">IF($E114="","",$E114+7*IFERROR(VLOOKUP($B114,DS!$K$2:$M$4,3,FALSE()),12))</f>
        <v/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3" t="str">
        <f aca="false">IF($A114="","",IF($R114&lt;&gt;"","95 Hủy/hoàn",IF($Q114&lt;&gt;"","99 Đóng",IF($P114&lt;&gt;"","90 Đã giao",IF($O114&lt;&gt;"","80 Đang giao",IF($N114&lt;&gt;"","70 Thông quan",IF($M114&lt;&gt;"","60 Đã xuất",IF($L114&lt;&gt;"","50 QC đạt",IF($K114&lt;&gt;"","40 NCC đã gửi",IF($I114&lt;&gt;"","30 Đã đặt NCC",IF($H114&lt;&gt;"","20 Đã xác nhận","10 Mới")))))))))))</f>
        <v/>
      </c>
      <c r="U114" s="33" t="str">
        <f aca="false">IF($T114="","",IFERROR(VLOOKUP($T114,DS!$A$2:$B$12,2,FALSE()),""))</f>
        <v/>
      </c>
      <c r="V114" s="34" t="str">
        <f aca="true">IF(OR($T114="",LEFT($T114,2)="99",LEFT($T114,2)="95"),"",TODAY()-MAX($E114,$H114:$P114))</f>
        <v/>
      </c>
      <c r="W114" s="34" t="str">
        <f aca="true">IF(AND($E114&lt;&gt;"",$I114="",$R114=""),IF(TODAY()-$E114&gt;1,"⚑",""),"")</f>
        <v/>
      </c>
      <c r="X114" s="34" t="str">
        <f aca="true">IF(AND($J114&lt;&gt;"",$K114="",$R114=""),IF(TODAY()-$J114&gt;2,"⚑",""),"")</f>
        <v/>
      </c>
      <c r="Y114" s="34" t="str">
        <f aca="true">IF(AND($G114&lt;&gt;"",$M114="",$R114=""),IF(AND($G114-TODAY()&lt;=14,$G114&gt;=TODAY()),"⚑",""),"")</f>
        <v/>
      </c>
      <c r="Z114" s="34" t="str">
        <f aca="true">IF(AND($G114&lt;&gt;"",$P114="",$R114=""),IF(TODAY()&gt;$G114,"⚑",""),"")</f>
        <v/>
      </c>
      <c r="AA114" s="34" t="str">
        <f aca="true">IF(AND($E114&lt;&gt;"",$P114="",$R114=""),IF(TODAY()-MAX($E114,$H114,$M114,$S114)&gt;7,"⚑",""),"")</f>
        <v/>
      </c>
      <c r="AB114" s="34" t="str">
        <f aca="false">IF(OR($P114="",$G114=""),"",IF($P114&lt;=$G114,"Có","Không"))</f>
        <v/>
      </c>
      <c r="AC114" s="34" t="str">
        <f aca="false">IF(OR($P114="",$E114=""),"",$P114-$E114)</f>
        <v/>
      </c>
      <c r="AD114" s="35" t="str">
        <f aca="false">IF($A114="","",COUNTIF(CASE!$B$3:$B$202,$A114))</f>
        <v/>
      </c>
      <c r="AE114" s="34" t="str">
        <f aca="false">IF(OR($I114="",$E114=""),"",$I114-$E114)</f>
        <v/>
      </c>
      <c r="AF114" s="34" t="str">
        <f aca="false">IF(OR($K114="",$I114=""),"",$K114-$I114)</f>
        <v/>
      </c>
      <c r="AG114" s="34" t="str">
        <f aca="false">IF(OR($L114="",$K114=""),"",$L114-$K114)</f>
        <v/>
      </c>
      <c r="AH114" s="34" t="str">
        <f aca="false">IF(OR($M114="",$L114=""),"",$M114-$L114)</f>
        <v/>
      </c>
      <c r="AI114" s="34" t="str">
        <f aca="false">IF(OR($P114="",$M114=""),"",$P114-$M114)</f>
        <v/>
      </c>
    </row>
    <row r="115" customFormat="false" ht="15" hidden="false" customHeight="false" outlineLevel="0" collapsed="false">
      <c r="A115" s="29"/>
      <c r="B115" s="29"/>
      <c r="C115" s="29"/>
      <c r="D115" s="30"/>
      <c r="E115" s="31"/>
      <c r="F115" s="32" t="str">
        <f aca="false">IF($E115="","",$E115+7*IFERROR(VLOOKUP($B115,DS!$K$2:$M$4,2,FALSE()),12))</f>
        <v/>
      </c>
      <c r="G115" s="32" t="str">
        <f aca="false">IF($E115="","",$E115+7*IFERROR(VLOOKUP($B115,DS!$K$2:$M$4,3,FALSE()),12))</f>
        <v/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3" t="str">
        <f aca="false">IF($A115="","",IF($R115&lt;&gt;"","95 Hủy/hoàn",IF($Q115&lt;&gt;"","99 Đóng",IF($P115&lt;&gt;"","90 Đã giao",IF($O115&lt;&gt;"","80 Đang giao",IF($N115&lt;&gt;"","70 Thông quan",IF($M115&lt;&gt;"","60 Đã xuất",IF($L115&lt;&gt;"","50 QC đạt",IF($K115&lt;&gt;"","40 NCC đã gửi",IF($I115&lt;&gt;"","30 Đã đặt NCC",IF($H115&lt;&gt;"","20 Đã xác nhận","10 Mới")))))))))))</f>
        <v/>
      </c>
      <c r="U115" s="33" t="str">
        <f aca="false">IF($T115="","",IFERROR(VLOOKUP($T115,DS!$A$2:$B$12,2,FALSE()),""))</f>
        <v/>
      </c>
      <c r="V115" s="34" t="str">
        <f aca="true">IF(OR($T115="",LEFT($T115,2)="99",LEFT($T115,2)="95"),"",TODAY()-MAX($E115,$H115:$P115))</f>
        <v/>
      </c>
      <c r="W115" s="34" t="str">
        <f aca="true">IF(AND($E115&lt;&gt;"",$I115="",$R115=""),IF(TODAY()-$E115&gt;1,"⚑",""),"")</f>
        <v/>
      </c>
      <c r="X115" s="34" t="str">
        <f aca="true">IF(AND($J115&lt;&gt;"",$K115="",$R115=""),IF(TODAY()-$J115&gt;2,"⚑",""),"")</f>
        <v/>
      </c>
      <c r="Y115" s="34" t="str">
        <f aca="true">IF(AND($G115&lt;&gt;"",$M115="",$R115=""),IF(AND($G115-TODAY()&lt;=14,$G115&gt;=TODAY()),"⚑",""),"")</f>
        <v/>
      </c>
      <c r="Z115" s="34" t="str">
        <f aca="true">IF(AND($G115&lt;&gt;"",$P115="",$R115=""),IF(TODAY()&gt;$G115,"⚑",""),"")</f>
        <v/>
      </c>
      <c r="AA115" s="34" t="str">
        <f aca="true">IF(AND($E115&lt;&gt;"",$P115="",$R115=""),IF(TODAY()-MAX($E115,$H115,$M115,$S115)&gt;7,"⚑",""),"")</f>
        <v/>
      </c>
      <c r="AB115" s="34" t="str">
        <f aca="false">IF(OR($P115="",$G115=""),"",IF($P115&lt;=$G115,"Có","Không"))</f>
        <v/>
      </c>
      <c r="AC115" s="34" t="str">
        <f aca="false">IF(OR($P115="",$E115=""),"",$P115-$E115)</f>
        <v/>
      </c>
      <c r="AD115" s="35" t="str">
        <f aca="false">IF($A115="","",COUNTIF(CASE!$B$3:$B$202,$A115))</f>
        <v/>
      </c>
      <c r="AE115" s="34" t="str">
        <f aca="false">IF(OR($I115="",$E115=""),"",$I115-$E115)</f>
        <v/>
      </c>
      <c r="AF115" s="34" t="str">
        <f aca="false">IF(OR($K115="",$I115=""),"",$K115-$I115)</f>
        <v/>
      </c>
      <c r="AG115" s="34" t="str">
        <f aca="false">IF(OR($L115="",$K115=""),"",$L115-$K115)</f>
        <v/>
      </c>
      <c r="AH115" s="34" t="str">
        <f aca="false">IF(OR($M115="",$L115=""),"",$M115-$L115)</f>
        <v/>
      </c>
      <c r="AI115" s="34" t="str">
        <f aca="false">IF(OR($P115="",$M115=""),"",$P115-$M115)</f>
        <v/>
      </c>
    </row>
    <row r="116" customFormat="false" ht="15" hidden="false" customHeight="false" outlineLevel="0" collapsed="false">
      <c r="A116" s="29"/>
      <c r="B116" s="29"/>
      <c r="C116" s="29"/>
      <c r="D116" s="30"/>
      <c r="E116" s="31"/>
      <c r="F116" s="32" t="str">
        <f aca="false">IF($E116="","",$E116+7*IFERROR(VLOOKUP($B116,DS!$K$2:$M$4,2,FALSE()),12))</f>
        <v/>
      </c>
      <c r="G116" s="32" t="str">
        <f aca="false">IF($E116="","",$E116+7*IFERROR(VLOOKUP($B116,DS!$K$2:$M$4,3,FALSE()),12))</f>
        <v/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3" t="str">
        <f aca="false">IF($A116="","",IF($R116&lt;&gt;"","95 Hủy/hoàn",IF($Q116&lt;&gt;"","99 Đóng",IF($P116&lt;&gt;"","90 Đã giao",IF($O116&lt;&gt;"","80 Đang giao",IF($N116&lt;&gt;"","70 Thông quan",IF($M116&lt;&gt;"","60 Đã xuất",IF($L116&lt;&gt;"","50 QC đạt",IF($K116&lt;&gt;"","40 NCC đã gửi",IF($I116&lt;&gt;"","30 Đã đặt NCC",IF($H116&lt;&gt;"","20 Đã xác nhận","10 Mới")))))))))))</f>
        <v/>
      </c>
      <c r="U116" s="33" t="str">
        <f aca="false">IF($T116="","",IFERROR(VLOOKUP($T116,DS!$A$2:$B$12,2,FALSE()),""))</f>
        <v/>
      </c>
      <c r="V116" s="34" t="str">
        <f aca="true">IF(OR($T116="",LEFT($T116,2)="99",LEFT($T116,2)="95"),"",TODAY()-MAX($E116,$H116:$P116))</f>
        <v/>
      </c>
      <c r="W116" s="34" t="str">
        <f aca="true">IF(AND($E116&lt;&gt;"",$I116="",$R116=""),IF(TODAY()-$E116&gt;1,"⚑",""),"")</f>
        <v/>
      </c>
      <c r="X116" s="34" t="str">
        <f aca="true">IF(AND($J116&lt;&gt;"",$K116="",$R116=""),IF(TODAY()-$J116&gt;2,"⚑",""),"")</f>
        <v/>
      </c>
      <c r="Y116" s="34" t="str">
        <f aca="true">IF(AND($G116&lt;&gt;"",$M116="",$R116=""),IF(AND($G116-TODAY()&lt;=14,$G116&gt;=TODAY()),"⚑",""),"")</f>
        <v/>
      </c>
      <c r="Z116" s="34" t="str">
        <f aca="true">IF(AND($G116&lt;&gt;"",$P116="",$R116=""),IF(TODAY()&gt;$G116,"⚑",""),"")</f>
        <v/>
      </c>
      <c r="AA116" s="34" t="str">
        <f aca="true">IF(AND($E116&lt;&gt;"",$P116="",$R116=""),IF(TODAY()-MAX($E116,$H116,$M116,$S116)&gt;7,"⚑",""),"")</f>
        <v/>
      </c>
      <c r="AB116" s="34" t="str">
        <f aca="false">IF(OR($P116="",$G116=""),"",IF($P116&lt;=$G116,"Có","Không"))</f>
        <v/>
      </c>
      <c r="AC116" s="34" t="str">
        <f aca="false">IF(OR($P116="",$E116=""),"",$P116-$E116)</f>
        <v/>
      </c>
      <c r="AD116" s="35" t="str">
        <f aca="false">IF($A116="","",COUNTIF(CASE!$B$3:$B$202,$A116))</f>
        <v/>
      </c>
      <c r="AE116" s="34" t="str">
        <f aca="false">IF(OR($I116="",$E116=""),"",$I116-$E116)</f>
        <v/>
      </c>
      <c r="AF116" s="34" t="str">
        <f aca="false">IF(OR($K116="",$I116=""),"",$K116-$I116)</f>
        <v/>
      </c>
      <c r="AG116" s="34" t="str">
        <f aca="false">IF(OR($L116="",$K116=""),"",$L116-$K116)</f>
        <v/>
      </c>
      <c r="AH116" s="34" t="str">
        <f aca="false">IF(OR($M116="",$L116=""),"",$M116-$L116)</f>
        <v/>
      </c>
      <c r="AI116" s="34" t="str">
        <f aca="false">IF(OR($P116="",$M116=""),"",$P116-$M116)</f>
        <v/>
      </c>
    </row>
    <row r="117" customFormat="false" ht="15" hidden="false" customHeight="false" outlineLevel="0" collapsed="false">
      <c r="A117" s="29"/>
      <c r="B117" s="29"/>
      <c r="C117" s="29"/>
      <c r="D117" s="30"/>
      <c r="E117" s="31"/>
      <c r="F117" s="32" t="str">
        <f aca="false">IF($E117="","",$E117+7*IFERROR(VLOOKUP($B117,DS!$K$2:$M$4,2,FALSE()),12))</f>
        <v/>
      </c>
      <c r="G117" s="32" t="str">
        <f aca="false">IF($E117="","",$E117+7*IFERROR(VLOOKUP($B117,DS!$K$2:$M$4,3,FALSE()),12))</f>
        <v/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3" t="str">
        <f aca="false">IF($A117="","",IF($R117&lt;&gt;"","95 Hủy/hoàn",IF($Q117&lt;&gt;"","99 Đóng",IF($P117&lt;&gt;"","90 Đã giao",IF($O117&lt;&gt;"","80 Đang giao",IF($N117&lt;&gt;"","70 Thông quan",IF($M117&lt;&gt;"","60 Đã xuất",IF($L117&lt;&gt;"","50 QC đạt",IF($K117&lt;&gt;"","40 NCC đã gửi",IF($I117&lt;&gt;"","30 Đã đặt NCC",IF($H117&lt;&gt;"","20 Đã xác nhận","10 Mới")))))))))))</f>
        <v/>
      </c>
      <c r="U117" s="33" t="str">
        <f aca="false">IF($T117="","",IFERROR(VLOOKUP($T117,DS!$A$2:$B$12,2,FALSE()),""))</f>
        <v/>
      </c>
      <c r="V117" s="34" t="str">
        <f aca="true">IF(OR($T117="",LEFT($T117,2)="99",LEFT($T117,2)="95"),"",TODAY()-MAX($E117,$H117:$P117))</f>
        <v/>
      </c>
      <c r="W117" s="34" t="str">
        <f aca="true">IF(AND($E117&lt;&gt;"",$I117="",$R117=""),IF(TODAY()-$E117&gt;1,"⚑",""),"")</f>
        <v/>
      </c>
      <c r="X117" s="34" t="str">
        <f aca="true">IF(AND($J117&lt;&gt;"",$K117="",$R117=""),IF(TODAY()-$J117&gt;2,"⚑",""),"")</f>
        <v/>
      </c>
      <c r="Y117" s="34" t="str">
        <f aca="true">IF(AND($G117&lt;&gt;"",$M117="",$R117=""),IF(AND($G117-TODAY()&lt;=14,$G117&gt;=TODAY()),"⚑",""),"")</f>
        <v/>
      </c>
      <c r="Z117" s="34" t="str">
        <f aca="true">IF(AND($G117&lt;&gt;"",$P117="",$R117=""),IF(TODAY()&gt;$G117,"⚑",""),"")</f>
        <v/>
      </c>
      <c r="AA117" s="34" t="str">
        <f aca="true">IF(AND($E117&lt;&gt;"",$P117="",$R117=""),IF(TODAY()-MAX($E117,$H117,$M117,$S117)&gt;7,"⚑",""),"")</f>
        <v/>
      </c>
      <c r="AB117" s="34" t="str">
        <f aca="false">IF(OR($P117="",$G117=""),"",IF($P117&lt;=$G117,"Có","Không"))</f>
        <v/>
      </c>
      <c r="AC117" s="34" t="str">
        <f aca="false">IF(OR($P117="",$E117=""),"",$P117-$E117)</f>
        <v/>
      </c>
      <c r="AD117" s="35" t="str">
        <f aca="false">IF($A117="","",COUNTIF(CASE!$B$3:$B$202,$A117))</f>
        <v/>
      </c>
      <c r="AE117" s="34" t="str">
        <f aca="false">IF(OR($I117="",$E117=""),"",$I117-$E117)</f>
        <v/>
      </c>
      <c r="AF117" s="34" t="str">
        <f aca="false">IF(OR($K117="",$I117=""),"",$K117-$I117)</f>
        <v/>
      </c>
      <c r="AG117" s="34" t="str">
        <f aca="false">IF(OR($L117="",$K117=""),"",$L117-$K117)</f>
        <v/>
      </c>
      <c r="AH117" s="34" t="str">
        <f aca="false">IF(OR($M117="",$L117=""),"",$M117-$L117)</f>
        <v/>
      </c>
      <c r="AI117" s="34" t="str">
        <f aca="false">IF(OR($P117="",$M117=""),"",$P117-$M117)</f>
        <v/>
      </c>
    </row>
    <row r="118" customFormat="false" ht="15" hidden="false" customHeight="false" outlineLevel="0" collapsed="false">
      <c r="A118" s="29"/>
      <c r="B118" s="29"/>
      <c r="C118" s="29"/>
      <c r="D118" s="30"/>
      <c r="E118" s="31"/>
      <c r="F118" s="32" t="str">
        <f aca="false">IF($E118="","",$E118+7*IFERROR(VLOOKUP($B118,DS!$K$2:$M$4,2,FALSE()),12))</f>
        <v/>
      </c>
      <c r="G118" s="32" t="str">
        <f aca="false">IF($E118="","",$E118+7*IFERROR(VLOOKUP($B118,DS!$K$2:$M$4,3,FALSE()),12))</f>
        <v/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3" t="str">
        <f aca="false">IF($A118="","",IF($R118&lt;&gt;"","95 Hủy/hoàn",IF($Q118&lt;&gt;"","99 Đóng",IF($P118&lt;&gt;"","90 Đã giao",IF($O118&lt;&gt;"","80 Đang giao",IF($N118&lt;&gt;"","70 Thông quan",IF($M118&lt;&gt;"","60 Đã xuất",IF($L118&lt;&gt;"","50 QC đạt",IF($K118&lt;&gt;"","40 NCC đã gửi",IF($I118&lt;&gt;"","30 Đã đặt NCC",IF($H118&lt;&gt;"","20 Đã xác nhận","10 Mới")))))))))))</f>
        <v/>
      </c>
      <c r="U118" s="33" t="str">
        <f aca="false">IF($T118="","",IFERROR(VLOOKUP($T118,DS!$A$2:$B$12,2,FALSE()),""))</f>
        <v/>
      </c>
      <c r="V118" s="34" t="str">
        <f aca="true">IF(OR($T118="",LEFT($T118,2)="99",LEFT($T118,2)="95"),"",TODAY()-MAX($E118,$H118:$P118))</f>
        <v/>
      </c>
      <c r="W118" s="34" t="str">
        <f aca="true">IF(AND($E118&lt;&gt;"",$I118="",$R118=""),IF(TODAY()-$E118&gt;1,"⚑",""),"")</f>
        <v/>
      </c>
      <c r="X118" s="34" t="str">
        <f aca="true">IF(AND($J118&lt;&gt;"",$K118="",$R118=""),IF(TODAY()-$J118&gt;2,"⚑",""),"")</f>
        <v/>
      </c>
      <c r="Y118" s="34" t="str">
        <f aca="true">IF(AND($G118&lt;&gt;"",$M118="",$R118=""),IF(AND($G118-TODAY()&lt;=14,$G118&gt;=TODAY()),"⚑",""),"")</f>
        <v/>
      </c>
      <c r="Z118" s="34" t="str">
        <f aca="true">IF(AND($G118&lt;&gt;"",$P118="",$R118=""),IF(TODAY()&gt;$G118,"⚑",""),"")</f>
        <v/>
      </c>
      <c r="AA118" s="34" t="str">
        <f aca="true">IF(AND($E118&lt;&gt;"",$P118="",$R118=""),IF(TODAY()-MAX($E118,$H118,$M118,$S118)&gt;7,"⚑",""),"")</f>
        <v/>
      </c>
      <c r="AB118" s="34" t="str">
        <f aca="false">IF(OR($P118="",$G118=""),"",IF($P118&lt;=$G118,"Có","Không"))</f>
        <v/>
      </c>
      <c r="AC118" s="34" t="str">
        <f aca="false">IF(OR($P118="",$E118=""),"",$P118-$E118)</f>
        <v/>
      </c>
      <c r="AD118" s="35" t="str">
        <f aca="false">IF($A118="","",COUNTIF(CASE!$B$3:$B$202,$A118))</f>
        <v/>
      </c>
      <c r="AE118" s="34" t="str">
        <f aca="false">IF(OR($I118="",$E118=""),"",$I118-$E118)</f>
        <v/>
      </c>
      <c r="AF118" s="34" t="str">
        <f aca="false">IF(OR($K118="",$I118=""),"",$K118-$I118)</f>
        <v/>
      </c>
      <c r="AG118" s="34" t="str">
        <f aca="false">IF(OR($L118="",$K118=""),"",$L118-$K118)</f>
        <v/>
      </c>
      <c r="AH118" s="34" t="str">
        <f aca="false">IF(OR($M118="",$L118=""),"",$M118-$L118)</f>
        <v/>
      </c>
      <c r="AI118" s="34" t="str">
        <f aca="false">IF(OR($P118="",$M118=""),"",$P118-$M118)</f>
        <v/>
      </c>
    </row>
    <row r="119" customFormat="false" ht="15" hidden="false" customHeight="false" outlineLevel="0" collapsed="false">
      <c r="A119" s="29"/>
      <c r="B119" s="29"/>
      <c r="C119" s="29"/>
      <c r="D119" s="30"/>
      <c r="E119" s="31"/>
      <c r="F119" s="32" t="str">
        <f aca="false">IF($E119="","",$E119+7*IFERROR(VLOOKUP($B119,DS!$K$2:$M$4,2,FALSE()),12))</f>
        <v/>
      </c>
      <c r="G119" s="32" t="str">
        <f aca="false">IF($E119="","",$E119+7*IFERROR(VLOOKUP($B119,DS!$K$2:$M$4,3,FALSE()),12))</f>
        <v/>
      </c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3" t="str">
        <f aca="false">IF($A119="","",IF($R119&lt;&gt;"","95 Hủy/hoàn",IF($Q119&lt;&gt;"","99 Đóng",IF($P119&lt;&gt;"","90 Đã giao",IF($O119&lt;&gt;"","80 Đang giao",IF($N119&lt;&gt;"","70 Thông quan",IF($M119&lt;&gt;"","60 Đã xuất",IF($L119&lt;&gt;"","50 QC đạt",IF($K119&lt;&gt;"","40 NCC đã gửi",IF($I119&lt;&gt;"","30 Đã đặt NCC",IF($H119&lt;&gt;"","20 Đã xác nhận","10 Mới")))))))))))</f>
        <v/>
      </c>
      <c r="U119" s="33" t="str">
        <f aca="false">IF($T119="","",IFERROR(VLOOKUP($T119,DS!$A$2:$B$12,2,FALSE()),""))</f>
        <v/>
      </c>
      <c r="V119" s="34" t="str">
        <f aca="true">IF(OR($T119="",LEFT($T119,2)="99",LEFT($T119,2)="95"),"",TODAY()-MAX($E119,$H119:$P119))</f>
        <v/>
      </c>
      <c r="W119" s="34" t="str">
        <f aca="true">IF(AND($E119&lt;&gt;"",$I119="",$R119=""),IF(TODAY()-$E119&gt;1,"⚑",""),"")</f>
        <v/>
      </c>
      <c r="X119" s="34" t="str">
        <f aca="true">IF(AND($J119&lt;&gt;"",$K119="",$R119=""),IF(TODAY()-$J119&gt;2,"⚑",""),"")</f>
        <v/>
      </c>
      <c r="Y119" s="34" t="str">
        <f aca="true">IF(AND($G119&lt;&gt;"",$M119="",$R119=""),IF(AND($G119-TODAY()&lt;=14,$G119&gt;=TODAY()),"⚑",""),"")</f>
        <v/>
      </c>
      <c r="Z119" s="34" t="str">
        <f aca="true">IF(AND($G119&lt;&gt;"",$P119="",$R119=""),IF(TODAY()&gt;$G119,"⚑",""),"")</f>
        <v/>
      </c>
      <c r="AA119" s="34" t="str">
        <f aca="true">IF(AND($E119&lt;&gt;"",$P119="",$R119=""),IF(TODAY()-MAX($E119,$H119,$M119,$S119)&gt;7,"⚑",""),"")</f>
        <v/>
      </c>
      <c r="AB119" s="34" t="str">
        <f aca="false">IF(OR($P119="",$G119=""),"",IF($P119&lt;=$G119,"Có","Không"))</f>
        <v/>
      </c>
      <c r="AC119" s="34" t="str">
        <f aca="false">IF(OR($P119="",$E119=""),"",$P119-$E119)</f>
        <v/>
      </c>
      <c r="AD119" s="35" t="str">
        <f aca="false">IF($A119="","",COUNTIF(CASE!$B$3:$B$202,$A119))</f>
        <v/>
      </c>
      <c r="AE119" s="34" t="str">
        <f aca="false">IF(OR($I119="",$E119=""),"",$I119-$E119)</f>
        <v/>
      </c>
      <c r="AF119" s="34" t="str">
        <f aca="false">IF(OR($K119="",$I119=""),"",$K119-$I119)</f>
        <v/>
      </c>
      <c r="AG119" s="34" t="str">
        <f aca="false">IF(OR($L119="",$K119=""),"",$L119-$K119)</f>
        <v/>
      </c>
      <c r="AH119" s="34" t="str">
        <f aca="false">IF(OR($M119="",$L119=""),"",$M119-$L119)</f>
        <v/>
      </c>
      <c r="AI119" s="34" t="str">
        <f aca="false">IF(OR($P119="",$M119=""),"",$P119-$M119)</f>
        <v/>
      </c>
    </row>
    <row r="120" customFormat="false" ht="15" hidden="false" customHeight="false" outlineLevel="0" collapsed="false">
      <c r="A120" s="29"/>
      <c r="B120" s="29"/>
      <c r="C120" s="29"/>
      <c r="D120" s="30"/>
      <c r="E120" s="31"/>
      <c r="F120" s="32" t="str">
        <f aca="false">IF($E120="","",$E120+7*IFERROR(VLOOKUP($B120,DS!$K$2:$M$4,2,FALSE()),12))</f>
        <v/>
      </c>
      <c r="G120" s="32" t="str">
        <f aca="false">IF($E120="","",$E120+7*IFERROR(VLOOKUP($B120,DS!$K$2:$M$4,3,FALSE()),12))</f>
        <v/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3" t="str">
        <f aca="false">IF($A120="","",IF($R120&lt;&gt;"","95 Hủy/hoàn",IF($Q120&lt;&gt;"","99 Đóng",IF($P120&lt;&gt;"","90 Đã giao",IF($O120&lt;&gt;"","80 Đang giao",IF($N120&lt;&gt;"","70 Thông quan",IF($M120&lt;&gt;"","60 Đã xuất",IF($L120&lt;&gt;"","50 QC đạt",IF($K120&lt;&gt;"","40 NCC đã gửi",IF($I120&lt;&gt;"","30 Đã đặt NCC",IF($H120&lt;&gt;"","20 Đã xác nhận","10 Mới")))))))))))</f>
        <v/>
      </c>
      <c r="U120" s="33" t="str">
        <f aca="false">IF($T120="","",IFERROR(VLOOKUP($T120,DS!$A$2:$B$12,2,FALSE()),""))</f>
        <v/>
      </c>
      <c r="V120" s="34" t="str">
        <f aca="true">IF(OR($T120="",LEFT($T120,2)="99",LEFT($T120,2)="95"),"",TODAY()-MAX($E120,$H120:$P120))</f>
        <v/>
      </c>
      <c r="W120" s="34" t="str">
        <f aca="true">IF(AND($E120&lt;&gt;"",$I120="",$R120=""),IF(TODAY()-$E120&gt;1,"⚑",""),"")</f>
        <v/>
      </c>
      <c r="X120" s="34" t="str">
        <f aca="true">IF(AND($J120&lt;&gt;"",$K120="",$R120=""),IF(TODAY()-$J120&gt;2,"⚑",""),"")</f>
        <v/>
      </c>
      <c r="Y120" s="34" t="str">
        <f aca="true">IF(AND($G120&lt;&gt;"",$M120="",$R120=""),IF(AND($G120-TODAY()&lt;=14,$G120&gt;=TODAY()),"⚑",""),"")</f>
        <v/>
      </c>
      <c r="Z120" s="34" t="str">
        <f aca="true">IF(AND($G120&lt;&gt;"",$P120="",$R120=""),IF(TODAY()&gt;$G120,"⚑",""),"")</f>
        <v/>
      </c>
      <c r="AA120" s="34" t="str">
        <f aca="true">IF(AND($E120&lt;&gt;"",$P120="",$R120=""),IF(TODAY()-MAX($E120,$H120,$M120,$S120)&gt;7,"⚑",""),"")</f>
        <v/>
      </c>
      <c r="AB120" s="34" t="str">
        <f aca="false">IF(OR($P120="",$G120=""),"",IF($P120&lt;=$G120,"Có","Không"))</f>
        <v/>
      </c>
      <c r="AC120" s="34" t="str">
        <f aca="false">IF(OR($P120="",$E120=""),"",$P120-$E120)</f>
        <v/>
      </c>
      <c r="AD120" s="35" t="str">
        <f aca="false">IF($A120="","",COUNTIF(CASE!$B$3:$B$202,$A120))</f>
        <v/>
      </c>
      <c r="AE120" s="34" t="str">
        <f aca="false">IF(OR($I120="",$E120=""),"",$I120-$E120)</f>
        <v/>
      </c>
      <c r="AF120" s="34" t="str">
        <f aca="false">IF(OR($K120="",$I120=""),"",$K120-$I120)</f>
        <v/>
      </c>
      <c r="AG120" s="34" t="str">
        <f aca="false">IF(OR($L120="",$K120=""),"",$L120-$K120)</f>
        <v/>
      </c>
      <c r="AH120" s="34" t="str">
        <f aca="false">IF(OR($M120="",$L120=""),"",$M120-$L120)</f>
        <v/>
      </c>
      <c r="AI120" s="34" t="str">
        <f aca="false">IF(OR($P120="",$M120=""),"",$P120-$M120)</f>
        <v/>
      </c>
    </row>
    <row r="121" customFormat="false" ht="15" hidden="false" customHeight="false" outlineLevel="0" collapsed="false">
      <c r="A121" s="29"/>
      <c r="B121" s="29"/>
      <c r="C121" s="29"/>
      <c r="D121" s="30"/>
      <c r="E121" s="31"/>
      <c r="F121" s="32" t="str">
        <f aca="false">IF($E121="","",$E121+7*IFERROR(VLOOKUP($B121,DS!$K$2:$M$4,2,FALSE()),12))</f>
        <v/>
      </c>
      <c r="G121" s="32" t="str">
        <f aca="false">IF($E121="","",$E121+7*IFERROR(VLOOKUP($B121,DS!$K$2:$M$4,3,FALSE()),12))</f>
        <v/>
      </c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3" t="str">
        <f aca="false">IF($A121="","",IF($R121&lt;&gt;"","95 Hủy/hoàn",IF($Q121&lt;&gt;"","99 Đóng",IF($P121&lt;&gt;"","90 Đã giao",IF($O121&lt;&gt;"","80 Đang giao",IF($N121&lt;&gt;"","70 Thông quan",IF($M121&lt;&gt;"","60 Đã xuất",IF($L121&lt;&gt;"","50 QC đạt",IF($K121&lt;&gt;"","40 NCC đã gửi",IF($I121&lt;&gt;"","30 Đã đặt NCC",IF($H121&lt;&gt;"","20 Đã xác nhận","10 Mới")))))))))))</f>
        <v/>
      </c>
      <c r="U121" s="33" t="str">
        <f aca="false">IF($T121="","",IFERROR(VLOOKUP($T121,DS!$A$2:$B$12,2,FALSE()),""))</f>
        <v/>
      </c>
      <c r="V121" s="34" t="str">
        <f aca="true">IF(OR($T121="",LEFT($T121,2)="99",LEFT($T121,2)="95"),"",TODAY()-MAX($E121,$H121:$P121))</f>
        <v/>
      </c>
      <c r="W121" s="34" t="str">
        <f aca="true">IF(AND($E121&lt;&gt;"",$I121="",$R121=""),IF(TODAY()-$E121&gt;1,"⚑",""),"")</f>
        <v/>
      </c>
      <c r="X121" s="34" t="str">
        <f aca="true">IF(AND($J121&lt;&gt;"",$K121="",$R121=""),IF(TODAY()-$J121&gt;2,"⚑",""),"")</f>
        <v/>
      </c>
      <c r="Y121" s="34" t="str">
        <f aca="true">IF(AND($G121&lt;&gt;"",$M121="",$R121=""),IF(AND($G121-TODAY()&lt;=14,$G121&gt;=TODAY()),"⚑",""),"")</f>
        <v/>
      </c>
      <c r="Z121" s="34" t="str">
        <f aca="true">IF(AND($G121&lt;&gt;"",$P121="",$R121=""),IF(TODAY()&gt;$G121,"⚑",""),"")</f>
        <v/>
      </c>
      <c r="AA121" s="34" t="str">
        <f aca="true">IF(AND($E121&lt;&gt;"",$P121="",$R121=""),IF(TODAY()-MAX($E121,$H121,$M121,$S121)&gt;7,"⚑",""),"")</f>
        <v/>
      </c>
      <c r="AB121" s="34" t="str">
        <f aca="false">IF(OR($P121="",$G121=""),"",IF($P121&lt;=$G121,"Có","Không"))</f>
        <v/>
      </c>
      <c r="AC121" s="34" t="str">
        <f aca="false">IF(OR($P121="",$E121=""),"",$P121-$E121)</f>
        <v/>
      </c>
      <c r="AD121" s="35" t="str">
        <f aca="false">IF($A121="","",COUNTIF(CASE!$B$3:$B$202,$A121))</f>
        <v/>
      </c>
      <c r="AE121" s="34" t="str">
        <f aca="false">IF(OR($I121="",$E121=""),"",$I121-$E121)</f>
        <v/>
      </c>
      <c r="AF121" s="34" t="str">
        <f aca="false">IF(OR($K121="",$I121=""),"",$K121-$I121)</f>
        <v/>
      </c>
      <c r="AG121" s="34" t="str">
        <f aca="false">IF(OR($L121="",$K121=""),"",$L121-$K121)</f>
        <v/>
      </c>
      <c r="AH121" s="34" t="str">
        <f aca="false">IF(OR($M121="",$L121=""),"",$M121-$L121)</f>
        <v/>
      </c>
      <c r="AI121" s="34" t="str">
        <f aca="false">IF(OR($P121="",$M121=""),"",$P121-$M121)</f>
        <v/>
      </c>
    </row>
    <row r="122" customFormat="false" ht="15" hidden="false" customHeight="false" outlineLevel="0" collapsed="false">
      <c r="A122" s="29"/>
      <c r="B122" s="29"/>
      <c r="C122" s="29"/>
      <c r="D122" s="30"/>
      <c r="E122" s="31"/>
      <c r="F122" s="32" t="str">
        <f aca="false">IF($E122="","",$E122+7*IFERROR(VLOOKUP($B122,DS!$K$2:$M$4,2,FALSE()),12))</f>
        <v/>
      </c>
      <c r="G122" s="32" t="str">
        <f aca="false">IF($E122="","",$E122+7*IFERROR(VLOOKUP($B122,DS!$K$2:$M$4,3,FALSE()),12))</f>
        <v/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3" t="str">
        <f aca="false">IF($A122="","",IF($R122&lt;&gt;"","95 Hủy/hoàn",IF($Q122&lt;&gt;"","99 Đóng",IF($P122&lt;&gt;"","90 Đã giao",IF($O122&lt;&gt;"","80 Đang giao",IF($N122&lt;&gt;"","70 Thông quan",IF($M122&lt;&gt;"","60 Đã xuất",IF($L122&lt;&gt;"","50 QC đạt",IF($K122&lt;&gt;"","40 NCC đã gửi",IF($I122&lt;&gt;"","30 Đã đặt NCC",IF($H122&lt;&gt;"","20 Đã xác nhận","10 Mới")))))))))))</f>
        <v/>
      </c>
      <c r="U122" s="33" t="str">
        <f aca="false">IF($T122="","",IFERROR(VLOOKUP($T122,DS!$A$2:$B$12,2,FALSE()),""))</f>
        <v/>
      </c>
      <c r="V122" s="34" t="str">
        <f aca="true">IF(OR($T122="",LEFT($T122,2)="99",LEFT($T122,2)="95"),"",TODAY()-MAX($E122,$H122:$P122))</f>
        <v/>
      </c>
      <c r="W122" s="34" t="str">
        <f aca="true">IF(AND($E122&lt;&gt;"",$I122="",$R122=""),IF(TODAY()-$E122&gt;1,"⚑",""),"")</f>
        <v/>
      </c>
      <c r="X122" s="34" t="str">
        <f aca="true">IF(AND($J122&lt;&gt;"",$K122="",$R122=""),IF(TODAY()-$J122&gt;2,"⚑",""),"")</f>
        <v/>
      </c>
      <c r="Y122" s="34" t="str">
        <f aca="true">IF(AND($G122&lt;&gt;"",$M122="",$R122=""),IF(AND($G122-TODAY()&lt;=14,$G122&gt;=TODAY()),"⚑",""),"")</f>
        <v/>
      </c>
      <c r="Z122" s="34" t="str">
        <f aca="true">IF(AND($G122&lt;&gt;"",$P122="",$R122=""),IF(TODAY()&gt;$G122,"⚑",""),"")</f>
        <v/>
      </c>
      <c r="AA122" s="34" t="str">
        <f aca="true">IF(AND($E122&lt;&gt;"",$P122="",$R122=""),IF(TODAY()-MAX($E122,$H122,$M122,$S122)&gt;7,"⚑",""),"")</f>
        <v/>
      </c>
      <c r="AB122" s="34" t="str">
        <f aca="false">IF(OR($P122="",$G122=""),"",IF($P122&lt;=$G122,"Có","Không"))</f>
        <v/>
      </c>
      <c r="AC122" s="34" t="str">
        <f aca="false">IF(OR($P122="",$E122=""),"",$P122-$E122)</f>
        <v/>
      </c>
      <c r="AD122" s="35" t="str">
        <f aca="false">IF($A122="","",COUNTIF(CASE!$B$3:$B$202,$A122))</f>
        <v/>
      </c>
      <c r="AE122" s="34" t="str">
        <f aca="false">IF(OR($I122="",$E122=""),"",$I122-$E122)</f>
        <v/>
      </c>
      <c r="AF122" s="34" t="str">
        <f aca="false">IF(OR($K122="",$I122=""),"",$K122-$I122)</f>
        <v/>
      </c>
      <c r="AG122" s="34" t="str">
        <f aca="false">IF(OR($L122="",$K122=""),"",$L122-$K122)</f>
        <v/>
      </c>
      <c r="AH122" s="34" t="str">
        <f aca="false">IF(OR($M122="",$L122=""),"",$M122-$L122)</f>
        <v/>
      </c>
      <c r="AI122" s="34" t="str">
        <f aca="false">IF(OR($P122="",$M122=""),"",$P122-$M122)</f>
        <v/>
      </c>
    </row>
    <row r="123" customFormat="false" ht="15" hidden="false" customHeight="false" outlineLevel="0" collapsed="false">
      <c r="A123" s="29"/>
      <c r="B123" s="29"/>
      <c r="C123" s="29"/>
      <c r="D123" s="30"/>
      <c r="E123" s="31"/>
      <c r="F123" s="32" t="str">
        <f aca="false">IF($E123="","",$E123+7*IFERROR(VLOOKUP($B123,DS!$K$2:$M$4,2,FALSE()),12))</f>
        <v/>
      </c>
      <c r="G123" s="32" t="str">
        <f aca="false">IF($E123="","",$E123+7*IFERROR(VLOOKUP($B123,DS!$K$2:$M$4,3,FALSE()),12))</f>
        <v/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3" t="str">
        <f aca="false">IF($A123="","",IF($R123&lt;&gt;"","95 Hủy/hoàn",IF($Q123&lt;&gt;"","99 Đóng",IF($P123&lt;&gt;"","90 Đã giao",IF($O123&lt;&gt;"","80 Đang giao",IF($N123&lt;&gt;"","70 Thông quan",IF($M123&lt;&gt;"","60 Đã xuất",IF($L123&lt;&gt;"","50 QC đạt",IF($K123&lt;&gt;"","40 NCC đã gửi",IF($I123&lt;&gt;"","30 Đã đặt NCC",IF($H123&lt;&gt;"","20 Đã xác nhận","10 Mới")))))))))))</f>
        <v/>
      </c>
      <c r="U123" s="33" t="str">
        <f aca="false">IF($T123="","",IFERROR(VLOOKUP($T123,DS!$A$2:$B$12,2,FALSE()),""))</f>
        <v/>
      </c>
      <c r="V123" s="34" t="str">
        <f aca="true">IF(OR($T123="",LEFT($T123,2)="99",LEFT($T123,2)="95"),"",TODAY()-MAX($E123,$H123:$P123))</f>
        <v/>
      </c>
      <c r="W123" s="34" t="str">
        <f aca="true">IF(AND($E123&lt;&gt;"",$I123="",$R123=""),IF(TODAY()-$E123&gt;1,"⚑",""),"")</f>
        <v/>
      </c>
      <c r="X123" s="34" t="str">
        <f aca="true">IF(AND($J123&lt;&gt;"",$K123="",$R123=""),IF(TODAY()-$J123&gt;2,"⚑",""),"")</f>
        <v/>
      </c>
      <c r="Y123" s="34" t="str">
        <f aca="true">IF(AND($G123&lt;&gt;"",$M123="",$R123=""),IF(AND($G123-TODAY()&lt;=14,$G123&gt;=TODAY()),"⚑",""),"")</f>
        <v/>
      </c>
      <c r="Z123" s="34" t="str">
        <f aca="true">IF(AND($G123&lt;&gt;"",$P123="",$R123=""),IF(TODAY()&gt;$G123,"⚑",""),"")</f>
        <v/>
      </c>
      <c r="AA123" s="34" t="str">
        <f aca="true">IF(AND($E123&lt;&gt;"",$P123="",$R123=""),IF(TODAY()-MAX($E123,$H123,$M123,$S123)&gt;7,"⚑",""),"")</f>
        <v/>
      </c>
      <c r="AB123" s="34" t="str">
        <f aca="false">IF(OR($P123="",$G123=""),"",IF($P123&lt;=$G123,"Có","Không"))</f>
        <v/>
      </c>
      <c r="AC123" s="34" t="str">
        <f aca="false">IF(OR($P123="",$E123=""),"",$P123-$E123)</f>
        <v/>
      </c>
      <c r="AD123" s="35" t="str">
        <f aca="false">IF($A123="","",COUNTIF(CASE!$B$3:$B$202,$A123))</f>
        <v/>
      </c>
      <c r="AE123" s="34" t="str">
        <f aca="false">IF(OR($I123="",$E123=""),"",$I123-$E123)</f>
        <v/>
      </c>
      <c r="AF123" s="34" t="str">
        <f aca="false">IF(OR($K123="",$I123=""),"",$K123-$I123)</f>
        <v/>
      </c>
      <c r="AG123" s="34" t="str">
        <f aca="false">IF(OR($L123="",$K123=""),"",$L123-$K123)</f>
        <v/>
      </c>
      <c r="AH123" s="34" t="str">
        <f aca="false">IF(OR($M123="",$L123=""),"",$M123-$L123)</f>
        <v/>
      </c>
      <c r="AI123" s="34" t="str">
        <f aca="false">IF(OR($P123="",$M123=""),"",$P123-$M123)</f>
        <v/>
      </c>
    </row>
    <row r="124" customFormat="false" ht="15" hidden="false" customHeight="false" outlineLevel="0" collapsed="false">
      <c r="A124" s="29"/>
      <c r="B124" s="29"/>
      <c r="C124" s="29"/>
      <c r="D124" s="30"/>
      <c r="E124" s="31"/>
      <c r="F124" s="32" t="str">
        <f aca="false">IF($E124="","",$E124+7*IFERROR(VLOOKUP($B124,DS!$K$2:$M$4,2,FALSE()),12))</f>
        <v/>
      </c>
      <c r="G124" s="32" t="str">
        <f aca="false">IF($E124="","",$E124+7*IFERROR(VLOOKUP($B124,DS!$K$2:$M$4,3,FALSE()),12))</f>
        <v/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3" t="str">
        <f aca="false">IF($A124="","",IF($R124&lt;&gt;"","95 Hủy/hoàn",IF($Q124&lt;&gt;"","99 Đóng",IF($P124&lt;&gt;"","90 Đã giao",IF($O124&lt;&gt;"","80 Đang giao",IF($N124&lt;&gt;"","70 Thông quan",IF($M124&lt;&gt;"","60 Đã xuất",IF($L124&lt;&gt;"","50 QC đạt",IF($K124&lt;&gt;"","40 NCC đã gửi",IF($I124&lt;&gt;"","30 Đã đặt NCC",IF($H124&lt;&gt;"","20 Đã xác nhận","10 Mới")))))))))))</f>
        <v/>
      </c>
      <c r="U124" s="33" t="str">
        <f aca="false">IF($T124="","",IFERROR(VLOOKUP($T124,DS!$A$2:$B$12,2,FALSE()),""))</f>
        <v/>
      </c>
      <c r="V124" s="34" t="str">
        <f aca="true">IF(OR($T124="",LEFT($T124,2)="99",LEFT($T124,2)="95"),"",TODAY()-MAX($E124,$H124:$P124))</f>
        <v/>
      </c>
      <c r="W124" s="34" t="str">
        <f aca="true">IF(AND($E124&lt;&gt;"",$I124="",$R124=""),IF(TODAY()-$E124&gt;1,"⚑",""),"")</f>
        <v/>
      </c>
      <c r="X124" s="34" t="str">
        <f aca="true">IF(AND($J124&lt;&gt;"",$K124="",$R124=""),IF(TODAY()-$J124&gt;2,"⚑",""),"")</f>
        <v/>
      </c>
      <c r="Y124" s="34" t="str">
        <f aca="true">IF(AND($G124&lt;&gt;"",$M124="",$R124=""),IF(AND($G124-TODAY()&lt;=14,$G124&gt;=TODAY()),"⚑",""),"")</f>
        <v/>
      </c>
      <c r="Z124" s="34" t="str">
        <f aca="true">IF(AND($G124&lt;&gt;"",$P124="",$R124=""),IF(TODAY()&gt;$G124,"⚑",""),"")</f>
        <v/>
      </c>
      <c r="AA124" s="34" t="str">
        <f aca="true">IF(AND($E124&lt;&gt;"",$P124="",$R124=""),IF(TODAY()-MAX($E124,$H124,$M124,$S124)&gt;7,"⚑",""),"")</f>
        <v/>
      </c>
      <c r="AB124" s="34" t="str">
        <f aca="false">IF(OR($P124="",$G124=""),"",IF($P124&lt;=$G124,"Có","Không"))</f>
        <v/>
      </c>
      <c r="AC124" s="34" t="str">
        <f aca="false">IF(OR($P124="",$E124=""),"",$P124-$E124)</f>
        <v/>
      </c>
      <c r="AD124" s="35" t="str">
        <f aca="false">IF($A124="","",COUNTIF(CASE!$B$3:$B$202,$A124))</f>
        <v/>
      </c>
      <c r="AE124" s="34" t="str">
        <f aca="false">IF(OR($I124="",$E124=""),"",$I124-$E124)</f>
        <v/>
      </c>
      <c r="AF124" s="34" t="str">
        <f aca="false">IF(OR($K124="",$I124=""),"",$K124-$I124)</f>
        <v/>
      </c>
      <c r="AG124" s="34" t="str">
        <f aca="false">IF(OR($L124="",$K124=""),"",$L124-$K124)</f>
        <v/>
      </c>
      <c r="AH124" s="34" t="str">
        <f aca="false">IF(OR($M124="",$L124=""),"",$M124-$L124)</f>
        <v/>
      </c>
      <c r="AI124" s="34" t="str">
        <f aca="false">IF(OR($P124="",$M124=""),"",$P124-$M124)</f>
        <v/>
      </c>
    </row>
    <row r="125" customFormat="false" ht="15" hidden="false" customHeight="false" outlineLevel="0" collapsed="false">
      <c r="A125" s="29"/>
      <c r="B125" s="29"/>
      <c r="C125" s="29"/>
      <c r="D125" s="30"/>
      <c r="E125" s="31"/>
      <c r="F125" s="32" t="str">
        <f aca="false">IF($E125="","",$E125+7*IFERROR(VLOOKUP($B125,DS!$K$2:$M$4,2,FALSE()),12))</f>
        <v/>
      </c>
      <c r="G125" s="32" t="str">
        <f aca="false">IF($E125="","",$E125+7*IFERROR(VLOOKUP($B125,DS!$K$2:$M$4,3,FALSE()),12))</f>
        <v/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3" t="str">
        <f aca="false">IF($A125="","",IF($R125&lt;&gt;"","95 Hủy/hoàn",IF($Q125&lt;&gt;"","99 Đóng",IF($P125&lt;&gt;"","90 Đã giao",IF($O125&lt;&gt;"","80 Đang giao",IF($N125&lt;&gt;"","70 Thông quan",IF($M125&lt;&gt;"","60 Đã xuất",IF($L125&lt;&gt;"","50 QC đạt",IF($K125&lt;&gt;"","40 NCC đã gửi",IF($I125&lt;&gt;"","30 Đã đặt NCC",IF($H125&lt;&gt;"","20 Đã xác nhận","10 Mới")))))))))))</f>
        <v/>
      </c>
      <c r="U125" s="33" t="str">
        <f aca="false">IF($T125="","",IFERROR(VLOOKUP($T125,DS!$A$2:$B$12,2,FALSE()),""))</f>
        <v/>
      </c>
      <c r="V125" s="34" t="str">
        <f aca="true">IF(OR($T125="",LEFT($T125,2)="99",LEFT($T125,2)="95"),"",TODAY()-MAX($E125,$H125:$P125))</f>
        <v/>
      </c>
      <c r="W125" s="34" t="str">
        <f aca="true">IF(AND($E125&lt;&gt;"",$I125="",$R125=""),IF(TODAY()-$E125&gt;1,"⚑",""),"")</f>
        <v/>
      </c>
      <c r="X125" s="34" t="str">
        <f aca="true">IF(AND($J125&lt;&gt;"",$K125="",$R125=""),IF(TODAY()-$J125&gt;2,"⚑",""),"")</f>
        <v/>
      </c>
      <c r="Y125" s="34" t="str">
        <f aca="true">IF(AND($G125&lt;&gt;"",$M125="",$R125=""),IF(AND($G125-TODAY()&lt;=14,$G125&gt;=TODAY()),"⚑",""),"")</f>
        <v/>
      </c>
      <c r="Z125" s="34" t="str">
        <f aca="true">IF(AND($G125&lt;&gt;"",$P125="",$R125=""),IF(TODAY()&gt;$G125,"⚑",""),"")</f>
        <v/>
      </c>
      <c r="AA125" s="34" t="str">
        <f aca="true">IF(AND($E125&lt;&gt;"",$P125="",$R125=""),IF(TODAY()-MAX($E125,$H125,$M125,$S125)&gt;7,"⚑",""),"")</f>
        <v/>
      </c>
      <c r="AB125" s="34" t="str">
        <f aca="false">IF(OR($P125="",$G125=""),"",IF($P125&lt;=$G125,"Có","Không"))</f>
        <v/>
      </c>
      <c r="AC125" s="34" t="str">
        <f aca="false">IF(OR($P125="",$E125=""),"",$P125-$E125)</f>
        <v/>
      </c>
      <c r="AD125" s="35" t="str">
        <f aca="false">IF($A125="","",COUNTIF(CASE!$B$3:$B$202,$A125))</f>
        <v/>
      </c>
      <c r="AE125" s="34" t="str">
        <f aca="false">IF(OR($I125="",$E125=""),"",$I125-$E125)</f>
        <v/>
      </c>
      <c r="AF125" s="34" t="str">
        <f aca="false">IF(OR($K125="",$I125=""),"",$K125-$I125)</f>
        <v/>
      </c>
      <c r="AG125" s="34" t="str">
        <f aca="false">IF(OR($L125="",$K125=""),"",$L125-$K125)</f>
        <v/>
      </c>
      <c r="AH125" s="34" t="str">
        <f aca="false">IF(OR($M125="",$L125=""),"",$M125-$L125)</f>
        <v/>
      </c>
      <c r="AI125" s="34" t="str">
        <f aca="false">IF(OR($P125="",$M125=""),"",$P125-$M125)</f>
        <v/>
      </c>
    </row>
    <row r="126" customFormat="false" ht="15" hidden="false" customHeight="false" outlineLevel="0" collapsed="false">
      <c r="A126" s="29"/>
      <c r="B126" s="29"/>
      <c r="C126" s="29"/>
      <c r="D126" s="30"/>
      <c r="E126" s="31"/>
      <c r="F126" s="32" t="str">
        <f aca="false">IF($E126="","",$E126+7*IFERROR(VLOOKUP($B126,DS!$K$2:$M$4,2,FALSE()),12))</f>
        <v/>
      </c>
      <c r="G126" s="32" t="str">
        <f aca="false">IF($E126="","",$E126+7*IFERROR(VLOOKUP($B126,DS!$K$2:$M$4,3,FALSE()),12))</f>
        <v/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3" t="str">
        <f aca="false">IF($A126="","",IF($R126&lt;&gt;"","95 Hủy/hoàn",IF($Q126&lt;&gt;"","99 Đóng",IF($P126&lt;&gt;"","90 Đã giao",IF($O126&lt;&gt;"","80 Đang giao",IF($N126&lt;&gt;"","70 Thông quan",IF($M126&lt;&gt;"","60 Đã xuất",IF($L126&lt;&gt;"","50 QC đạt",IF($K126&lt;&gt;"","40 NCC đã gửi",IF($I126&lt;&gt;"","30 Đã đặt NCC",IF($H126&lt;&gt;"","20 Đã xác nhận","10 Mới")))))))))))</f>
        <v/>
      </c>
      <c r="U126" s="33" t="str">
        <f aca="false">IF($T126="","",IFERROR(VLOOKUP($T126,DS!$A$2:$B$12,2,FALSE()),""))</f>
        <v/>
      </c>
      <c r="V126" s="34" t="str">
        <f aca="true">IF(OR($T126="",LEFT($T126,2)="99",LEFT($T126,2)="95"),"",TODAY()-MAX($E126,$H126:$P126))</f>
        <v/>
      </c>
      <c r="W126" s="34" t="str">
        <f aca="true">IF(AND($E126&lt;&gt;"",$I126="",$R126=""),IF(TODAY()-$E126&gt;1,"⚑",""),"")</f>
        <v/>
      </c>
      <c r="X126" s="34" t="str">
        <f aca="true">IF(AND($J126&lt;&gt;"",$K126="",$R126=""),IF(TODAY()-$J126&gt;2,"⚑",""),"")</f>
        <v/>
      </c>
      <c r="Y126" s="34" t="str">
        <f aca="true">IF(AND($G126&lt;&gt;"",$M126="",$R126=""),IF(AND($G126-TODAY()&lt;=14,$G126&gt;=TODAY()),"⚑",""),"")</f>
        <v/>
      </c>
      <c r="Z126" s="34" t="str">
        <f aca="true">IF(AND($G126&lt;&gt;"",$P126="",$R126=""),IF(TODAY()&gt;$G126,"⚑",""),"")</f>
        <v/>
      </c>
      <c r="AA126" s="34" t="str">
        <f aca="true">IF(AND($E126&lt;&gt;"",$P126="",$R126=""),IF(TODAY()-MAX($E126,$H126,$M126,$S126)&gt;7,"⚑",""),"")</f>
        <v/>
      </c>
      <c r="AB126" s="34" t="str">
        <f aca="false">IF(OR($P126="",$G126=""),"",IF($P126&lt;=$G126,"Có","Không"))</f>
        <v/>
      </c>
      <c r="AC126" s="34" t="str">
        <f aca="false">IF(OR($P126="",$E126=""),"",$P126-$E126)</f>
        <v/>
      </c>
      <c r="AD126" s="35" t="str">
        <f aca="false">IF($A126="","",COUNTIF(CASE!$B$3:$B$202,$A126))</f>
        <v/>
      </c>
      <c r="AE126" s="34" t="str">
        <f aca="false">IF(OR($I126="",$E126=""),"",$I126-$E126)</f>
        <v/>
      </c>
      <c r="AF126" s="34" t="str">
        <f aca="false">IF(OR($K126="",$I126=""),"",$K126-$I126)</f>
        <v/>
      </c>
      <c r="AG126" s="34" t="str">
        <f aca="false">IF(OR($L126="",$K126=""),"",$L126-$K126)</f>
        <v/>
      </c>
      <c r="AH126" s="34" t="str">
        <f aca="false">IF(OR($M126="",$L126=""),"",$M126-$L126)</f>
        <v/>
      </c>
      <c r="AI126" s="34" t="str">
        <f aca="false">IF(OR($P126="",$M126=""),"",$P126-$M126)</f>
        <v/>
      </c>
    </row>
    <row r="127" customFormat="false" ht="15" hidden="false" customHeight="false" outlineLevel="0" collapsed="false">
      <c r="A127" s="29"/>
      <c r="B127" s="29"/>
      <c r="C127" s="29"/>
      <c r="D127" s="30"/>
      <c r="E127" s="31"/>
      <c r="F127" s="32" t="str">
        <f aca="false">IF($E127="","",$E127+7*IFERROR(VLOOKUP($B127,DS!$K$2:$M$4,2,FALSE()),12))</f>
        <v/>
      </c>
      <c r="G127" s="32" t="str">
        <f aca="false">IF($E127="","",$E127+7*IFERROR(VLOOKUP($B127,DS!$K$2:$M$4,3,FALSE()),12))</f>
        <v/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3" t="str">
        <f aca="false">IF($A127="","",IF($R127&lt;&gt;"","95 Hủy/hoàn",IF($Q127&lt;&gt;"","99 Đóng",IF($P127&lt;&gt;"","90 Đã giao",IF($O127&lt;&gt;"","80 Đang giao",IF($N127&lt;&gt;"","70 Thông quan",IF($M127&lt;&gt;"","60 Đã xuất",IF($L127&lt;&gt;"","50 QC đạt",IF($K127&lt;&gt;"","40 NCC đã gửi",IF($I127&lt;&gt;"","30 Đã đặt NCC",IF($H127&lt;&gt;"","20 Đã xác nhận","10 Mới")))))))))))</f>
        <v/>
      </c>
      <c r="U127" s="33" t="str">
        <f aca="false">IF($T127="","",IFERROR(VLOOKUP($T127,DS!$A$2:$B$12,2,FALSE()),""))</f>
        <v/>
      </c>
      <c r="V127" s="34" t="str">
        <f aca="true">IF(OR($T127="",LEFT($T127,2)="99",LEFT($T127,2)="95"),"",TODAY()-MAX($E127,$H127:$P127))</f>
        <v/>
      </c>
      <c r="W127" s="34" t="str">
        <f aca="true">IF(AND($E127&lt;&gt;"",$I127="",$R127=""),IF(TODAY()-$E127&gt;1,"⚑",""),"")</f>
        <v/>
      </c>
      <c r="X127" s="34" t="str">
        <f aca="true">IF(AND($J127&lt;&gt;"",$K127="",$R127=""),IF(TODAY()-$J127&gt;2,"⚑",""),"")</f>
        <v/>
      </c>
      <c r="Y127" s="34" t="str">
        <f aca="true">IF(AND($G127&lt;&gt;"",$M127="",$R127=""),IF(AND($G127-TODAY()&lt;=14,$G127&gt;=TODAY()),"⚑",""),"")</f>
        <v/>
      </c>
      <c r="Z127" s="34" t="str">
        <f aca="true">IF(AND($G127&lt;&gt;"",$P127="",$R127=""),IF(TODAY()&gt;$G127,"⚑",""),"")</f>
        <v/>
      </c>
      <c r="AA127" s="34" t="str">
        <f aca="true">IF(AND($E127&lt;&gt;"",$P127="",$R127=""),IF(TODAY()-MAX($E127,$H127,$M127,$S127)&gt;7,"⚑",""),"")</f>
        <v/>
      </c>
      <c r="AB127" s="34" t="str">
        <f aca="false">IF(OR($P127="",$G127=""),"",IF($P127&lt;=$G127,"Có","Không"))</f>
        <v/>
      </c>
      <c r="AC127" s="34" t="str">
        <f aca="false">IF(OR($P127="",$E127=""),"",$P127-$E127)</f>
        <v/>
      </c>
      <c r="AD127" s="35" t="str">
        <f aca="false">IF($A127="","",COUNTIF(CASE!$B$3:$B$202,$A127))</f>
        <v/>
      </c>
      <c r="AE127" s="34" t="str">
        <f aca="false">IF(OR($I127="",$E127=""),"",$I127-$E127)</f>
        <v/>
      </c>
      <c r="AF127" s="34" t="str">
        <f aca="false">IF(OR($K127="",$I127=""),"",$K127-$I127)</f>
        <v/>
      </c>
      <c r="AG127" s="34" t="str">
        <f aca="false">IF(OR($L127="",$K127=""),"",$L127-$K127)</f>
        <v/>
      </c>
      <c r="AH127" s="34" t="str">
        <f aca="false">IF(OR($M127="",$L127=""),"",$M127-$L127)</f>
        <v/>
      </c>
      <c r="AI127" s="34" t="str">
        <f aca="false">IF(OR($P127="",$M127=""),"",$P127-$M127)</f>
        <v/>
      </c>
    </row>
    <row r="128" customFormat="false" ht="15" hidden="false" customHeight="false" outlineLevel="0" collapsed="false">
      <c r="A128" s="29"/>
      <c r="B128" s="29"/>
      <c r="C128" s="29"/>
      <c r="D128" s="30"/>
      <c r="E128" s="31"/>
      <c r="F128" s="32" t="str">
        <f aca="false">IF($E128="","",$E128+7*IFERROR(VLOOKUP($B128,DS!$K$2:$M$4,2,FALSE()),12))</f>
        <v/>
      </c>
      <c r="G128" s="32" t="str">
        <f aca="false">IF($E128="","",$E128+7*IFERROR(VLOOKUP($B128,DS!$K$2:$M$4,3,FALSE()),12))</f>
        <v/>
      </c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3" t="str">
        <f aca="false">IF($A128="","",IF($R128&lt;&gt;"","95 Hủy/hoàn",IF($Q128&lt;&gt;"","99 Đóng",IF($P128&lt;&gt;"","90 Đã giao",IF($O128&lt;&gt;"","80 Đang giao",IF($N128&lt;&gt;"","70 Thông quan",IF($M128&lt;&gt;"","60 Đã xuất",IF($L128&lt;&gt;"","50 QC đạt",IF($K128&lt;&gt;"","40 NCC đã gửi",IF($I128&lt;&gt;"","30 Đã đặt NCC",IF($H128&lt;&gt;"","20 Đã xác nhận","10 Mới")))))))))))</f>
        <v/>
      </c>
      <c r="U128" s="33" t="str">
        <f aca="false">IF($T128="","",IFERROR(VLOOKUP($T128,DS!$A$2:$B$12,2,FALSE()),""))</f>
        <v/>
      </c>
      <c r="V128" s="34" t="str">
        <f aca="true">IF(OR($T128="",LEFT($T128,2)="99",LEFT($T128,2)="95"),"",TODAY()-MAX($E128,$H128:$P128))</f>
        <v/>
      </c>
      <c r="W128" s="34" t="str">
        <f aca="true">IF(AND($E128&lt;&gt;"",$I128="",$R128=""),IF(TODAY()-$E128&gt;1,"⚑",""),"")</f>
        <v/>
      </c>
      <c r="X128" s="34" t="str">
        <f aca="true">IF(AND($J128&lt;&gt;"",$K128="",$R128=""),IF(TODAY()-$J128&gt;2,"⚑",""),"")</f>
        <v/>
      </c>
      <c r="Y128" s="34" t="str">
        <f aca="true">IF(AND($G128&lt;&gt;"",$M128="",$R128=""),IF(AND($G128-TODAY()&lt;=14,$G128&gt;=TODAY()),"⚑",""),"")</f>
        <v/>
      </c>
      <c r="Z128" s="34" t="str">
        <f aca="true">IF(AND($G128&lt;&gt;"",$P128="",$R128=""),IF(TODAY()&gt;$G128,"⚑",""),"")</f>
        <v/>
      </c>
      <c r="AA128" s="34" t="str">
        <f aca="true">IF(AND($E128&lt;&gt;"",$P128="",$R128=""),IF(TODAY()-MAX($E128,$H128,$M128,$S128)&gt;7,"⚑",""),"")</f>
        <v/>
      </c>
      <c r="AB128" s="34" t="str">
        <f aca="false">IF(OR($P128="",$G128=""),"",IF($P128&lt;=$G128,"Có","Không"))</f>
        <v/>
      </c>
      <c r="AC128" s="34" t="str">
        <f aca="false">IF(OR($P128="",$E128=""),"",$P128-$E128)</f>
        <v/>
      </c>
      <c r="AD128" s="35" t="str">
        <f aca="false">IF($A128="","",COUNTIF(CASE!$B$3:$B$202,$A128))</f>
        <v/>
      </c>
      <c r="AE128" s="34" t="str">
        <f aca="false">IF(OR($I128="",$E128=""),"",$I128-$E128)</f>
        <v/>
      </c>
      <c r="AF128" s="34" t="str">
        <f aca="false">IF(OR($K128="",$I128=""),"",$K128-$I128)</f>
        <v/>
      </c>
      <c r="AG128" s="34" t="str">
        <f aca="false">IF(OR($L128="",$K128=""),"",$L128-$K128)</f>
        <v/>
      </c>
      <c r="AH128" s="34" t="str">
        <f aca="false">IF(OR($M128="",$L128=""),"",$M128-$L128)</f>
        <v/>
      </c>
      <c r="AI128" s="34" t="str">
        <f aca="false">IF(OR($P128="",$M128=""),"",$P128-$M128)</f>
        <v/>
      </c>
    </row>
    <row r="129" customFormat="false" ht="15" hidden="false" customHeight="false" outlineLevel="0" collapsed="false">
      <c r="A129" s="29"/>
      <c r="B129" s="29"/>
      <c r="C129" s="29"/>
      <c r="D129" s="30"/>
      <c r="E129" s="31"/>
      <c r="F129" s="32" t="str">
        <f aca="false">IF($E129="","",$E129+7*IFERROR(VLOOKUP($B129,DS!$K$2:$M$4,2,FALSE()),12))</f>
        <v/>
      </c>
      <c r="G129" s="32" t="str">
        <f aca="false">IF($E129="","",$E129+7*IFERROR(VLOOKUP($B129,DS!$K$2:$M$4,3,FALSE()),12))</f>
        <v/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3" t="str">
        <f aca="false">IF($A129="","",IF($R129&lt;&gt;"","95 Hủy/hoàn",IF($Q129&lt;&gt;"","99 Đóng",IF($P129&lt;&gt;"","90 Đã giao",IF($O129&lt;&gt;"","80 Đang giao",IF($N129&lt;&gt;"","70 Thông quan",IF($M129&lt;&gt;"","60 Đã xuất",IF($L129&lt;&gt;"","50 QC đạt",IF($K129&lt;&gt;"","40 NCC đã gửi",IF($I129&lt;&gt;"","30 Đã đặt NCC",IF($H129&lt;&gt;"","20 Đã xác nhận","10 Mới")))))))))))</f>
        <v/>
      </c>
      <c r="U129" s="33" t="str">
        <f aca="false">IF($T129="","",IFERROR(VLOOKUP($T129,DS!$A$2:$B$12,2,FALSE()),""))</f>
        <v/>
      </c>
      <c r="V129" s="34" t="str">
        <f aca="true">IF(OR($T129="",LEFT($T129,2)="99",LEFT($T129,2)="95"),"",TODAY()-MAX($E129,$H129:$P129))</f>
        <v/>
      </c>
      <c r="W129" s="34" t="str">
        <f aca="true">IF(AND($E129&lt;&gt;"",$I129="",$R129=""),IF(TODAY()-$E129&gt;1,"⚑",""),"")</f>
        <v/>
      </c>
      <c r="X129" s="34" t="str">
        <f aca="true">IF(AND($J129&lt;&gt;"",$K129="",$R129=""),IF(TODAY()-$J129&gt;2,"⚑",""),"")</f>
        <v/>
      </c>
      <c r="Y129" s="34" t="str">
        <f aca="true">IF(AND($G129&lt;&gt;"",$M129="",$R129=""),IF(AND($G129-TODAY()&lt;=14,$G129&gt;=TODAY()),"⚑",""),"")</f>
        <v/>
      </c>
      <c r="Z129" s="34" t="str">
        <f aca="true">IF(AND($G129&lt;&gt;"",$P129="",$R129=""),IF(TODAY()&gt;$G129,"⚑",""),"")</f>
        <v/>
      </c>
      <c r="AA129" s="34" t="str">
        <f aca="true">IF(AND($E129&lt;&gt;"",$P129="",$R129=""),IF(TODAY()-MAX($E129,$H129,$M129,$S129)&gt;7,"⚑",""),"")</f>
        <v/>
      </c>
      <c r="AB129" s="34" t="str">
        <f aca="false">IF(OR($P129="",$G129=""),"",IF($P129&lt;=$G129,"Có","Không"))</f>
        <v/>
      </c>
      <c r="AC129" s="34" t="str">
        <f aca="false">IF(OR($P129="",$E129=""),"",$P129-$E129)</f>
        <v/>
      </c>
      <c r="AD129" s="35" t="str">
        <f aca="false">IF($A129="","",COUNTIF(CASE!$B$3:$B$202,$A129))</f>
        <v/>
      </c>
      <c r="AE129" s="34" t="str">
        <f aca="false">IF(OR($I129="",$E129=""),"",$I129-$E129)</f>
        <v/>
      </c>
      <c r="AF129" s="34" t="str">
        <f aca="false">IF(OR($K129="",$I129=""),"",$K129-$I129)</f>
        <v/>
      </c>
      <c r="AG129" s="34" t="str">
        <f aca="false">IF(OR($L129="",$K129=""),"",$L129-$K129)</f>
        <v/>
      </c>
      <c r="AH129" s="34" t="str">
        <f aca="false">IF(OR($M129="",$L129=""),"",$M129-$L129)</f>
        <v/>
      </c>
      <c r="AI129" s="34" t="str">
        <f aca="false">IF(OR($P129="",$M129=""),"",$P129-$M129)</f>
        <v/>
      </c>
    </row>
    <row r="130" customFormat="false" ht="15" hidden="false" customHeight="false" outlineLevel="0" collapsed="false">
      <c r="A130" s="29"/>
      <c r="B130" s="29"/>
      <c r="C130" s="29"/>
      <c r="D130" s="30"/>
      <c r="E130" s="31"/>
      <c r="F130" s="32" t="str">
        <f aca="false">IF($E130="","",$E130+7*IFERROR(VLOOKUP($B130,DS!$K$2:$M$4,2,FALSE()),12))</f>
        <v/>
      </c>
      <c r="G130" s="32" t="str">
        <f aca="false">IF($E130="","",$E130+7*IFERROR(VLOOKUP($B130,DS!$K$2:$M$4,3,FALSE()),12))</f>
        <v/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3" t="str">
        <f aca="false">IF($A130="","",IF($R130&lt;&gt;"","95 Hủy/hoàn",IF($Q130&lt;&gt;"","99 Đóng",IF($P130&lt;&gt;"","90 Đã giao",IF($O130&lt;&gt;"","80 Đang giao",IF($N130&lt;&gt;"","70 Thông quan",IF($M130&lt;&gt;"","60 Đã xuất",IF($L130&lt;&gt;"","50 QC đạt",IF($K130&lt;&gt;"","40 NCC đã gửi",IF($I130&lt;&gt;"","30 Đã đặt NCC",IF($H130&lt;&gt;"","20 Đã xác nhận","10 Mới")))))))))))</f>
        <v/>
      </c>
      <c r="U130" s="33" t="str">
        <f aca="false">IF($T130="","",IFERROR(VLOOKUP($T130,DS!$A$2:$B$12,2,FALSE()),""))</f>
        <v/>
      </c>
      <c r="V130" s="34" t="str">
        <f aca="true">IF(OR($T130="",LEFT($T130,2)="99",LEFT($T130,2)="95"),"",TODAY()-MAX($E130,$H130:$P130))</f>
        <v/>
      </c>
      <c r="W130" s="34" t="str">
        <f aca="true">IF(AND($E130&lt;&gt;"",$I130="",$R130=""),IF(TODAY()-$E130&gt;1,"⚑",""),"")</f>
        <v/>
      </c>
      <c r="X130" s="34" t="str">
        <f aca="true">IF(AND($J130&lt;&gt;"",$K130="",$R130=""),IF(TODAY()-$J130&gt;2,"⚑",""),"")</f>
        <v/>
      </c>
      <c r="Y130" s="34" t="str">
        <f aca="true">IF(AND($G130&lt;&gt;"",$M130="",$R130=""),IF(AND($G130-TODAY()&lt;=14,$G130&gt;=TODAY()),"⚑",""),"")</f>
        <v/>
      </c>
      <c r="Z130" s="34" t="str">
        <f aca="true">IF(AND($G130&lt;&gt;"",$P130="",$R130=""),IF(TODAY()&gt;$G130,"⚑",""),"")</f>
        <v/>
      </c>
      <c r="AA130" s="34" t="str">
        <f aca="true">IF(AND($E130&lt;&gt;"",$P130="",$R130=""),IF(TODAY()-MAX($E130,$H130,$M130,$S130)&gt;7,"⚑",""),"")</f>
        <v/>
      </c>
      <c r="AB130" s="34" t="str">
        <f aca="false">IF(OR($P130="",$G130=""),"",IF($P130&lt;=$G130,"Có","Không"))</f>
        <v/>
      </c>
      <c r="AC130" s="34" t="str">
        <f aca="false">IF(OR($P130="",$E130=""),"",$P130-$E130)</f>
        <v/>
      </c>
      <c r="AD130" s="35" t="str">
        <f aca="false">IF($A130="","",COUNTIF(CASE!$B$3:$B$202,$A130))</f>
        <v/>
      </c>
      <c r="AE130" s="34" t="str">
        <f aca="false">IF(OR($I130="",$E130=""),"",$I130-$E130)</f>
        <v/>
      </c>
      <c r="AF130" s="34" t="str">
        <f aca="false">IF(OR($K130="",$I130=""),"",$K130-$I130)</f>
        <v/>
      </c>
      <c r="AG130" s="34" t="str">
        <f aca="false">IF(OR($L130="",$K130=""),"",$L130-$K130)</f>
        <v/>
      </c>
      <c r="AH130" s="34" t="str">
        <f aca="false">IF(OR($M130="",$L130=""),"",$M130-$L130)</f>
        <v/>
      </c>
      <c r="AI130" s="34" t="str">
        <f aca="false">IF(OR($P130="",$M130=""),"",$P130-$M130)</f>
        <v/>
      </c>
    </row>
    <row r="131" customFormat="false" ht="15" hidden="false" customHeight="false" outlineLevel="0" collapsed="false">
      <c r="A131" s="29"/>
      <c r="B131" s="29"/>
      <c r="C131" s="29"/>
      <c r="D131" s="30"/>
      <c r="E131" s="31"/>
      <c r="F131" s="32" t="str">
        <f aca="false">IF($E131="","",$E131+7*IFERROR(VLOOKUP($B131,DS!$K$2:$M$4,2,FALSE()),12))</f>
        <v/>
      </c>
      <c r="G131" s="32" t="str">
        <f aca="false">IF($E131="","",$E131+7*IFERROR(VLOOKUP($B131,DS!$K$2:$M$4,3,FALSE()),12))</f>
        <v/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3" t="str">
        <f aca="false">IF($A131="","",IF($R131&lt;&gt;"","95 Hủy/hoàn",IF($Q131&lt;&gt;"","99 Đóng",IF($P131&lt;&gt;"","90 Đã giao",IF($O131&lt;&gt;"","80 Đang giao",IF($N131&lt;&gt;"","70 Thông quan",IF($M131&lt;&gt;"","60 Đã xuất",IF($L131&lt;&gt;"","50 QC đạt",IF($K131&lt;&gt;"","40 NCC đã gửi",IF($I131&lt;&gt;"","30 Đã đặt NCC",IF($H131&lt;&gt;"","20 Đã xác nhận","10 Mới")))))))))))</f>
        <v/>
      </c>
      <c r="U131" s="33" t="str">
        <f aca="false">IF($T131="","",IFERROR(VLOOKUP($T131,DS!$A$2:$B$12,2,FALSE()),""))</f>
        <v/>
      </c>
      <c r="V131" s="34" t="str">
        <f aca="true">IF(OR($T131="",LEFT($T131,2)="99",LEFT($T131,2)="95"),"",TODAY()-MAX($E131,$H131:$P131))</f>
        <v/>
      </c>
      <c r="W131" s="34" t="str">
        <f aca="true">IF(AND($E131&lt;&gt;"",$I131="",$R131=""),IF(TODAY()-$E131&gt;1,"⚑",""),"")</f>
        <v/>
      </c>
      <c r="X131" s="34" t="str">
        <f aca="true">IF(AND($J131&lt;&gt;"",$K131="",$R131=""),IF(TODAY()-$J131&gt;2,"⚑",""),"")</f>
        <v/>
      </c>
      <c r="Y131" s="34" t="str">
        <f aca="true">IF(AND($G131&lt;&gt;"",$M131="",$R131=""),IF(AND($G131-TODAY()&lt;=14,$G131&gt;=TODAY()),"⚑",""),"")</f>
        <v/>
      </c>
      <c r="Z131" s="34" t="str">
        <f aca="true">IF(AND($G131&lt;&gt;"",$P131="",$R131=""),IF(TODAY()&gt;$G131,"⚑",""),"")</f>
        <v/>
      </c>
      <c r="AA131" s="34" t="str">
        <f aca="true">IF(AND($E131&lt;&gt;"",$P131="",$R131=""),IF(TODAY()-MAX($E131,$H131,$M131,$S131)&gt;7,"⚑",""),"")</f>
        <v/>
      </c>
      <c r="AB131" s="34" t="str">
        <f aca="false">IF(OR($P131="",$G131=""),"",IF($P131&lt;=$G131,"Có","Không"))</f>
        <v/>
      </c>
      <c r="AC131" s="34" t="str">
        <f aca="false">IF(OR($P131="",$E131=""),"",$P131-$E131)</f>
        <v/>
      </c>
      <c r="AD131" s="35" t="str">
        <f aca="false">IF($A131="","",COUNTIF(CASE!$B$3:$B$202,$A131))</f>
        <v/>
      </c>
      <c r="AE131" s="34" t="str">
        <f aca="false">IF(OR($I131="",$E131=""),"",$I131-$E131)</f>
        <v/>
      </c>
      <c r="AF131" s="34" t="str">
        <f aca="false">IF(OR($K131="",$I131=""),"",$K131-$I131)</f>
        <v/>
      </c>
      <c r="AG131" s="34" t="str">
        <f aca="false">IF(OR($L131="",$K131=""),"",$L131-$K131)</f>
        <v/>
      </c>
      <c r="AH131" s="34" t="str">
        <f aca="false">IF(OR($M131="",$L131=""),"",$M131-$L131)</f>
        <v/>
      </c>
      <c r="AI131" s="34" t="str">
        <f aca="false">IF(OR($P131="",$M131=""),"",$P131-$M131)</f>
        <v/>
      </c>
    </row>
    <row r="132" customFormat="false" ht="15" hidden="false" customHeight="false" outlineLevel="0" collapsed="false">
      <c r="A132" s="29"/>
      <c r="B132" s="29"/>
      <c r="C132" s="29"/>
      <c r="D132" s="30"/>
      <c r="E132" s="31"/>
      <c r="F132" s="32" t="str">
        <f aca="false">IF($E132="","",$E132+7*IFERROR(VLOOKUP($B132,DS!$K$2:$M$4,2,FALSE()),12))</f>
        <v/>
      </c>
      <c r="G132" s="32" t="str">
        <f aca="false">IF($E132="","",$E132+7*IFERROR(VLOOKUP($B132,DS!$K$2:$M$4,3,FALSE()),12))</f>
        <v/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3" t="str">
        <f aca="false">IF($A132="","",IF($R132&lt;&gt;"","95 Hủy/hoàn",IF($Q132&lt;&gt;"","99 Đóng",IF($P132&lt;&gt;"","90 Đã giao",IF($O132&lt;&gt;"","80 Đang giao",IF($N132&lt;&gt;"","70 Thông quan",IF($M132&lt;&gt;"","60 Đã xuất",IF($L132&lt;&gt;"","50 QC đạt",IF($K132&lt;&gt;"","40 NCC đã gửi",IF($I132&lt;&gt;"","30 Đã đặt NCC",IF($H132&lt;&gt;"","20 Đã xác nhận","10 Mới")))))))))))</f>
        <v/>
      </c>
      <c r="U132" s="33" t="str">
        <f aca="false">IF($T132="","",IFERROR(VLOOKUP($T132,DS!$A$2:$B$12,2,FALSE()),""))</f>
        <v/>
      </c>
      <c r="V132" s="34" t="str">
        <f aca="true">IF(OR($T132="",LEFT($T132,2)="99",LEFT($T132,2)="95"),"",TODAY()-MAX($E132,$H132:$P132))</f>
        <v/>
      </c>
      <c r="W132" s="34" t="str">
        <f aca="true">IF(AND($E132&lt;&gt;"",$I132="",$R132=""),IF(TODAY()-$E132&gt;1,"⚑",""),"")</f>
        <v/>
      </c>
      <c r="X132" s="34" t="str">
        <f aca="true">IF(AND($J132&lt;&gt;"",$K132="",$R132=""),IF(TODAY()-$J132&gt;2,"⚑",""),"")</f>
        <v/>
      </c>
      <c r="Y132" s="34" t="str">
        <f aca="true">IF(AND($G132&lt;&gt;"",$M132="",$R132=""),IF(AND($G132-TODAY()&lt;=14,$G132&gt;=TODAY()),"⚑",""),"")</f>
        <v/>
      </c>
      <c r="Z132" s="34" t="str">
        <f aca="true">IF(AND($G132&lt;&gt;"",$P132="",$R132=""),IF(TODAY()&gt;$G132,"⚑",""),"")</f>
        <v/>
      </c>
      <c r="AA132" s="34" t="str">
        <f aca="true">IF(AND($E132&lt;&gt;"",$P132="",$R132=""),IF(TODAY()-MAX($E132,$H132,$M132,$S132)&gt;7,"⚑",""),"")</f>
        <v/>
      </c>
      <c r="AB132" s="34" t="str">
        <f aca="false">IF(OR($P132="",$G132=""),"",IF($P132&lt;=$G132,"Có","Không"))</f>
        <v/>
      </c>
      <c r="AC132" s="34" t="str">
        <f aca="false">IF(OR($P132="",$E132=""),"",$P132-$E132)</f>
        <v/>
      </c>
      <c r="AD132" s="35" t="str">
        <f aca="false">IF($A132="","",COUNTIF(CASE!$B$3:$B$202,$A132))</f>
        <v/>
      </c>
      <c r="AE132" s="34" t="str">
        <f aca="false">IF(OR($I132="",$E132=""),"",$I132-$E132)</f>
        <v/>
      </c>
      <c r="AF132" s="34" t="str">
        <f aca="false">IF(OR($K132="",$I132=""),"",$K132-$I132)</f>
        <v/>
      </c>
      <c r="AG132" s="34" t="str">
        <f aca="false">IF(OR($L132="",$K132=""),"",$L132-$K132)</f>
        <v/>
      </c>
      <c r="AH132" s="34" t="str">
        <f aca="false">IF(OR($M132="",$L132=""),"",$M132-$L132)</f>
        <v/>
      </c>
      <c r="AI132" s="34" t="str">
        <f aca="false">IF(OR($P132="",$M132=""),"",$P132-$M132)</f>
        <v/>
      </c>
    </row>
    <row r="133" customFormat="false" ht="15" hidden="false" customHeight="false" outlineLevel="0" collapsed="false">
      <c r="A133" s="29"/>
      <c r="B133" s="29"/>
      <c r="C133" s="29"/>
      <c r="D133" s="30"/>
      <c r="E133" s="31"/>
      <c r="F133" s="32" t="str">
        <f aca="false">IF($E133="","",$E133+7*IFERROR(VLOOKUP($B133,DS!$K$2:$M$4,2,FALSE()),12))</f>
        <v/>
      </c>
      <c r="G133" s="32" t="str">
        <f aca="false">IF($E133="","",$E133+7*IFERROR(VLOOKUP($B133,DS!$K$2:$M$4,3,FALSE()),12))</f>
        <v/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3" t="str">
        <f aca="false">IF($A133="","",IF($R133&lt;&gt;"","95 Hủy/hoàn",IF($Q133&lt;&gt;"","99 Đóng",IF($P133&lt;&gt;"","90 Đã giao",IF($O133&lt;&gt;"","80 Đang giao",IF($N133&lt;&gt;"","70 Thông quan",IF($M133&lt;&gt;"","60 Đã xuất",IF($L133&lt;&gt;"","50 QC đạt",IF($K133&lt;&gt;"","40 NCC đã gửi",IF($I133&lt;&gt;"","30 Đã đặt NCC",IF($H133&lt;&gt;"","20 Đã xác nhận","10 Mới")))))))))))</f>
        <v/>
      </c>
      <c r="U133" s="33" t="str">
        <f aca="false">IF($T133="","",IFERROR(VLOOKUP($T133,DS!$A$2:$B$12,2,FALSE()),""))</f>
        <v/>
      </c>
      <c r="V133" s="34" t="str">
        <f aca="true">IF(OR($T133="",LEFT($T133,2)="99",LEFT($T133,2)="95"),"",TODAY()-MAX($E133,$H133:$P133))</f>
        <v/>
      </c>
      <c r="W133" s="34" t="str">
        <f aca="true">IF(AND($E133&lt;&gt;"",$I133="",$R133=""),IF(TODAY()-$E133&gt;1,"⚑",""),"")</f>
        <v/>
      </c>
      <c r="X133" s="34" t="str">
        <f aca="true">IF(AND($J133&lt;&gt;"",$K133="",$R133=""),IF(TODAY()-$J133&gt;2,"⚑",""),"")</f>
        <v/>
      </c>
      <c r="Y133" s="34" t="str">
        <f aca="true">IF(AND($G133&lt;&gt;"",$M133="",$R133=""),IF(AND($G133-TODAY()&lt;=14,$G133&gt;=TODAY()),"⚑",""),"")</f>
        <v/>
      </c>
      <c r="Z133" s="34" t="str">
        <f aca="true">IF(AND($G133&lt;&gt;"",$P133="",$R133=""),IF(TODAY()&gt;$G133,"⚑",""),"")</f>
        <v/>
      </c>
      <c r="AA133" s="34" t="str">
        <f aca="true">IF(AND($E133&lt;&gt;"",$P133="",$R133=""),IF(TODAY()-MAX($E133,$H133,$M133,$S133)&gt;7,"⚑",""),"")</f>
        <v/>
      </c>
      <c r="AB133" s="34" t="str">
        <f aca="false">IF(OR($P133="",$G133=""),"",IF($P133&lt;=$G133,"Có","Không"))</f>
        <v/>
      </c>
      <c r="AC133" s="34" t="str">
        <f aca="false">IF(OR($P133="",$E133=""),"",$P133-$E133)</f>
        <v/>
      </c>
      <c r="AD133" s="35" t="str">
        <f aca="false">IF($A133="","",COUNTIF(CASE!$B$3:$B$202,$A133))</f>
        <v/>
      </c>
      <c r="AE133" s="34" t="str">
        <f aca="false">IF(OR($I133="",$E133=""),"",$I133-$E133)</f>
        <v/>
      </c>
      <c r="AF133" s="34" t="str">
        <f aca="false">IF(OR($K133="",$I133=""),"",$K133-$I133)</f>
        <v/>
      </c>
      <c r="AG133" s="34" t="str">
        <f aca="false">IF(OR($L133="",$K133=""),"",$L133-$K133)</f>
        <v/>
      </c>
      <c r="AH133" s="34" t="str">
        <f aca="false">IF(OR($M133="",$L133=""),"",$M133-$L133)</f>
        <v/>
      </c>
      <c r="AI133" s="34" t="str">
        <f aca="false">IF(OR($P133="",$M133=""),"",$P133-$M133)</f>
        <v/>
      </c>
    </row>
    <row r="134" customFormat="false" ht="15" hidden="false" customHeight="false" outlineLevel="0" collapsed="false">
      <c r="A134" s="29"/>
      <c r="B134" s="29"/>
      <c r="C134" s="29"/>
      <c r="D134" s="30"/>
      <c r="E134" s="31"/>
      <c r="F134" s="32" t="str">
        <f aca="false">IF($E134="","",$E134+7*IFERROR(VLOOKUP($B134,DS!$K$2:$M$4,2,FALSE()),12))</f>
        <v/>
      </c>
      <c r="G134" s="32" t="str">
        <f aca="false">IF($E134="","",$E134+7*IFERROR(VLOOKUP($B134,DS!$K$2:$M$4,3,FALSE()),12))</f>
        <v/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3" t="str">
        <f aca="false">IF($A134="","",IF($R134&lt;&gt;"","95 Hủy/hoàn",IF($Q134&lt;&gt;"","99 Đóng",IF($P134&lt;&gt;"","90 Đã giao",IF($O134&lt;&gt;"","80 Đang giao",IF($N134&lt;&gt;"","70 Thông quan",IF($M134&lt;&gt;"","60 Đã xuất",IF($L134&lt;&gt;"","50 QC đạt",IF($K134&lt;&gt;"","40 NCC đã gửi",IF($I134&lt;&gt;"","30 Đã đặt NCC",IF($H134&lt;&gt;"","20 Đã xác nhận","10 Mới")))))))))))</f>
        <v/>
      </c>
      <c r="U134" s="33" t="str">
        <f aca="false">IF($T134="","",IFERROR(VLOOKUP($T134,DS!$A$2:$B$12,2,FALSE()),""))</f>
        <v/>
      </c>
      <c r="V134" s="34" t="str">
        <f aca="true">IF(OR($T134="",LEFT($T134,2)="99",LEFT($T134,2)="95"),"",TODAY()-MAX($E134,$H134:$P134))</f>
        <v/>
      </c>
      <c r="W134" s="34" t="str">
        <f aca="true">IF(AND($E134&lt;&gt;"",$I134="",$R134=""),IF(TODAY()-$E134&gt;1,"⚑",""),"")</f>
        <v/>
      </c>
      <c r="X134" s="34" t="str">
        <f aca="true">IF(AND($J134&lt;&gt;"",$K134="",$R134=""),IF(TODAY()-$J134&gt;2,"⚑",""),"")</f>
        <v/>
      </c>
      <c r="Y134" s="34" t="str">
        <f aca="true">IF(AND($G134&lt;&gt;"",$M134="",$R134=""),IF(AND($G134-TODAY()&lt;=14,$G134&gt;=TODAY()),"⚑",""),"")</f>
        <v/>
      </c>
      <c r="Z134" s="34" t="str">
        <f aca="true">IF(AND($G134&lt;&gt;"",$P134="",$R134=""),IF(TODAY()&gt;$G134,"⚑",""),"")</f>
        <v/>
      </c>
      <c r="AA134" s="34" t="str">
        <f aca="true">IF(AND($E134&lt;&gt;"",$P134="",$R134=""),IF(TODAY()-MAX($E134,$H134,$M134,$S134)&gt;7,"⚑",""),"")</f>
        <v/>
      </c>
      <c r="AB134" s="34" t="str">
        <f aca="false">IF(OR($P134="",$G134=""),"",IF($P134&lt;=$G134,"Có","Không"))</f>
        <v/>
      </c>
      <c r="AC134" s="34" t="str">
        <f aca="false">IF(OR($P134="",$E134=""),"",$P134-$E134)</f>
        <v/>
      </c>
      <c r="AD134" s="35" t="str">
        <f aca="false">IF($A134="","",COUNTIF(CASE!$B$3:$B$202,$A134))</f>
        <v/>
      </c>
      <c r="AE134" s="34" t="str">
        <f aca="false">IF(OR($I134="",$E134=""),"",$I134-$E134)</f>
        <v/>
      </c>
      <c r="AF134" s="34" t="str">
        <f aca="false">IF(OR($K134="",$I134=""),"",$K134-$I134)</f>
        <v/>
      </c>
      <c r="AG134" s="34" t="str">
        <f aca="false">IF(OR($L134="",$K134=""),"",$L134-$K134)</f>
        <v/>
      </c>
      <c r="AH134" s="34" t="str">
        <f aca="false">IF(OR($M134="",$L134=""),"",$M134-$L134)</f>
        <v/>
      </c>
      <c r="AI134" s="34" t="str">
        <f aca="false">IF(OR($P134="",$M134=""),"",$P134-$M134)</f>
        <v/>
      </c>
    </row>
    <row r="135" customFormat="false" ht="15" hidden="false" customHeight="false" outlineLevel="0" collapsed="false">
      <c r="A135" s="29"/>
      <c r="B135" s="29"/>
      <c r="C135" s="29"/>
      <c r="D135" s="30"/>
      <c r="E135" s="31"/>
      <c r="F135" s="32" t="str">
        <f aca="false">IF($E135="","",$E135+7*IFERROR(VLOOKUP($B135,DS!$K$2:$M$4,2,FALSE()),12))</f>
        <v/>
      </c>
      <c r="G135" s="32" t="str">
        <f aca="false">IF($E135="","",$E135+7*IFERROR(VLOOKUP($B135,DS!$K$2:$M$4,3,FALSE()),12))</f>
        <v/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3" t="str">
        <f aca="false">IF($A135="","",IF($R135&lt;&gt;"","95 Hủy/hoàn",IF($Q135&lt;&gt;"","99 Đóng",IF($P135&lt;&gt;"","90 Đã giao",IF($O135&lt;&gt;"","80 Đang giao",IF($N135&lt;&gt;"","70 Thông quan",IF($M135&lt;&gt;"","60 Đã xuất",IF($L135&lt;&gt;"","50 QC đạt",IF($K135&lt;&gt;"","40 NCC đã gửi",IF($I135&lt;&gt;"","30 Đã đặt NCC",IF($H135&lt;&gt;"","20 Đã xác nhận","10 Mới")))))))))))</f>
        <v/>
      </c>
      <c r="U135" s="33" t="str">
        <f aca="false">IF($T135="","",IFERROR(VLOOKUP($T135,DS!$A$2:$B$12,2,FALSE()),""))</f>
        <v/>
      </c>
      <c r="V135" s="34" t="str">
        <f aca="true">IF(OR($T135="",LEFT($T135,2)="99",LEFT($T135,2)="95"),"",TODAY()-MAX($E135,$H135:$P135))</f>
        <v/>
      </c>
      <c r="W135" s="34" t="str">
        <f aca="true">IF(AND($E135&lt;&gt;"",$I135="",$R135=""),IF(TODAY()-$E135&gt;1,"⚑",""),"")</f>
        <v/>
      </c>
      <c r="X135" s="34" t="str">
        <f aca="true">IF(AND($J135&lt;&gt;"",$K135="",$R135=""),IF(TODAY()-$J135&gt;2,"⚑",""),"")</f>
        <v/>
      </c>
      <c r="Y135" s="34" t="str">
        <f aca="true">IF(AND($G135&lt;&gt;"",$M135="",$R135=""),IF(AND($G135-TODAY()&lt;=14,$G135&gt;=TODAY()),"⚑",""),"")</f>
        <v/>
      </c>
      <c r="Z135" s="34" t="str">
        <f aca="true">IF(AND($G135&lt;&gt;"",$P135="",$R135=""),IF(TODAY()&gt;$G135,"⚑",""),"")</f>
        <v/>
      </c>
      <c r="AA135" s="34" t="str">
        <f aca="true">IF(AND($E135&lt;&gt;"",$P135="",$R135=""),IF(TODAY()-MAX($E135,$H135,$M135,$S135)&gt;7,"⚑",""),"")</f>
        <v/>
      </c>
      <c r="AB135" s="34" t="str">
        <f aca="false">IF(OR($P135="",$G135=""),"",IF($P135&lt;=$G135,"Có","Không"))</f>
        <v/>
      </c>
      <c r="AC135" s="34" t="str">
        <f aca="false">IF(OR($P135="",$E135=""),"",$P135-$E135)</f>
        <v/>
      </c>
      <c r="AD135" s="35" t="str">
        <f aca="false">IF($A135="","",COUNTIF(CASE!$B$3:$B$202,$A135))</f>
        <v/>
      </c>
      <c r="AE135" s="34" t="str">
        <f aca="false">IF(OR($I135="",$E135=""),"",$I135-$E135)</f>
        <v/>
      </c>
      <c r="AF135" s="34" t="str">
        <f aca="false">IF(OR($K135="",$I135=""),"",$K135-$I135)</f>
        <v/>
      </c>
      <c r="AG135" s="34" t="str">
        <f aca="false">IF(OR($L135="",$K135=""),"",$L135-$K135)</f>
        <v/>
      </c>
      <c r="AH135" s="34" t="str">
        <f aca="false">IF(OR($M135="",$L135=""),"",$M135-$L135)</f>
        <v/>
      </c>
      <c r="AI135" s="34" t="str">
        <f aca="false">IF(OR($P135="",$M135=""),"",$P135-$M135)</f>
        <v/>
      </c>
    </row>
    <row r="136" customFormat="false" ht="15" hidden="false" customHeight="false" outlineLevel="0" collapsed="false">
      <c r="A136" s="29"/>
      <c r="B136" s="29"/>
      <c r="C136" s="29"/>
      <c r="D136" s="30"/>
      <c r="E136" s="31"/>
      <c r="F136" s="32" t="str">
        <f aca="false">IF($E136="","",$E136+7*IFERROR(VLOOKUP($B136,DS!$K$2:$M$4,2,FALSE()),12))</f>
        <v/>
      </c>
      <c r="G136" s="32" t="str">
        <f aca="false">IF($E136="","",$E136+7*IFERROR(VLOOKUP($B136,DS!$K$2:$M$4,3,FALSE()),12))</f>
        <v/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3" t="str">
        <f aca="false">IF($A136="","",IF($R136&lt;&gt;"","95 Hủy/hoàn",IF($Q136&lt;&gt;"","99 Đóng",IF($P136&lt;&gt;"","90 Đã giao",IF($O136&lt;&gt;"","80 Đang giao",IF($N136&lt;&gt;"","70 Thông quan",IF($M136&lt;&gt;"","60 Đã xuất",IF($L136&lt;&gt;"","50 QC đạt",IF($K136&lt;&gt;"","40 NCC đã gửi",IF($I136&lt;&gt;"","30 Đã đặt NCC",IF($H136&lt;&gt;"","20 Đã xác nhận","10 Mới")))))))))))</f>
        <v/>
      </c>
      <c r="U136" s="33" t="str">
        <f aca="false">IF($T136="","",IFERROR(VLOOKUP($T136,DS!$A$2:$B$12,2,FALSE()),""))</f>
        <v/>
      </c>
      <c r="V136" s="34" t="str">
        <f aca="true">IF(OR($T136="",LEFT($T136,2)="99",LEFT($T136,2)="95"),"",TODAY()-MAX($E136,$H136:$P136))</f>
        <v/>
      </c>
      <c r="W136" s="34" t="str">
        <f aca="true">IF(AND($E136&lt;&gt;"",$I136="",$R136=""),IF(TODAY()-$E136&gt;1,"⚑",""),"")</f>
        <v/>
      </c>
      <c r="X136" s="34" t="str">
        <f aca="true">IF(AND($J136&lt;&gt;"",$K136="",$R136=""),IF(TODAY()-$J136&gt;2,"⚑",""),"")</f>
        <v/>
      </c>
      <c r="Y136" s="34" t="str">
        <f aca="true">IF(AND($G136&lt;&gt;"",$M136="",$R136=""),IF(AND($G136-TODAY()&lt;=14,$G136&gt;=TODAY()),"⚑",""),"")</f>
        <v/>
      </c>
      <c r="Z136" s="34" t="str">
        <f aca="true">IF(AND($G136&lt;&gt;"",$P136="",$R136=""),IF(TODAY()&gt;$G136,"⚑",""),"")</f>
        <v/>
      </c>
      <c r="AA136" s="34" t="str">
        <f aca="true">IF(AND($E136&lt;&gt;"",$P136="",$R136=""),IF(TODAY()-MAX($E136,$H136,$M136,$S136)&gt;7,"⚑",""),"")</f>
        <v/>
      </c>
      <c r="AB136" s="34" t="str">
        <f aca="false">IF(OR($P136="",$G136=""),"",IF($P136&lt;=$G136,"Có","Không"))</f>
        <v/>
      </c>
      <c r="AC136" s="34" t="str">
        <f aca="false">IF(OR($P136="",$E136=""),"",$P136-$E136)</f>
        <v/>
      </c>
      <c r="AD136" s="35" t="str">
        <f aca="false">IF($A136="","",COUNTIF(CASE!$B$3:$B$202,$A136))</f>
        <v/>
      </c>
      <c r="AE136" s="34" t="str">
        <f aca="false">IF(OR($I136="",$E136=""),"",$I136-$E136)</f>
        <v/>
      </c>
      <c r="AF136" s="34" t="str">
        <f aca="false">IF(OR($K136="",$I136=""),"",$K136-$I136)</f>
        <v/>
      </c>
      <c r="AG136" s="34" t="str">
        <f aca="false">IF(OR($L136="",$K136=""),"",$L136-$K136)</f>
        <v/>
      </c>
      <c r="AH136" s="34" t="str">
        <f aca="false">IF(OR($M136="",$L136=""),"",$M136-$L136)</f>
        <v/>
      </c>
      <c r="AI136" s="34" t="str">
        <f aca="false">IF(OR($P136="",$M136=""),"",$P136-$M136)</f>
        <v/>
      </c>
    </row>
    <row r="137" customFormat="false" ht="15" hidden="false" customHeight="false" outlineLevel="0" collapsed="false">
      <c r="A137" s="29"/>
      <c r="B137" s="29"/>
      <c r="C137" s="29"/>
      <c r="D137" s="30"/>
      <c r="E137" s="31"/>
      <c r="F137" s="32" t="str">
        <f aca="false">IF($E137="","",$E137+7*IFERROR(VLOOKUP($B137,DS!$K$2:$M$4,2,FALSE()),12))</f>
        <v/>
      </c>
      <c r="G137" s="32" t="str">
        <f aca="false">IF($E137="","",$E137+7*IFERROR(VLOOKUP($B137,DS!$K$2:$M$4,3,FALSE()),12))</f>
        <v/>
      </c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3" t="str">
        <f aca="false">IF($A137="","",IF($R137&lt;&gt;"","95 Hủy/hoàn",IF($Q137&lt;&gt;"","99 Đóng",IF($P137&lt;&gt;"","90 Đã giao",IF($O137&lt;&gt;"","80 Đang giao",IF($N137&lt;&gt;"","70 Thông quan",IF($M137&lt;&gt;"","60 Đã xuất",IF($L137&lt;&gt;"","50 QC đạt",IF($K137&lt;&gt;"","40 NCC đã gửi",IF($I137&lt;&gt;"","30 Đã đặt NCC",IF($H137&lt;&gt;"","20 Đã xác nhận","10 Mới")))))))))))</f>
        <v/>
      </c>
      <c r="U137" s="33" t="str">
        <f aca="false">IF($T137="","",IFERROR(VLOOKUP($T137,DS!$A$2:$B$12,2,FALSE()),""))</f>
        <v/>
      </c>
      <c r="V137" s="34" t="str">
        <f aca="true">IF(OR($T137="",LEFT($T137,2)="99",LEFT($T137,2)="95"),"",TODAY()-MAX($E137,$H137:$P137))</f>
        <v/>
      </c>
      <c r="W137" s="34" t="str">
        <f aca="true">IF(AND($E137&lt;&gt;"",$I137="",$R137=""),IF(TODAY()-$E137&gt;1,"⚑",""),"")</f>
        <v/>
      </c>
      <c r="X137" s="34" t="str">
        <f aca="true">IF(AND($J137&lt;&gt;"",$K137="",$R137=""),IF(TODAY()-$J137&gt;2,"⚑",""),"")</f>
        <v/>
      </c>
      <c r="Y137" s="34" t="str">
        <f aca="true">IF(AND($G137&lt;&gt;"",$M137="",$R137=""),IF(AND($G137-TODAY()&lt;=14,$G137&gt;=TODAY()),"⚑",""),"")</f>
        <v/>
      </c>
      <c r="Z137" s="34" t="str">
        <f aca="true">IF(AND($G137&lt;&gt;"",$P137="",$R137=""),IF(TODAY()&gt;$G137,"⚑",""),"")</f>
        <v/>
      </c>
      <c r="AA137" s="34" t="str">
        <f aca="true">IF(AND($E137&lt;&gt;"",$P137="",$R137=""),IF(TODAY()-MAX($E137,$H137,$M137,$S137)&gt;7,"⚑",""),"")</f>
        <v/>
      </c>
      <c r="AB137" s="34" t="str">
        <f aca="false">IF(OR($P137="",$G137=""),"",IF($P137&lt;=$G137,"Có","Không"))</f>
        <v/>
      </c>
      <c r="AC137" s="34" t="str">
        <f aca="false">IF(OR($P137="",$E137=""),"",$P137-$E137)</f>
        <v/>
      </c>
      <c r="AD137" s="35" t="str">
        <f aca="false">IF($A137="","",COUNTIF(CASE!$B$3:$B$202,$A137))</f>
        <v/>
      </c>
      <c r="AE137" s="34" t="str">
        <f aca="false">IF(OR($I137="",$E137=""),"",$I137-$E137)</f>
        <v/>
      </c>
      <c r="AF137" s="34" t="str">
        <f aca="false">IF(OR($K137="",$I137=""),"",$K137-$I137)</f>
        <v/>
      </c>
      <c r="AG137" s="34" t="str">
        <f aca="false">IF(OR($L137="",$K137=""),"",$L137-$K137)</f>
        <v/>
      </c>
      <c r="AH137" s="34" t="str">
        <f aca="false">IF(OR($M137="",$L137=""),"",$M137-$L137)</f>
        <v/>
      </c>
      <c r="AI137" s="34" t="str">
        <f aca="false">IF(OR($P137="",$M137=""),"",$P137-$M137)</f>
        <v/>
      </c>
    </row>
    <row r="138" customFormat="false" ht="15" hidden="false" customHeight="false" outlineLevel="0" collapsed="false">
      <c r="A138" s="29"/>
      <c r="B138" s="29"/>
      <c r="C138" s="29"/>
      <c r="D138" s="30"/>
      <c r="E138" s="31"/>
      <c r="F138" s="32" t="str">
        <f aca="false">IF($E138="","",$E138+7*IFERROR(VLOOKUP($B138,DS!$K$2:$M$4,2,FALSE()),12))</f>
        <v/>
      </c>
      <c r="G138" s="32" t="str">
        <f aca="false">IF($E138="","",$E138+7*IFERROR(VLOOKUP($B138,DS!$K$2:$M$4,3,FALSE()),12))</f>
        <v/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3" t="str">
        <f aca="false">IF($A138="","",IF($R138&lt;&gt;"","95 Hủy/hoàn",IF($Q138&lt;&gt;"","99 Đóng",IF($P138&lt;&gt;"","90 Đã giao",IF($O138&lt;&gt;"","80 Đang giao",IF($N138&lt;&gt;"","70 Thông quan",IF($M138&lt;&gt;"","60 Đã xuất",IF($L138&lt;&gt;"","50 QC đạt",IF($K138&lt;&gt;"","40 NCC đã gửi",IF($I138&lt;&gt;"","30 Đã đặt NCC",IF($H138&lt;&gt;"","20 Đã xác nhận","10 Mới")))))))))))</f>
        <v/>
      </c>
      <c r="U138" s="33" t="str">
        <f aca="false">IF($T138="","",IFERROR(VLOOKUP($T138,DS!$A$2:$B$12,2,FALSE()),""))</f>
        <v/>
      </c>
      <c r="V138" s="34" t="str">
        <f aca="true">IF(OR($T138="",LEFT($T138,2)="99",LEFT($T138,2)="95"),"",TODAY()-MAX($E138,$H138:$P138))</f>
        <v/>
      </c>
      <c r="W138" s="34" t="str">
        <f aca="true">IF(AND($E138&lt;&gt;"",$I138="",$R138=""),IF(TODAY()-$E138&gt;1,"⚑",""),"")</f>
        <v/>
      </c>
      <c r="X138" s="34" t="str">
        <f aca="true">IF(AND($J138&lt;&gt;"",$K138="",$R138=""),IF(TODAY()-$J138&gt;2,"⚑",""),"")</f>
        <v/>
      </c>
      <c r="Y138" s="34" t="str">
        <f aca="true">IF(AND($G138&lt;&gt;"",$M138="",$R138=""),IF(AND($G138-TODAY()&lt;=14,$G138&gt;=TODAY()),"⚑",""),"")</f>
        <v/>
      </c>
      <c r="Z138" s="34" t="str">
        <f aca="true">IF(AND($G138&lt;&gt;"",$P138="",$R138=""),IF(TODAY()&gt;$G138,"⚑",""),"")</f>
        <v/>
      </c>
      <c r="AA138" s="34" t="str">
        <f aca="true">IF(AND($E138&lt;&gt;"",$P138="",$R138=""),IF(TODAY()-MAX($E138,$H138,$M138,$S138)&gt;7,"⚑",""),"")</f>
        <v/>
      </c>
      <c r="AB138" s="34" t="str">
        <f aca="false">IF(OR($P138="",$G138=""),"",IF($P138&lt;=$G138,"Có","Không"))</f>
        <v/>
      </c>
      <c r="AC138" s="34" t="str">
        <f aca="false">IF(OR($P138="",$E138=""),"",$P138-$E138)</f>
        <v/>
      </c>
      <c r="AD138" s="35" t="str">
        <f aca="false">IF($A138="","",COUNTIF(CASE!$B$3:$B$202,$A138))</f>
        <v/>
      </c>
      <c r="AE138" s="34" t="str">
        <f aca="false">IF(OR($I138="",$E138=""),"",$I138-$E138)</f>
        <v/>
      </c>
      <c r="AF138" s="34" t="str">
        <f aca="false">IF(OR($K138="",$I138=""),"",$K138-$I138)</f>
        <v/>
      </c>
      <c r="AG138" s="34" t="str">
        <f aca="false">IF(OR($L138="",$K138=""),"",$L138-$K138)</f>
        <v/>
      </c>
      <c r="AH138" s="34" t="str">
        <f aca="false">IF(OR($M138="",$L138=""),"",$M138-$L138)</f>
        <v/>
      </c>
      <c r="AI138" s="34" t="str">
        <f aca="false">IF(OR($P138="",$M138=""),"",$P138-$M138)</f>
        <v/>
      </c>
    </row>
    <row r="139" customFormat="false" ht="15" hidden="false" customHeight="false" outlineLevel="0" collapsed="false">
      <c r="A139" s="29"/>
      <c r="B139" s="29"/>
      <c r="C139" s="29"/>
      <c r="D139" s="30"/>
      <c r="E139" s="31"/>
      <c r="F139" s="32" t="str">
        <f aca="false">IF($E139="","",$E139+7*IFERROR(VLOOKUP($B139,DS!$K$2:$M$4,2,FALSE()),12))</f>
        <v/>
      </c>
      <c r="G139" s="32" t="str">
        <f aca="false">IF($E139="","",$E139+7*IFERROR(VLOOKUP($B139,DS!$K$2:$M$4,3,FALSE()),12))</f>
        <v/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3" t="str">
        <f aca="false">IF($A139="","",IF($R139&lt;&gt;"","95 Hủy/hoàn",IF($Q139&lt;&gt;"","99 Đóng",IF($P139&lt;&gt;"","90 Đã giao",IF($O139&lt;&gt;"","80 Đang giao",IF($N139&lt;&gt;"","70 Thông quan",IF($M139&lt;&gt;"","60 Đã xuất",IF($L139&lt;&gt;"","50 QC đạt",IF($K139&lt;&gt;"","40 NCC đã gửi",IF($I139&lt;&gt;"","30 Đã đặt NCC",IF($H139&lt;&gt;"","20 Đã xác nhận","10 Mới")))))))))))</f>
        <v/>
      </c>
      <c r="U139" s="33" t="str">
        <f aca="false">IF($T139="","",IFERROR(VLOOKUP($T139,DS!$A$2:$B$12,2,FALSE()),""))</f>
        <v/>
      </c>
      <c r="V139" s="34" t="str">
        <f aca="true">IF(OR($T139="",LEFT($T139,2)="99",LEFT($T139,2)="95"),"",TODAY()-MAX($E139,$H139:$P139))</f>
        <v/>
      </c>
      <c r="W139" s="34" t="str">
        <f aca="true">IF(AND($E139&lt;&gt;"",$I139="",$R139=""),IF(TODAY()-$E139&gt;1,"⚑",""),"")</f>
        <v/>
      </c>
      <c r="X139" s="34" t="str">
        <f aca="true">IF(AND($J139&lt;&gt;"",$K139="",$R139=""),IF(TODAY()-$J139&gt;2,"⚑",""),"")</f>
        <v/>
      </c>
      <c r="Y139" s="34" t="str">
        <f aca="true">IF(AND($G139&lt;&gt;"",$M139="",$R139=""),IF(AND($G139-TODAY()&lt;=14,$G139&gt;=TODAY()),"⚑",""),"")</f>
        <v/>
      </c>
      <c r="Z139" s="34" t="str">
        <f aca="true">IF(AND($G139&lt;&gt;"",$P139="",$R139=""),IF(TODAY()&gt;$G139,"⚑",""),"")</f>
        <v/>
      </c>
      <c r="AA139" s="34" t="str">
        <f aca="true">IF(AND($E139&lt;&gt;"",$P139="",$R139=""),IF(TODAY()-MAX($E139,$H139,$M139,$S139)&gt;7,"⚑",""),"")</f>
        <v/>
      </c>
      <c r="AB139" s="34" t="str">
        <f aca="false">IF(OR($P139="",$G139=""),"",IF($P139&lt;=$G139,"Có","Không"))</f>
        <v/>
      </c>
      <c r="AC139" s="34" t="str">
        <f aca="false">IF(OR($P139="",$E139=""),"",$P139-$E139)</f>
        <v/>
      </c>
      <c r="AD139" s="35" t="str">
        <f aca="false">IF($A139="","",COUNTIF(CASE!$B$3:$B$202,$A139))</f>
        <v/>
      </c>
      <c r="AE139" s="34" t="str">
        <f aca="false">IF(OR($I139="",$E139=""),"",$I139-$E139)</f>
        <v/>
      </c>
      <c r="AF139" s="34" t="str">
        <f aca="false">IF(OR($K139="",$I139=""),"",$K139-$I139)</f>
        <v/>
      </c>
      <c r="AG139" s="34" t="str">
        <f aca="false">IF(OR($L139="",$K139=""),"",$L139-$K139)</f>
        <v/>
      </c>
      <c r="AH139" s="34" t="str">
        <f aca="false">IF(OR($M139="",$L139=""),"",$M139-$L139)</f>
        <v/>
      </c>
      <c r="AI139" s="34" t="str">
        <f aca="false">IF(OR($P139="",$M139=""),"",$P139-$M139)</f>
        <v/>
      </c>
    </row>
    <row r="140" customFormat="false" ht="15" hidden="false" customHeight="false" outlineLevel="0" collapsed="false">
      <c r="A140" s="29"/>
      <c r="B140" s="29"/>
      <c r="C140" s="29"/>
      <c r="D140" s="30"/>
      <c r="E140" s="31"/>
      <c r="F140" s="32" t="str">
        <f aca="false">IF($E140="","",$E140+7*IFERROR(VLOOKUP($B140,DS!$K$2:$M$4,2,FALSE()),12))</f>
        <v/>
      </c>
      <c r="G140" s="32" t="str">
        <f aca="false">IF($E140="","",$E140+7*IFERROR(VLOOKUP($B140,DS!$K$2:$M$4,3,FALSE()),12))</f>
        <v/>
      </c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3" t="str">
        <f aca="false">IF($A140="","",IF($R140&lt;&gt;"","95 Hủy/hoàn",IF($Q140&lt;&gt;"","99 Đóng",IF($P140&lt;&gt;"","90 Đã giao",IF($O140&lt;&gt;"","80 Đang giao",IF($N140&lt;&gt;"","70 Thông quan",IF($M140&lt;&gt;"","60 Đã xuất",IF($L140&lt;&gt;"","50 QC đạt",IF($K140&lt;&gt;"","40 NCC đã gửi",IF($I140&lt;&gt;"","30 Đã đặt NCC",IF($H140&lt;&gt;"","20 Đã xác nhận","10 Mới")))))))))))</f>
        <v/>
      </c>
      <c r="U140" s="33" t="str">
        <f aca="false">IF($T140="","",IFERROR(VLOOKUP($T140,DS!$A$2:$B$12,2,FALSE()),""))</f>
        <v/>
      </c>
      <c r="V140" s="34" t="str">
        <f aca="true">IF(OR($T140="",LEFT($T140,2)="99",LEFT($T140,2)="95"),"",TODAY()-MAX($E140,$H140:$P140))</f>
        <v/>
      </c>
      <c r="W140" s="34" t="str">
        <f aca="true">IF(AND($E140&lt;&gt;"",$I140="",$R140=""),IF(TODAY()-$E140&gt;1,"⚑",""),"")</f>
        <v/>
      </c>
      <c r="X140" s="34" t="str">
        <f aca="true">IF(AND($J140&lt;&gt;"",$K140="",$R140=""),IF(TODAY()-$J140&gt;2,"⚑",""),"")</f>
        <v/>
      </c>
      <c r="Y140" s="34" t="str">
        <f aca="true">IF(AND($G140&lt;&gt;"",$M140="",$R140=""),IF(AND($G140-TODAY()&lt;=14,$G140&gt;=TODAY()),"⚑",""),"")</f>
        <v/>
      </c>
      <c r="Z140" s="34" t="str">
        <f aca="true">IF(AND($G140&lt;&gt;"",$P140="",$R140=""),IF(TODAY()&gt;$G140,"⚑",""),"")</f>
        <v/>
      </c>
      <c r="AA140" s="34" t="str">
        <f aca="true">IF(AND($E140&lt;&gt;"",$P140="",$R140=""),IF(TODAY()-MAX($E140,$H140,$M140,$S140)&gt;7,"⚑",""),"")</f>
        <v/>
      </c>
      <c r="AB140" s="34" t="str">
        <f aca="false">IF(OR($P140="",$G140=""),"",IF($P140&lt;=$G140,"Có","Không"))</f>
        <v/>
      </c>
      <c r="AC140" s="34" t="str">
        <f aca="false">IF(OR($P140="",$E140=""),"",$P140-$E140)</f>
        <v/>
      </c>
      <c r="AD140" s="35" t="str">
        <f aca="false">IF($A140="","",COUNTIF(CASE!$B$3:$B$202,$A140))</f>
        <v/>
      </c>
      <c r="AE140" s="34" t="str">
        <f aca="false">IF(OR($I140="",$E140=""),"",$I140-$E140)</f>
        <v/>
      </c>
      <c r="AF140" s="34" t="str">
        <f aca="false">IF(OR($K140="",$I140=""),"",$K140-$I140)</f>
        <v/>
      </c>
      <c r="AG140" s="34" t="str">
        <f aca="false">IF(OR($L140="",$K140=""),"",$L140-$K140)</f>
        <v/>
      </c>
      <c r="AH140" s="34" t="str">
        <f aca="false">IF(OR($M140="",$L140=""),"",$M140-$L140)</f>
        <v/>
      </c>
      <c r="AI140" s="34" t="str">
        <f aca="false">IF(OR($P140="",$M140=""),"",$P140-$M140)</f>
        <v/>
      </c>
    </row>
    <row r="141" customFormat="false" ht="15" hidden="false" customHeight="false" outlineLevel="0" collapsed="false">
      <c r="A141" s="29"/>
      <c r="B141" s="29"/>
      <c r="C141" s="29"/>
      <c r="D141" s="30"/>
      <c r="E141" s="31"/>
      <c r="F141" s="32" t="str">
        <f aca="false">IF($E141="","",$E141+7*IFERROR(VLOOKUP($B141,DS!$K$2:$M$4,2,FALSE()),12))</f>
        <v/>
      </c>
      <c r="G141" s="32" t="str">
        <f aca="false">IF($E141="","",$E141+7*IFERROR(VLOOKUP($B141,DS!$K$2:$M$4,3,FALSE()),12))</f>
        <v/>
      </c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3" t="str">
        <f aca="false">IF($A141="","",IF($R141&lt;&gt;"","95 Hủy/hoàn",IF($Q141&lt;&gt;"","99 Đóng",IF($P141&lt;&gt;"","90 Đã giao",IF($O141&lt;&gt;"","80 Đang giao",IF($N141&lt;&gt;"","70 Thông quan",IF($M141&lt;&gt;"","60 Đã xuất",IF($L141&lt;&gt;"","50 QC đạt",IF($K141&lt;&gt;"","40 NCC đã gửi",IF($I141&lt;&gt;"","30 Đã đặt NCC",IF($H141&lt;&gt;"","20 Đã xác nhận","10 Mới")))))))))))</f>
        <v/>
      </c>
      <c r="U141" s="33" t="str">
        <f aca="false">IF($T141="","",IFERROR(VLOOKUP($T141,DS!$A$2:$B$12,2,FALSE()),""))</f>
        <v/>
      </c>
      <c r="V141" s="34" t="str">
        <f aca="true">IF(OR($T141="",LEFT($T141,2)="99",LEFT($T141,2)="95"),"",TODAY()-MAX($E141,$H141:$P141))</f>
        <v/>
      </c>
      <c r="W141" s="34" t="str">
        <f aca="true">IF(AND($E141&lt;&gt;"",$I141="",$R141=""),IF(TODAY()-$E141&gt;1,"⚑",""),"")</f>
        <v/>
      </c>
      <c r="X141" s="34" t="str">
        <f aca="true">IF(AND($J141&lt;&gt;"",$K141="",$R141=""),IF(TODAY()-$J141&gt;2,"⚑",""),"")</f>
        <v/>
      </c>
      <c r="Y141" s="34" t="str">
        <f aca="true">IF(AND($G141&lt;&gt;"",$M141="",$R141=""),IF(AND($G141-TODAY()&lt;=14,$G141&gt;=TODAY()),"⚑",""),"")</f>
        <v/>
      </c>
      <c r="Z141" s="34" t="str">
        <f aca="true">IF(AND($G141&lt;&gt;"",$P141="",$R141=""),IF(TODAY()&gt;$G141,"⚑",""),"")</f>
        <v/>
      </c>
      <c r="AA141" s="34" t="str">
        <f aca="true">IF(AND($E141&lt;&gt;"",$P141="",$R141=""),IF(TODAY()-MAX($E141,$H141,$M141,$S141)&gt;7,"⚑",""),"")</f>
        <v/>
      </c>
      <c r="AB141" s="34" t="str">
        <f aca="false">IF(OR($P141="",$G141=""),"",IF($P141&lt;=$G141,"Có","Không"))</f>
        <v/>
      </c>
      <c r="AC141" s="34" t="str">
        <f aca="false">IF(OR($P141="",$E141=""),"",$P141-$E141)</f>
        <v/>
      </c>
      <c r="AD141" s="35" t="str">
        <f aca="false">IF($A141="","",COUNTIF(CASE!$B$3:$B$202,$A141))</f>
        <v/>
      </c>
      <c r="AE141" s="34" t="str">
        <f aca="false">IF(OR($I141="",$E141=""),"",$I141-$E141)</f>
        <v/>
      </c>
      <c r="AF141" s="34" t="str">
        <f aca="false">IF(OR($K141="",$I141=""),"",$K141-$I141)</f>
        <v/>
      </c>
      <c r="AG141" s="34" t="str">
        <f aca="false">IF(OR($L141="",$K141=""),"",$L141-$K141)</f>
        <v/>
      </c>
      <c r="AH141" s="34" t="str">
        <f aca="false">IF(OR($M141="",$L141=""),"",$M141-$L141)</f>
        <v/>
      </c>
      <c r="AI141" s="34" t="str">
        <f aca="false">IF(OR($P141="",$M141=""),"",$P141-$M141)</f>
        <v/>
      </c>
    </row>
    <row r="142" customFormat="false" ht="15" hidden="false" customHeight="false" outlineLevel="0" collapsed="false">
      <c r="A142" s="29"/>
      <c r="B142" s="29"/>
      <c r="C142" s="29"/>
      <c r="D142" s="30"/>
      <c r="E142" s="31"/>
      <c r="F142" s="32" t="str">
        <f aca="false">IF($E142="","",$E142+7*IFERROR(VLOOKUP($B142,DS!$K$2:$M$4,2,FALSE()),12))</f>
        <v/>
      </c>
      <c r="G142" s="32" t="str">
        <f aca="false">IF($E142="","",$E142+7*IFERROR(VLOOKUP($B142,DS!$K$2:$M$4,3,FALSE()),12))</f>
        <v/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3" t="str">
        <f aca="false">IF($A142="","",IF($R142&lt;&gt;"","95 Hủy/hoàn",IF($Q142&lt;&gt;"","99 Đóng",IF($P142&lt;&gt;"","90 Đã giao",IF($O142&lt;&gt;"","80 Đang giao",IF($N142&lt;&gt;"","70 Thông quan",IF($M142&lt;&gt;"","60 Đã xuất",IF($L142&lt;&gt;"","50 QC đạt",IF($K142&lt;&gt;"","40 NCC đã gửi",IF($I142&lt;&gt;"","30 Đã đặt NCC",IF($H142&lt;&gt;"","20 Đã xác nhận","10 Mới")))))))))))</f>
        <v/>
      </c>
      <c r="U142" s="33" t="str">
        <f aca="false">IF($T142="","",IFERROR(VLOOKUP($T142,DS!$A$2:$B$12,2,FALSE()),""))</f>
        <v/>
      </c>
      <c r="V142" s="34" t="str">
        <f aca="true">IF(OR($T142="",LEFT($T142,2)="99",LEFT($T142,2)="95"),"",TODAY()-MAX($E142,$H142:$P142))</f>
        <v/>
      </c>
      <c r="W142" s="34" t="str">
        <f aca="true">IF(AND($E142&lt;&gt;"",$I142="",$R142=""),IF(TODAY()-$E142&gt;1,"⚑",""),"")</f>
        <v/>
      </c>
      <c r="X142" s="34" t="str">
        <f aca="true">IF(AND($J142&lt;&gt;"",$K142="",$R142=""),IF(TODAY()-$J142&gt;2,"⚑",""),"")</f>
        <v/>
      </c>
      <c r="Y142" s="34" t="str">
        <f aca="true">IF(AND($G142&lt;&gt;"",$M142="",$R142=""),IF(AND($G142-TODAY()&lt;=14,$G142&gt;=TODAY()),"⚑",""),"")</f>
        <v/>
      </c>
      <c r="Z142" s="34" t="str">
        <f aca="true">IF(AND($G142&lt;&gt;"",$P142="",$R142=""),IF(TODAY()&gt;$G142,"⚑",""),"")</f>
        <v/>
      </c>
      <c r="AA142" s="34" t="str">
        <f aca="true">IF(AND($E142&lt;&gt;"",$P142="",$R142=""),IF(TODAY()-MAX($E142,$H142,$M142,$S142)&gt;7,"⚑",""),"")</f>
        <v/>
      </c>
      <c r="AB142" s="34" t="str">
        <f aca="false">IF(OR($P142="",$G142=""),"",IF($P142&lt;=$G142,"Có","Không"))</f>
        <v/>
      </c>
      <c r="AC142" s="34" t="str">
        <f aca="false">IF(OR($P142="",$E142=""),"",$P142-$E142)</f>
        <v/>
      </c>
      <c r="AD142" s="35" t="str">
        <f aca="false">IF($A142="","",COUNTIF(CASE!$B$3:$B$202,$A142))</f>
        <v/>
      </c>
      <c r="AE142" s="34" t="str">
        <f aca="false">IF(OR($I142="",$E142=""),"",$I142-$E142)</f>
        <v/>
      </c>
      <c r="AF142" s="34" t="str">
        <f aca="false">IF(OR($K142="",$I142=""),"",$K142-$I142)</f>
        <v/>
      </c>
      <c r="AG142" s="34" t="str">
        <f aca="false">IF(OR($L142="",$K142=""),"",$L142-$K142)</f>
        <v/>
      </c>
      <c r="AH142" s="34" t="str">
        <f aca="false">IF(OR($M142="",$L142=""),"",$M142-$L142)</f>
        <v/>
      </c>
      <c r="AI142" s="34" t="str">
        <f aca="false">IF(OR($P142="",$M142=""),"",$P142-$M142)</f>
        <v/>
      </c>
    </row>
    <row r="143" customFormat="false" ht="15" hidden="false" customHeight="false" outlineLevel="0" collapsed="false">
      <c r="A143" s="29"/>
      <c r="B143" s="29"/>
      <c r="C143" s="29"/>
      <c r="D143" s="30"/>
      <c r="E143" s="31"/>
      <c r="F143" s="32" t="str">
        <f aca="false">IF($E143="","",$E143+7*IFERROR(VLOOKUP($B143,DS!$K$2:$M$4,2,FALSE()),12))</f>
        <v/>
      </c>
      <c r="G143" s="32" t="str">
        <f aca="false">IF($E143="","",$E143+7*IFERROR(VLOOKUP($B143,DS!$K$2:$M$4,3,FALSE()),12))</f>
        <v/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3" t="str">
        <f aca="false">IF($A143="","",IF($R143&lt;&gt;"","95 Hủy/hoàn",IF($Q143&lt;&gt;"","99 Đóng",IF($P143&lt;&gt;"","90 Đã giao",IF($O143&lt;&gt;"","80 Đang giao",IF($N143&lt;&gt;"","70 Thông quan",IF($M143&lt;&gt;"","60 Đã xuất",IF($L143&lt;&gt;"","50 QC đạt",IF($K143&lt;&gt;"","40 NCC đã gửi",IF($I143&lt;&gt;"","30 Đã đặt NCC",IF($H143&lt;&gt;"","20 Đã xác nhận","10 Mới")))))))))))</f>
        <v/>
      </c>
      <c r="U143" s="33" t="str">
        <f aca="false">IF($T143="","",IFERROR(VLOOKUP($T143,DS!$A$2:$B$12,2,FALSE()),""))</f>
        <v/>
      </c>
      <c r="V143" s="34" t="str">
        <f aca="true">IF(OR($T143="",LEFT($T143,2)="99",LEFT($T143,2)="95"),"",TODAY()-MAX($E143,$H143:$P143))</f>
        <v/>
      </c>
      <c r="W143" s="34" t="str">
        <f aca="true">IF(AND($E143&lt;&gt;"",$I143="",$R143=""),IF(TODAY()-$E143&gt;1,"⚑",""),"")</f>
        <v/>
      </c>
      <c r="X143" s="34" t="str">
        <f aca="true">IF(AND($J143&lt;&gt;"",$K143="",$R143=""),IF(TODAY()-$J143&gt;2,"⚑",""),"")</f>
        <v/>
      </c>
      <c r="Y143" s="34" t="str">
        <f aca="true">IF(AND($G143&lt;&gt;"",$M143="",$R143=""),IF(AND($G143-TODAY()&lt;=14,$G143&gt;=TODAY()),"⚑",""),"")</f>
        <v/>
      </c>
      <c r="Z143" s="34" t="str">
        <f aca="true">IF(AND($G143&lt;&gt;"",$P143="",$R143=""),IF(TODAY()&gt;$G143,"⚑",""),"")</f>
        <v/>
      </c>
      <c r="AA143" s="34" t="str">
        <f aca="true">IF(AND($E143&lt;&gt;"",$P143="",$R143=""),IF(TODAY()-MAX($E143,$H143,$M143,$S143)&gt;7,"⚑",""),"")</f>
        <v/>
      </c>
      <c r="AB143" s="34" t="str">
        <f aca="false">IF(OR($P143="",$G143=""),"",IF($P143&lt;=$G143,"Có","Không"))</f>
        <v/>
      </c>
      <c r="AC143" s="34" t="str">
        <f aca="false">IF(OR($P143="",$E143=""),"",$P143-$E143)</f>
        <v/>
      </c>
      <c r="AD143" s="35" t="str">
        <f aca="false">IF($A143="","",COUNTIF(CASE!$B$3:$B$202,$A143))</f>
        <v/>
      </c>
      <c r="AE143" s="34" t="str">
        <f aca="false">IF(OR($I143="",$E143=""),"",$I143-$E143)</f>
        <v/>
      </c>
      <c r="AF143" s="34" t="str">
        <f aca="false">IF(OR($K143="",$I143=""),"",$K143-$I143)</f>
        <v/>
      </c>
      <c r="AG143" s="34" t="str">
        <f aca="false">IF(OR($L143="",$K143=""),"",$L143-$K143)</f>
        <v/>
      </c>
      <c r="AH143" s="34" t="str">
        <f aca="false">IF(OR($M143="",$L143=""),"",$M143-$L143)</f>
        <v/>
      </c>
      <c r="AI143" s="34" t="str">
        <f aca="false">IF(OR($P143="",$M143=""),"",$P143-$M143)</f>
        <v/>
      </c>
    </row>
    <row r="144" customFormat="false" ht="15" hidden="false" customHeight="false" outlineLevel="0" collapsed="false">
      <c r="A144" s="29"/>
      <c r="B144" s="29"/>
      <c r="C144" s="29"/>
      <c r="D144" s="30"/>
      <c r="E144" s="31"/>
      <c r="F144" s="32" t="str">
        <f aca="false">IF($E144="","",$E144+7*IFERROR(VLOOKUP($B144,DS!$K$2:$M$4,2,FALSE()),12))</f>
        <v/>
      </c>
      <c r="G144" s="32" t="str">
        <f aca="false">IF($E144="","",$E144+7*IFERROR(VLOOKUP($B144,DS!$K$2:$M$4,3,FALSE()),12))</f>
        <v/>
      </c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3" t="str">
        <f aca="false">IF($A144="","",IF($R144&lt;&gt;"","95 Hủy/hoàn",IF($Q144&lt;&gt;"","99 Đóng",IF($P144&lt;&gt;"","90 Đã giao",IF($O144&lt;&gt;"","80 Đang giao",IF($N144&lt;&gt;"","70 Thông quan",IF($M144&lt;&gt;"","60 Đã xuất",IF($L144&lt;&gt;"","50 QC đạt",IF($K144&lt;&gt;"","40 NCC đã gửi",IF($I144&lt;&gt;"","30 Đã đặt NCC",IF($H144&lt;&gt;"","20 Đã xác nhận","10 Mới")))))))))))</f>
        <v/>
      </c>
      <c r="U144" s="33" t="str">
        <f aca="false">IF($T144="","",IFERROR(VLOOKUP($T144,DS!$A$2:$B$12,2,FALSE()),""))</f>
        <v/>
      </c>
      <c r="V144" s="34" t="str">
        <f aca="true">IF(OR($T144="",LEFT($T144,2)="99",LEFT($T144,2)="95"),"",TODAY()-MAX($E144,$H144:$P144))</f>
        <v/>
      </c>
      <c r="W144" s="34" t="str">
        <f aca="true">IF(AND($E144&lt;&gt;"",$I144="",$R144=""),IF(TODAY()-$E144&gt;1,"⚑",""),"")</f>
        <v/>
      </c>
      <c r="X144" s="34" t="str">
        <f aca="true">IF(AND($J144&lt;&gt;"",$K144="",$R144=""),IF(TODAY()-$J144&gt;2,"⚑",""),"")</f>
        <v/>
      </c>
      <c r="Y144" s="34" t="str">
        <f aca="true">IF(AND($G144&lt;&gt;"",$M144="",$R144=""),IF(AND($G144-TODAY()&lt;=14,$G144&gt;=TODAY()),"⚑",""),"")</f>
        <v/>
      </c>
      <c r="Z144" s="34" t="str">
        <f aca="true">IF(AND($G144&lt;&gt;"",$P144="",$R144=""),IF(TODAY()&gt;$G144,"⚑",""),"")</f>
        <v/>
      </c>
      <c r="AA144" s="34" t="str">
        <f aca="true">IF(AND($E144&lt;&gt;"",$P144="",$R144=""),IF(TODAY()-MAX($E144,$H144,$M144,$S144)&gt;7,"⚑",""),"")</f>
        <v/>
      </c>
      <c r="AB144" s="34" t="str">
        <f aca="false">IF(OR($P144="",$G144=""),"",IF($P144&lt;=$G144,"Có","Không"))</f>
        <v/>
      </c>
      <c r="AC144" s="34" t="str">
        <f aca="false">IF(OR($P144="",$E144=""),"",$P144-$E144)</f>
        <v/>
      </c>
      <c r="AD144" s="35" t="str">
        <f aca="false">IF($A144="","",COUNTIF(CASE!$B$3:$B$202,$A144))</f>
        <v/>
      </c>
      <c r="AE144" s="34" t="str">
        <f aca="false">IF(OR($I144="",$E144=""),"",$I144-$E144)</f>
        <v/>
      </c>
      <c r="AF144" s="34" t="str">
        <f aca="false">IF(OR($K144="",$I144=""),"",$K144-$I144)</f>
        <v/>
      </c>
      <c r="AG144" s="34" t="str">
        <f aca="false">IF(OR($L144="",$K144=""),"",$L144-$K144)</f>
        <v/>
      </c>
      <c r="AH144" s="34" t="str">
        <f aca="false">IF(OR($M144="",$L144=""),"",$M144-$L144)</f>
        <v/>
      </c>
      <c r="AI144" s="34" t="str">
        <f aca="false">IF(OR($P144="",$M144=""),"",$P144-$M144)</f>
        <v/>
      </c>
    </row>
    <row r="145" customFormat="false" ht="15" hidden="false" customHeight="false" outlineLevel="0" collapsed="false">
      <c r="A145" s="29"/>
      <c r="B145" s="29"/>
      <c r="C145" s="29"/>
      <c r="D145" s="30"/>
      <c r="E145" s="31"/>
      <c r="F145" s="32" t="str">
        <f aca="false">IF($E145="","",$E145+7*IFERROR(VLOOKUP($B145,DS!$K$2:$M$4,2,FALSE()),12))</f>
        <v/>
      </c>
      <c r="G145" s="32" t="str">
        <f aca="false">IF($E145="","",$E145+7*IFERROR(VLOOKUP($B145,DS!$K$2:$M$4,3,FALSE()),12))</f>
        <v/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3" t="str">
        <f aca="false">IF($A145="","",IF($R145&lt;&gt;"","95 Hủy/hoàn",IF($Q145&lt;&gt;"","99 Đóng",IF($P145&lt;&gt;"","90 Đã giao",IF($O145&lt;&gt;"","80 Đang giao",IF($N145&lt;&gt;"","70 Thông quan",IF($M145&lt;&gt;"","60 Đã xuất",IF($L145&lt;&gt;"","50 QC đạt",IF($K145&lt;&gt;"","40 NCC đã gửi",IF($I145&lt;&gt;"","30 Đã đặt NCC",IF($H145&lt;&gt;"","20 Đã xác nhận","10 Mới")))))))))))</f>
        <v/>
      </c>
      <c r="U145" s="33" t="str">
        <f aca="false">IF($T145="","",IFERROR(VLOOKUP($T145,DS!$A$2:$B$12,2,FALSE()),""))</f>
        <v/>
      </c>
      <c r="V145" s="34" t="str">
        <f aca="true">IF(OR($T145="",LEFT($T145,2)="99",LEFT($T145,2)="95"),"",TODAY()-MAX($E145,$H145:$P145))</f>
        <v/>
      </c>
      <c r="W145" s="34" t="str">
        <f aca="true">IF(AND($E145&lt;&gt;"",$I145="",$R145=""),IF(TODAY()-$E145&gt;1,"⚑",""),"")</f>
        <v/>
      </c>
      <c r="X145" s="34" t="str">
        <f aca="true">IF(AND($J145&lt;&gt;"",$K145="",$R145=""),IF(TODAY()-$J145&gt;2,"⚑",""),"")</f>
        <v/>
      </c>
      <c r="Y145" s="34" t="str">
        <f aca="true">IF(AND($G145&lt;&gt;"",$M145="",$R145=""),IF(AND($G145-TODAY()&lt;=14,$G145&gt;=TODAY()),"⚑",""),"")</f>
        <v/>
      </c>
      <c r="Z145" s="34" t="str">
        <f aca="true">IF(AND($G145&lt;&gt;"",$P145="",$R145=""),IF(TODAY()&gt;$G145,"⚑",""),"")</f>
        <v/>
      </c>
      <c r="AA145" s="34" t="str">
        <f aca="true">IF(AND($E145&lt;&gt;"",$P145="",$R145=""),IF(TODAY()-MAX($E145,$H145,$M145,$S145)&gt;7,"⚑",""),"")</f>
        <v/>
      </c>
      <c r="AB145" s="34" t="str">
        <f aca="false">IF(OR($P145="",$G145=""),"",IF($P145&lt;=$G145,"Có","Không"))</f>
        <v/>
      </c>
      <c r="AC145" s="34" t="str">
        <f aca="false">IF(OR($P145="",$E145=""),"",$P145-$E145)</f>
        <v/>
      </c>
      <c r="AD145" s="35" t="str">
        <f aca="false">IF($A145="","",COUNTIF(CASE!$B$3:$B$202,$A145))</f>
        <v/>
      </c>
      <c r="AE145" s="34" t="str">
        <f aca="false">IF(OR($I145="",$E145=""),"",$I145-$E145)</f>
        <v/>
      </c>
      <c r="AF145" s="34" t="str">
        <f aca="false">IF(OR($K145="",$I145=""),"",$K145-$I145)</f>
        <v/>
      </c>
      <c r="AG145" s="34" t="str">
        <f aca="false">IF(OR($L145="",$K145=""),"",$L145-$K145)</f>
        <v/>
      </c>
      <c r="AH145" s="34" t="str">
        <f aca="false">IF(OR($M145="",$L145=""),"",$M145-$L145)</f>
        <v/>
      </c>
      <c r="AI145" s="34" t="str">
        <f aca="false">IF(OR($P145="",$M145=""),"",$P145-$M145)</f>
        <v/>
      </c>
    </row>
    <row r="146" customFormat="false" ht="15" hidden="false" customHeight="false" outlineLevel="0" collapsed="false">
      <c r="A146" s="29"/>
      <c r="B146" s="29"/>
      <c r="C146" s="29"/>
      <c r="D146" s="30"/>
      <c r="E146" s="31"/>
      <c r="F146" s="32" t="str">
        <f aca="false">IF($E146="","",$E146+7*IFERROR(VLOOKUP($B146,DS!$K$2:$M$4,2,FALSE()),12))</f>
        <v/>
      </c>
      <c r="G146" s="32" t="str">
        <f aca="false">IF($E146="","",$E146+7*IFERROR(VLOOKUP($B146,DS!$K$2:$M$4,3,FALSE()),12))</f>
        <v/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3" t="str">
        <f aca="false">IF($A146="","",IF($R146&lt;&gt;"","95 Hủy/hoàn",IF($Q146&lt;&gt;"","99 Đóng",IF($P146&lt;&gt;"","90 Đã giao",IF($O146&lt;&gt;"","80 Đang giao",IF($N146&lt;&gt;"","70 Thông quan",IF($M146&lt;&gt;"","60 Đã xuất",IF($L146&lt;&gt;"","50 QC đạt",IF($K146&lt;&gt;"","40 NCC đã gửi",IF($I146&lt;&gt;"","30 Đã đặt NCC",IF($H146&lt;&gt;"","20 Đã xác nhận","10 Mới")))))))))))</f>
        <v/>
      </c>
      <c r="U146" s="33" t="str">
        <f aca="false">IF($T146="","",IFERROR(VLOOKUP($T146,DS!$A$2:$B$12,2,FALSE()),""))</f>
        <v/>
      </c>
      <c r="V146" s="34" t="str">
        <f aca="true">IF(OR($T146="",LEFT($T146,2)="99",LEFT($T146,2)="95"),"",TODAY()-MAX($E146,$H146:$P146))</f>
        <v/>
      </c>
      <c r="W146" s="34" t="str">
        <f aca="true">IF(AND($E146&lt;&gt;"",$I146="",$R146=""),IF(TODAY()-$E146&gt;1,"⚑",""),"")</f>
        <v/>
      </c>
      <c r="X146" s="34" t="str">
        <f aca="true">IF(AND($J146&lt;&gt;"",$K146="",$R146=""),IF(TODAY()-$J146&gt;2,"⚑",""),"")</f>
        <v/>
      </c>
      <c r="Y146" s="34" t="str">
        <f aca="true">IF(AND($G146&lt;&gt;"",$M146="",$R146=""),IF(AND($G146-TODAY()&lt;=14,$G146&gt;=TODAY()),"⚑",""),"")</f>
        <v/>
      </c>
      <c r="Z146" s="34" t="str">
        <f aca="true">IF(AND($G146&lt;&gt;"",$P146="",$R146=""),IF(TODAY()&gt;$G146,"⚑",""),"")</f>
        <v/>
      </c>
      <c r="AA146" s="34" t="str">
        <f aca="true">IF(AND($E146&lt;&gt;"",$P146="",$R146=""),IF(TODAY()-MAX($E146,$H146,$M146,$S146)&gt;7,"⚑",""),"")</f>
        <v/>
      </c>
      <c r="AB146" s="34" t="str">
        <f aca="false">IF(OR($P146="",$G146=""),"",IF($P146&lt;=$G146,"Có","Không"))</f>
        <v/>
      </c>
      <c r="AC146" s="34" t="str">
        <f aca="false">IF(OR($P146="",$E146=""),"",$P146-$E146)</f>
        <v/>
      </c>
      <c r="AD146" s="35" t="str">
        <f aca="false">IF($A146="","",COUNTIF(CASE!$B$3:$B$202,$A146))</f>
        <v/>
      </c>
      <c r="AE146" s="34" t="str">
        <f aca="false">IF(OR($I146="",$E146=""),"",$I146-$E146)</f>
        <v/>
      </c>
      <c r="AF146" s="34" t="str">
        <f aca="false">IF(OR($K146="",$I146=""),"",$K146-$I146)</f>
        <v/>
      </c>
      <c r="AG146" s="34" t="str">
        <f aca="false">IF(OR($L146="",$K146=""),"",$L146-$K146)</f>
        <v/>
      </c>
      <c r="AH146" s="34" t="str">
        <f aca="false">IF(OR($M146="",$L146=""),"",$M146-$L146)</f>
        <v/>
      </c>
      <c r="AI146" s="34" t="str">
        <f aca="false">IF(OR($P146="",$M146=""),"",$P146-$M146)</f>
        <v/>
      </c>
    </row>
    <row r="147" customFormat="false" ht="15" hidden="false" customHeight="false" outlineLevel="0" collapsed="false">
      <c r="A147" s="29"/>
      <c r="B147" s="29"/>
      <c r="C147" s="29"/>
      <c r="D147" s="30"/>
      <c r="E147" s="31"/>
      <c r="F147" s="32" t="str">
        <f aca="false">IF($E147="","",$E147+7*IFERROR(VLOOKUP($B147,DS!$K$2:$M$4,2,FALSE()),12))</f>
        <v/>
      </c>
      <c r="G147" s="32" t="str">
        <f aca="false">IF($E147="","",$E147+7*IFERROR(VLOOKUP($B147,DS!$K$2:$M$4,3,FALSE()),12))</f>
        <v/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3" t="str">
        <f aca="false">IF($A147="","",IF($R147&lt;&gt;"","95 Hủy/hoàn",IF($Q147&lt;&gt;"","99 Đóng",IF($P147&lt;&gt;"","90 Đã giao",IF($O147&lt;&gt;"","80 Đang giao",IF($N147&lt;&gt;"","70 Thông quan",IF($M147&lt;&gt;"","60 Đã xuất",IF($L147&lt;&gt;"","50 QC đạt",IF($K147&lt;&gt;"","40 NCC đã gửi",IF($I147&lt;&gt;"","30 Đã đặt NCC",IF($H147&lt;&gt;"","20 Đã xác nhận","10 Mới")))))))))))</f>
        <v/>
      </c>
      <c r="U147" s="33" t="str">
        <f aca="false">IF($T147="","",IFERROR(VLOOKUP($T147,DS!$A$2:$B$12,2,FALSE()),""))</f>
        <v/>
      </c>
      <c r="V147" s="34" t="str">
        <f aca="true">IF(OR($T147="",LEFT($T147,2)="99",LEFT($T147,2)="95"),"",TODAY()-MAX($E147,$H147:$P147))</f>
        <v/>
      </c>
      <c r="W147" s="34" t="str">
        <f aca="true">IF(AND($E147&lt;&gt;"",$I147="",$R147=""),IF(TODAY()-$E147&gt;1,"⚑",""),"")</f>
        <v/>
      </c>
      <c r="X147" s="34" t="str">
        <f aca="true">IF(AND($J147&lt;&gt;"",$K147="",$R147=""),IF(TODAY()-$J147&gt;2,"⚑",""),"")</f>
        <v/>
      </c>
      <c r="Y147" s="34" t="str">
        <f aca="true">IF(AND($G147&lt;&gt;"",$M147="",$R147=""),IF(AND($G147-TODAY()&lt;=14,$G147&gt;=TODAY()),"⚑",""),"")</f>
        <v/>
      </c>
      <c r="Z147" s="34" t="str">
        <f aca="true">IF(AND($G147&lt;&gt;"",$P147="",$R147=""),IF(TODAY()&gt;$G147,"⚑",""),"")</f>
        <v/>
      </c>
      <c r="AA147" s="34" t="str">
        <f aca="true">IF(AND($E147&lt;&gt;"",$P147="",$R147=""),IF(TODAY()-MAX($E147,$H147,$M147,$S147)&gt;7,"⚑",""),"")</f>
        <v/>
      </c>
      <c r="AB147" s="34" t="str">
        <f aca="false">IF(OR($P147="",$G147=""),"",IF($P147&lt;=$G147,"Có","Không"))</f>
        <v/>
      </c>
      <c r="AC147" s="34" t="str">
        <f aca="false">IF(OR($P147="",$E147=""),"",$P147-$E147)</f>
        <v/>
      </c>
      <c r="AD147" s="35" t="str">
        <f aca="false">IF($A147="","",COUNTIF(CASE!$B$3:$B$202,$A147))</f>
        <v/>
      </c>
      <c r="AE147" s="34" t="str">
        <f aca="false">IF(OR($I147="",$E147=""),"",$I147-$E147)</f>
        <v/>
      </c>
      <c r="AF147" s="34" t="str">
        <f aca="false">IF(OR($K147="",$I147=""),"",$K147-$I147)</f>
        <v/>
      </c>
      <c r="AG147" s="34" t="str">
        <f aca="false">IF(OR($L147="",$K147=""),"",$L147-$K147)</f>
        <v/>
      </c>
      <c r="AH147" s="34" t="str">
        <f aca="false">IF(OR($M147="",$L147=""),"",$M147-$L147)</f>
        <v/>
      </c>
      <c r="AI147" s="34" t="str">
        <f aca="false">IF(OR($P147="",$M147=""),"",$P147-$M147)</f>
        <v/>
      </c>
    </row>
    <row r="148" customFormat="false" ht="15" hidden="false" customHeight="false" outlineLevel="0" collapsed="false">
      <c r="A148" s="29"/>
      <c r="B148" s="29"/>
      <c r="C148" s="29"/>
      <c r="D148" s="30"/>
      <c r="E148" s="31"/>
      <c r="F148" s="32" t="str">
        <f aca="false">IF($E148="","",$E148+7*IFERROR(VLOOKUP($B148,DS!$K$2:$M$4,2,FALSE()),12))</f>
        <v/>
      </c>
      <c r="G148" s="32" t="str">
        <f aca="false">IF($E148="","",$E148+7*IFERROR(VLOOKUP($B148,DS!$K$2:$M$4,3,FALSE()),12))</f>
        <v/>
      </c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3" t="str">
        <f aca="false">IF($A148="","",IF($R148&lt;&gt;"","95 Hủy/hoàn",IF($Q148&lt;&gt;"","99 Đóng",IF($P148&lt;&gt;"","90 Đã giao",IF($O148&lt;&gt;"","80 Đang giao",IF($N148&lt;&gt;"","70 Thông quan",IF($M148&lt;&gt;"","60 Đã xuất",IF($L148&lt;&gt;"","50 QC đạt",IF($K148&lt;&gt;"","40 NCC đã gửi",IF($I148&lt;&gt;"","30 Đã đặt NCC",IF($H148&lt;&gt;"","20 Đã xác nhận","10 Mới")))))))))))</f>
        <v/>
      </c>
      <c r="U148" s="33" t="str">
        <f aca="false">IF($T148="","",IFERROR(VLOOKUP($T148,DS!$A$2:$B$12,2,FALSE()),""))</f>
        <v/>
      </c>
      <c r="V148" s="34" t="str">
        <f aca="true">IF(OR($T148="",LEFT($T148,2)="99",LEFT($T148,2)="95"),"",TODAY()-MAX($E148,$H148:$P148))</f>
        <v/>
      </c>
      <c r="W148" s="34" t="str">
        <f aca="true">IF(AND($E148&lt;&gt;"",$I148="",$R148=""),IF(TODAY()-$E148&gt;1,"⚑",""),"")</f>
        <v/>
      </c>
      <c r="X148" s="34" t="str">
        <f aca="true">IF(AND($J148&lt;&gt;"",$K148="",$R148=""),IF(TODAY()-$J148&gt;2,"⚑",""),"")</f>
        <v/>
      </c>
      <c r="Y148" s="34" t="str">
        <f aca="true">IF(AND($G148&lt;&gt;"",$M148="",$R148=""),IF(AND($G148-TODAY()&lt;=14,$G148&gt;=TODAY()),"⚑",""),"")</f>
        <v/>
      </c>
      <c r="Z148" s="34" t="str">
        <f aca="true">IF(AND($G148&lt;&gt;"",$P148="",$R148=""),IF(TODAY()&gt;$G148,"⚑",""),"")</f>
        <v/>
      </c>
      <c r="AA148" s="34" t="str">
        <f aca="true">IF(AND($E148&lt;&gt;"",$P148="",$R148=""),IF(TODAY()-MAX($E148,$H148,$M148,$S148)&gt;7,"⚑",""),"")</f>
        <v/>
      </c>
      <c r="AB148" s="34" t="str">
        <f aca="false">IF(OR($P148="",$G148=""),"",IF($P148&lt;=$G148,"Có","Không"))</f>
        <v/>
      </c>
      <c r="AC148" s="34" t="str">
        <f aca="false">IF(OR($P148="",$E148=""),"",$P148-$E148)</f>
        <v/>
      </c>
      <c r="AD148" s="35" t="str">
        <f aca="false">IF($A148="","",COUNTIF(CASE!$B$3:$B$202,$A148))</f>
        <v/>
      </c>
      <c r="AE148" s="34" t="str">
        <f aca="false">IF(OR($I148="",$E148=""),"",$I148-$E148)</f>
        <v/>
      </c>
      <c r="AF148" s="34" t="str">
        <f aca="false">IF(OR($K148="",$I148=""),"",$K148-$I148)</f>
        <v/>
      </c>
      <c r="AG148" s="34" t="str">
        <f aca="false">IF(OR($L148="",$K148=""),"",$L148-$K148)</f>
        <v/>
      </c>
      <c r="AH148" s="34" t="str">
        <f aca="false">IF(OR($M148="",$L148=""),"",$M148-$L148)</f>
        <v/>
      </c>
      <c r="AI148" s="34" t="str">
        <f aca="false">IF(OR($P148="",$M148=""),"",$P148-$M148)</f>
        <v/>
      </c>
    </row>
    <row r="149" customFormat="false" ht="15" hidden="false" customHeight="false" outlineLevel="0" collapsed="false">
      <c r="A149" s="29"/>
      <c r="B149" s="29"/>
      <c r="C149" s="29"/>
      <c r="D149" s="30"/>
      <c r="E149" s="31"/>
      <c r="F149" s="32" t="str">
        <f aca="false">IF($E149="","",$E149+7*IFERROR(VLOOKUP($B149,DS!$K$2:$M$4,2,FALSE()),12))</f>
        <v/>
      </c>
      <c r="G149" s="32" t="str">
        <f aca="false">IF($E149="","",$E149+7*IFERROR(VLOOKUP($B149,DS!$K$2:$M$4,3,FALSE()),12))</f>
        <v/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3" t="str">
        <f aca="false">IF($A149="","",IF($R149&lt;&gt;"","95 Hủy/hoàn",IF($Q149&lt;&gt;"","99 Đóng",IF($P149&lt;&gt;"","90 Đã giao",IF($O149&lt;&gt;"","80 Đang giao",IF($N149&lt;&gt;"","70 Thông quan",IF($M149&lt;&gt;"","60 Đã xuất",IF($L149&lt;&gt;"","50 QC đạt",IF($K149&lt;&gt;"","40 NCC đã gửi",IF($I149&lt;&gt;"","30 Đã đặt NCC",IF($H149&lt;&gt;"","20 Đã xác nhận","10 Mới")))))))))))</f>
        <v/>
      </c>
      <c r="U149" s="33" t="str">
        <f aca="false">IF($T149="","",IFERROR(VLOOKUP($T149,DS!$A$2:$B$12,2,FALSE()),""))</f>
        <v/>
      </c>
      <c r="V149" s="34" t="str">
        <f aca="true">IF(OR($T149="",LEFT($T149,2)="99",LEFT($T149,2)="95"),"",TODAY()-MAX($E149,$H149:$P149))</f>
        <v/>
      </c>
      <c r="W149" s="34" t="str">
        <f aca="true">IF(AND($E149&lt;&gt;"",$I149="",$R149=""),IF(TODAY()-$E149&gt;1,"⚑",""),"")</f>
        <v/>
      </c>
      <c r="X149" s="34" t="str">
        <f aca="true">IF(AND($J149&lt;&gt;"",$K149="",$R149=""),IF(TODAY()-$J149&gt;2,"⚑",""),"")</f>
        <v/>
      </c>
      <c r="Y149" s="34" t="str">
        <f aca="true">IF(AND($G149&lt;&gt;"",$M149="",$R149=""),IF(AND($G149-TODAY()&lt;=14,$G149&gt;=TODAY()),"⚑",""),"")</f>
        <v/>
      </c>
      <c r="Z149" s="34" t="str">
        <f aca="true">IF(AND($G149&lt;&gt;"",$P149="",$R149=""),IF(TODAY()&gt;$G149,"⚑",""),"")</f>
        <v/>
      </c>
      <c r="AA149" s="34" t="str">
        <f aca="true">IF(AND($E149&lt;&gt;"",$P149="",$R149=""),IF(TODAY()-MAX($E149,$H149,$M149,$S149)&gt;7,"⚑",""),"")</f>
        <v/>
      </c>
      <c r="AB149" s="34" t="str">
        <f aca="false">IF(OR($P149="",$G149=""),"",IF($P149&lt;=$G149,"Có","Không"))</f>
        <v/>
      </c>
      <c r="AC149" s="34" t="str">
        <f aca="false">IF(OR($P149="",$E149=""),"",$P149-$E149)</f>
        <v/>
      </c>
      <c r="AD149" s="35" t="str">
        <f aca="false">IF($A149="","",COUNTIF(CASE!$B$3:$B$202,$A149))</f>
        <v/>
      </c>
      <c r="AE149" s="34" t="str">
        <f aca="false">IF(OR($I149="",$E149=""),"",$I149-$E149)</f>
        <v/>
      </c>
      <c r="AF149" s="34" t="str">
        <f aca="false">IF(OR($K149="",$I149=""),"",$K149-$I149)</f>
        <v/>
      </c>
      <c r="AG149" s="34" t="str">
        <f aca="false">IF(OR($L149="",$K149=""),"",$L149-$K149)</f>
        <v/>
      </c>
      <c r="AH149" s="34" t="str">
        <f aca="false">IF(OR($M149="",$L149=""),"",$M149-$L149)</f>
        <v/>
      </c>
      <c r="AI149" s="34" t="str">
        <f aca="false">IF(OR($P149="",$M149=""),"",$P149-$M149)</f>
        <v/>
      </c>
    </row>
    <row r="150" customFormat="false" ht="15" hidden="false" customHeight="false" outlineLevel="0" collapsed="false">
      <c r="A150" s="29"/>
      <c r="B150" s="29"/>
      <c r="C150" s="29"/>
      <c r="D150" s="30"/>
      <c r="E150" s="31"/>
      <c r="F150" s="32" t="str">
        <f aca="false">IF($E150="","",$E150+7*IFERROR(VLOOKUP($B150,DS!$K$2:$M$4,2,FALSE()),12))</f>
        <v/>
      </c>
      <c r="G150" s="32" t="str">
        <f aca="false">IF($E150="","",$E150+7*IFERROR(VLOOKUP($B150,DS!$K$2:$M$4,3,FALSE()),12))</f>
        <v/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3" t="str">
        <f aca="false">IF($A150="","",IF($R150&lt;&gt;"","95 Hủy/hoàn",IF($Q150&lt;&gt;"","99 Đóng",IF($P150&lt;&gt;"","90 Đã giao",IF($O150&lt;&gt;"","80 Đang giao",IF($N150&lt;&gt;"","70 Thông quan",IF($M150&lt;&gt;"","60 Đã xuất",IF($L150&lt;&gt;"","50 QC đạt",IF($K150&lt;&gt;"","40 NCC đã gửi",IF($I150&lt;&gt;"","30 Đã đặt NCC",IF($H150&lt;&gt;"","20 Đã xác nhận","10 Mới")))))))))))</f>
        <v/>
      </c>
      <c r="U150" s="33" t="str">
        <f aca="false">IF($T150="","",IFERROR(VLOOKUP($T150,DS!$A$2:$B$12,2,FALSE()),""))</f>
        <v/>
      </c>
      <c r="V150" s="34" t="str">
        <f aca="true">IF(OR($T150="",LEFT($T150,2)="99",LEFT($T150,2)="95"),"",TODAY()-MAX($E150,$H150:$P150))</f>
        <v/>
      </c>
      <c r="W150" s="34" t="str">
        <f aca="true">IF(AND($E150&lt;&gt;"",$I150="",$R150=""),IF(TODAY()-$E150&gt;1,"⚑",""),"")</f>
        <v/>
      </c>
      <c r="X150" s="34" t="str">
        <f aca="true">IF(AND($J150&lt;&gt;"",$K150="",$R150=""),IF(TODAY()-$J150&gt;2,"⚑",""),"")</f>
        <v/>
      </c>
      <c r="Y150" s="34" t="str">
        <f aca="true">IF(AND($G150&lt;&gt;"",$M150="",$R150=""),IF(AND($G150-TODAY()&lt;=14,$G150&gt;=TODAY()),"⚑",""),"")</f>
        <v/>
      </c>
      <c r="Z150" s="34" t="str">
        <f aca="true">IF(AND($G150&lt;&gt;"",$P150="",$R150=""),IF(TODAY()&gt;$G150,"⚑",""),"")</f>
        <v/>
      </c>
      <c r="AA150" s="34" t="str">
        <f aca="true">IF(AND($E150&lt;&gt;"",$P150="",$R150=""),IF(TODAY()-MAX($E150,$H150,$M150,$S150)&gt;7,"⚑",""),"")</f>
        <v/>
      </c>
      <c r="AB150" s="34" t="str">
        <f aca="false">IF(OR($P150="",$G150=""),"",IF($P150&lt;=$G150,"Có","Không"))</f>
        <v/>
      </c>
      <c r="AC150" s="34" t="str">
        <f aca="false">IF(OR($P150="",$E150=""),"",$P150-$E150)</f>
        <v/>
      </c>
      <c r="AD150" s="35" t="str">
        <f aca="false">IF($A150="","",COUNTIF(CASE!$B$3:$B$202,$A150))</f>
        <v/>
      </c>
      <c r="AE150" s="34" t="str">
        <f aca="false">IF(OR($I150="",$E150=""),"",$I150-$E150)</f>
        <v/>
      </c>
      <c r="AF150" s="34" t="str">
        <f aca="false">IF(OR($K150="",$I150=""),"",$K150-$I150)</f>
        <v/>
      </c>
      <c r="AG150" s="34" t="str">
        <f aca="false">IF(OR($L150="",$K150=""),"",$L150-$K150)</f>
        <v/>
      </c>
      <c r="AH150" s="34" t="str">
        <f aca="false">IF(OR($M150="",$L150=""),"",$M150-$L150)</f>
        <v/>
      </c>
      <c r="AI150" s="34" t="str">
        <f aca="false">IF(OR($P150="",$M150=""),"",$P150-$M150)</f>
        <v/>
      </c>
    </row>
    <row r="151" customFormat="false" ht="15" hidden="false" customHeight="false" outlineLevel="0" collapsed="false">
      <c r="A151" s="29"/>
      <c r="B151" s="29"/>
      <c r="C151" s="29"/>
      <c r="D151" s="30"/>
      <c r="E151" s="31"/>
      <c r="F151" s="32" t="str">
        <f aca="false">IF($E151="","",$E151+7*IFERROR(VLOOKUP($B151,DS!$K$2:$M$4,2,FALSE()),12))</f>
        <v/>
      </c>
      <c r="G151" s="32" t="str">
        <f aca="false">IF($E151="","",$E151+7*IFERROR(VLOOKUP($B151,DS!$K$2:$M$4,3,FALSE()),12))</f>
        <v/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3" t="str">
        <f aca="false">IF($A151="","",IF($R151&lt;&gt;"","95 Hủy/hoàn",IF($Q151&lt;&gt;"","99 Đóng",IF($P151&lt;&gt;"","90 Đã giao",IF($O151&lt;&gt;"","80 Đang giao",IF($N151&lt;&gt;"","70 Thông quan",IF($M151&lt;&gt;"","60 Đã xuất",IF($L151&lt;&gt;"","50 QC đạt",IF($K151&lt;&gt;"","40 NCC đã gửi",IF($I151&lt;&gt;"","30 Đã đặt NCC",IF($H151&lt;&gt;"","20 Đã xác nhận","10 Mới")))))))))))</f>
        <v/>
      </c>
      <c r="U151" s="33" t="str">
        <f aca="false">IF($T151="","",IFERROR(VLOOKUP($T151,DS!$A$2:$B$12,2,FALSE()),""))</f>
        <v/>
      </c>
      <c r="V151" s="34" t="str">
        <f aca="true">IF(OR($T151="",LEFT($T151,2)="99",LEFT($T151,2)="95"),"",TODAY()-MAX($E151,$H151:$P151))</f>
        <v/>
      </c>
      <c r="W151" s="34" t="str">
        <f aca="true">IF(AND($E151&lt;&gt;"",$I151="",$R151=""),IF(TODAY()-$E151&gt;1,"⚑",""),"")</f>
        <v/>
      </c>
      <c r="X151" s="34" t="str">
        <f aca="true">IF(AND($J151&lt;&gt;"",$K151="",$R151=""),IF(TODAY()-$J151&gt;2,"⚑",""),"")</f>
        <v/>
      </c>
      <c r="Y151" s="34" t="str">
        <f aca="true">IF(AND($G151&lt;&gt;"",$M151="",$R151=""),IF(AND($G151-TODAY()&lt;=14,$G151&gt;=TODAY()),"⚑",""),"")</f>
        <v/>
      </c>
      <c r="Z151" s="34" t="str">
        <f aca="true">IF(AND($G151&lt;&gt;"",$P151="",$R151=""),IF(TODAY()&gt;$G151,"⚑",""),"")</f>
        <v/>
      </c>
      <c r="AA151" s="34" t="str">
        <f aca="true">IF(AND($E151&lt;&gt;"",$P151="",$R151=""),IF(TODAY()-MAX($E151,$H151,$M151,$S151)&gt;7,"⚑",""),"")</f>
        <v/>
      </c>
      <c r="AB151" s="34" t="str">
        <f aca="false">IF(OR($P151="",$G151=""),"",IF($P151&lt;=$G151,"Có","Không"))</f>
        <v/>
      </c>
      <c r="AC151" s="34" t="str">
        <f aca="false">IF(OR($P151="",$E151=""),"",$P151-$E151)</f>
        <v/>
      </c>
      <c r="AD151" s="35" t="str">
        <f aca="false">IF($A151="","",COUNTIF(CASE!$B$3:$B$202,$A151))</f>
        <v/>
      </c>
      <c r="AE151" s="34" t="str">
        <f aca="false">IF(OR($I151="",$E151=""),"",$I151-$E151)</f>
        <v/>
      </c>
      <c r="AF151" s="34" t="str">
        <f aca="false">IF(OR($K151="",$I151=""),"",$K151-$I151)</f>
        <v/>
      </c>
      <c r="AG151" s="34" t="str">
        <f aca="false">IF(OR($L151="",$K151=""),"",$L151-$K151)</f>
        <v/>
      </c>
      <c r="AH151" s="34" t="str">
        <f aca="false">IF(OR($M151="",$L151=""),"",$M151-$L151)</f>
        <v/>
      </c>
      <c r="AI151" s="34" t="str">
        <f aca="false">IF(OR($P151="",$M151=""),"",$P151-$M151)</f>
        <v/>
      </c>
    </row>
    <row r="152" customFormat="false" ht="15" hidden="false" customHeight="false" outlineLevel="0" collapsed="false">
      <c r="A152" s="29"/>
      <c r="B152" s="29"/>
      <c r="C152" s="29"/>
      <c r="D152" s="30"/>
      <c r="E152" s="31"/>
      <c r="F152" s="32" t="str">
        <f aca="false">IF($E152="","",$E152+7*IFERROR(VLOOKUP($B152,DS!$K$2:$M$4,2,FALSE()),12))</f>
        <v/>
      </c>
      <c r="G152" s="32" t="str">
        <f aca="false">IF($E152="","",$E152+7*IFERROR(VLOOKUP($B152,DS!$K$2:$M$4,3,FALSE()),12))</f>
        <v/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3" t="str">
        <f aca="false">IF($A152="","",IF($R152&lt;&gt;"","95 Hủy/hoàn",IF($Q152&lt;&gt;"","99 Đóng",IF($P152&lt;&gt;"","90 Đã giao",IF($O152&lt;&gt;"","80 Đang giao",IF($N152&lt;&gt;"","70 Thông quan",IF($M152&lt;&gt;"","60 Đã xuất",IF($L152&lt;&gt;"","50 QC đạt",IF($K152&lt;&gt;"","40 NCC đã gửi",IF($I152&lt;&gt;"","30 Đã đặt NCC",IF($H152&lt;&gt;"","20 Đã xác nhận","10 Mới")))))))))))</f>
        <v/>
      </c>
      <c r="U152" s="33" t="str">
        <f aca="false">IF($T152="","",IFERROR(VLOOKUP($T152,DS!$A$2:$B$12,2,FALSE()),""))</f>
        <v/>
      </c>
      <c r="V152" s="34" t="str">
        <f aca="true">IF(OR($T152="",LEFT($T152,2)="99",LEFT($T152,2)="95"),"",TODAY()-MAX($E152,$H152:$P152))</f>
        <v/>
      </c>
      <c r="W152" s="34" t="str">
        <f aca="true">IF(AND($E152&lt;&gt;"",$I152="",$R152=""),IF(TODAY()-$E152&gt;1,"⚑",""),"")</f>
        <v/>
      </c>
      <c r="X152" s="34" t="str">
        <f aca="true">IF(AND($J152&lt;&gt;"",$K152="",$R152=""),IF(TODAY()-$J152&gt;2,"⚑",""),"")</f>
        <v/>
      </c>
      <c r="Y152" s="34" t="str">
        <f aca="true">IF(AND($G152&lt;&gt;"",$M152="",$R152=""),IF(AND($G152-TODAY()&lt;=14,$G152&gt;=TODAY()),"⚑",""),"")</f>
        <v/>
      </c>
      <c r="Z152" s="34" t="str">
        <f aca="true">IF(AND($G152&lt;&gt;"",$P152="",$R152=""),IF(TODAY()&gt;$G152,"⚑",""),"")</f>
        <v/>
      </c>
      <c r="AA152" s="34" t="str">
        <f aca="true">IF(AND($E152&lt;&gt;"",$P152="",$R152=""),IF(TODAY()-MAX($E152,$H152,$M152,$S152)&gt;7,"⚑",""),"")</f>
        <v/>
      </c>
      <c r="AB152" s="34" t="str">
        <f aca="false">IF(OR($P152="",$G152=""),"",IF($P152&lt;=$G152,"Có","Không"))</f>
        <v/>
      </c>
      <c r="AC152" s="34" t="str">
        <f aca="false">IF(OR($P152="",$E152=""),"",$P152-$E152)</f>
        <v/>
      </c>
      <c r="AD152" s="35" t="str">
        <f aca="false">IF($A152="","",COUNTIF(CASE!$B$3:$B$202,$A152))</f>
        <v/>
      </c>
      <c r="AE152" s="34" t="str">
        <f aca="false">IF(OR($I152="",$E152=""),"",$I152-$E152)</f>
        <v/>
      </c>
      <c r="AF152" s="34" t="str">
        <f aca="false">IF(OR($K152="",$I152=""),"",$K152-$I152)</f>
        <v/>
      </c>
      <c r="AG152" s="34" t="str">
        <f aca="false">IF(OR($L152="",$K152=""),"",$L152-$K152)</f>
        <v/>
      </c>
      <c r="AH152" s="34" t="str">
        <f aca="false">IF(OR($M152="",$L152=""),"",$M152-$L152)</f>
        <v/>
      </c>
      <c r="AI152" s="34" t="str">
        <f aca="false">IF(OR($P152="",$M152=""),"",$P152-$M152)</f>
        <v/>
      </c>
    </row>
    <row r="153" customFormat="false" ht="15" hidden="false" customHeight="false" outlineLevel="0" collapsed="false">
      <c r="A153" s="29"/>
      <c r="B153" s="29"/>
      <c r="C153" s="29"/>
      <c r="D153" s="30"/>
      <c r="E153" s="31"/>
      <c r="F153" s="32" t="str">
        <f aca="false">IF($E153="","",$E153+7*IFERROR(VLOOKUP($B153,DS!$K$2:$M$4,2,FALSE()),12))</f>
        <v/>
      </c>
      <c r="G153" s="32" t="str">
        <f aca="false">IF($E153="","",$E153+7*IFERROR(VLOOKUP($B153,DS!$K$2:$M$4,3,FALSE()),12))</f>
        <v/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3" t="str">
        <f aca="false">IF($A153="","",IF($R153&lt;&gt;"","95 Hủy/hoàn",IF($Q153&lt;&gt;"","99 Đóng",IF($P153&lt;&gt;"","90 Đã giao",IF($O153&lt;&gt;"","80 Đang giao",IF($N153&lt;&gt;"","70 Thông quan",IF($M153&lt;&gt;"","60 Đã xuất",IF($L153&lt;&gt;"","50 QC đạt",IF($K153&lt;&gt;"","40 NCC đã gửi",IF($I153&lt;&gt;"","30 Đã đặt NCC",IF($H153&lt;&gt;"","20 Đã xác nhận","10 Mới")))))))))))</f>
        <v/>
      </c>
      <c r="U153" s="33" t="str">
        <f aca="false">IF($T153="","",IFERROR(VLOOKUP($T153,DS!$A$2:$B$12,2,FALSE()),""))</f>
        <v/>
      </c>
      <c r="V153" s="34" t="str">
        <f aca="true">IF(OR($T153="",LEFT($T153,2)="99",LEFT($T153,2)="95"),"",TODAY()-MAX($E153,$H153:$P153))</f>
        <v/>
      </c>
      <c r="W153" s="34" t="str">
        <f aca="true">IF(AND($E153&lt;&gt;"",$I153="",$R153=""),IF(TODAY()-$E153&gt;1,"⚑",""),"")</f>
        <v/>
      </c>
      <c r="X153" s="34" t="str">
        <f aca="true">IF(AND($J153&lt;&gt;"",$K153="",$R153=""),IF(TODAY()-$J153&gt;2,"⚑",""),"")</f>
        <v/>
      </c>
      <c r="Y153" s="34" t="str">
        <f aca="true">IF(AND($G153&lt;&gt;"",$M153="",$R153=""),IF(AND($G153-TODAY()&lt;=14,$G153&gt;=TODAY()),"⚑",""),"")</f>
        <v/>
      </c>
      <c r="Z153" s="34" t="str">
        <f aca="true">IF(AND($G153&lt;&gt;"",$P153="",$R153=""),IF(TODAY()&gt;$G153,"⚑",""),"")</f>
        <v/>
      </c>
      <c r="AA153" s="34" t="str">
        <f aca="true">IF(AND($E153&lt;&gt;"",$P153="",$R153=""),IF(TODAY()-MAX($E153,$H153,$M153,$S153)&gt;7,"⚑",""),"")</f>
        <v/>
      </c>
      <c r="AB153" s="34" t="str">
        <f aca="false">IF(OR($P153="",$G153=""),"",IF($P153&lt;=$G153,"Có","Không"))</f>
        <v/>
      </c>
      <c r="AC153" s="34" t="str">
        <f aca="false">IF(OR($P153="",$E153=""),"",$P153-$E153)</f>
        <v/>
      </c>
      <c r="AD153" s="35" t="str">
        <f aca="false">IF($A153="","",COUNTIF(CASE!$B$3:$B$202,$A153))</f>
        <v/>
      </c>
      <c r="AE153" s="34" t="str">
        <f aca="false">IF(OR($I153="",$E153=""),"",$I153-$E153)</f>
        <v/>
      </c>
      <c r="AF153" s="34" t="str">
        <f aca="false">IF(OR($K153="",$I153=""),"",$K153-$I153)</f>
        <v/>
      </c>
      <c r="AG153" s="34" t="str">
        <f aca="false">IF(OR($L153="",$K153=""),"",$L153-$K153)</f>
        <v/>
      </c>
      <c r="AH153" s="34" t="str">
        <f aca="false">IF(OR($M153="",$L153=""),"",$M153-$L153)</f>
        <v/>
      </c>
      <c r="AI153" s="34" t="str">
        <f aca="false">IF(OR($P153="",$M153=""),"",$P153-$M153)</f>
        <v/>
      </c>
    </row>
    <row r="154" customFormat="false" ht="15" hidden="false" customHeight="false" outlineLevel="0" collapsed="false">
      <c r="A154" s="29"/>
      <c r="B154" s="29"/>
      <c r="C154" s="29"/>
      <c r="D154" s="30"/>
      <c r="E154" s="31"/>
      <c r="F154" s="32" t="str">
        <f aca="false">IF($E154="","",$E154+7*IFERROR(VLOOKUP($B154,DS!$K$2:$M$4,2,FALSE()),12))</f>
        <v/>
      </c>
      <c r="G154" s="32" t="str">
        <f aca="false">IF($E154="","",$E154+7*IFERROR(VLOOKUP($B154,DS!$K$2:$M$4,3,FALSE()),12))</f>
        <v/>
      </c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3" t="str">
        <f aca="false">IF($A154="","",IF($R154&lt;&gt;"","95 Hủy/hoàn",IF($Q154&lt;&gt;"","99 Đóng",IF($P154&lt;&gt;"","90 Đã giao",IF($O154&lt;&gt;"","80 Đang giao",IF($N154&lt;&gt;"","70 Thông quan",IF($M154&lt;&gt;"","60 Đã xuất",IF($L154&lt;&gt;"","50 QC đạt",IF($K154&lt;&gt;"","40 NCC đã gửi",IF($I154&lt;&gt;"","30 Đã đặt NCC",IF($H154&lt;&gt;"","20 Đã xác nhận","10 Mới")))))))))))</f>
        <v/>
      </c>
      <c r="U154" s="33" t="str">
        <f aca="false">IF($T154="","",IFERROR(VLOOKUP($T154,DS!$A$2:$B$12,2,FALSE()),""))</f>
        <v/>
      </c>
      <c r="V154" s="34" t="str">
        <f aca="true">IF(OR($T154="",LEFT($T154,2)="99",LEFT($T154,2)="95"),"",TODAY()-MAX($E154,$H154:$P154))</f>
        <v/>
      </c>
      <c r="W154" s="34" t="str">
        <f aca="true">IF(AND($E154&lt;&gt;"",$I154="",$R154=""),IF(TODAY()-$E154&gt;1,"⚑",""),"")</f>
        <v/>
      </c>
      <c r="X154" s="34" t="str">
        <f aca="true">IF(AND($J154&lt;&gt;"",$K154="",$R154=""),IF(TODAY()-$J154&gt;2,"⚑",""),"")</f>
        <v/>
      </c>
      <c r="Y154" s="34" t="str">
        <f aca="true">IF(AND($G154&lt;&gt;"",$M154="",$R154=""),IF(AND($G154-TODAY()&lt;=14,$G154&gt;=TODAY()),"⚑",""),"")</f>
        <v/>
      </c>
      <c r="Z154" s="34" t="str">
        <f aca="true">IF(AND($G154&lt;&gt;"",$P154="",$R154=""),IF(TODAY()&gt;$G154,"⚑",""),"")</f>
        <v/>
      </c>
      <c r="AA154" s="34" t="str">
        <f aca="true">IF(AND($E154&lt;&gt;"",$P154="",$R154=""),IF(TODAY()-MAX($E154,$H154,$M154,$S154)&gt;7,"⚑",""),"")</f>
        <v/>
      </c>
      <c r="AB154" s="34" t="str">
        <f aca="false">IF(OR($P154="",$G154=""),"",IF($P154&lt;=$G154,"Có","Không"))</f>
        <v/>
      </c>
      <c r="AC154" s="34" t="str">
        <f aca="false">IF(OR($P154="",$E154=""),"",$P154-$E154)</f>
        <v/>
      </c>
      <c r="AD154" s="35" t="str">
        <f aca="false">IF($A154="","",COUNTIF(CASE!$B$3:$B$202,$A154))</f>
        <v/>
      </c>
      <c r="AE154" s="34" t="str">
        <f aca="false">IF(OR($I154="",$E154=""),"",$I154-$E154)</f>
        <v/>
      </c>
      <c r="AF154" s="34" t="str">
        <f aca="false">IF(OR($K154="",$I154=""),"",$K154-$I154)</f>
        <v/>
      </c>
      <c r="AG154" s="34" t="str">
        <f aca="false">IF(OR($L154="",$K154=""),"",$L154-$K154)</f>
        <v/>
      </c>
      <c r="AH154" s="34" t="str">
        <f aca="false">IF(OR($M154="",$L154=""),"",$M154-$L154)</f>
        <v/>
      </c>
      <c r="AI154" s="34" t="str">
        <f aca="false">IF(OR($P154="",$M154=""),"",$P154-$M154)</f>
        <v/>
      </c>
    </row>
    <row r="155" customFormat="false" ht="15" hidden="false" customHeight="false" outlineLevel="0" collapsed="false">
      <c r="A155" s="29"/>
      <c r="B155" s="29"/>
      <c r="C155" s="29"/>
      <c r="D155" s="30"/>
      <c r="E155" s="31"/>
      <c r="F155" s="32" t="str">
        <f aca="false">IF($E155="","",$E155+7*IFERROR(VLOOKUP($B155,DS!$K$2:$M$4,2,FALSE()),12))</f>
        <v/>
      </c>
      <c r="G155" s="32" t="str">
        <f aca="false">IF($E155="","",$E155+7*IFERROR(VLOOKUP($B155,DS!$K$2:$M$4,3,FALSE()),12))</f>
        <v/>
      </c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3" t="str">
        <f aca="false">IF($A155="","",IF($R155&lt;&gt;"","95 Hủy/hoàn",IF($Q155&lt;&gt;"","99 Đóng",IF($P155&lt;&gt;"","90 Đã giao",IF($O155&lt;&gt;"","80 Đang giao",IF($N155&lt;&gt;"","70 Thông quan",IF($M155&lt;&gt;"","60 Đã xuất",IF($L155&lt;&gt;"","50 QC đạt",IF($K155&lt;&gt;"","40 NCC đã gửi",IF($I155&lt;&gt;"","30 Đã đặt NCC",IF($H155&lt;&gt;"","20 Đã xác nhận","10 Mới")))))))))))</f>
        <v/>
      </c>
      <c r="U155" s="33" t="str">
        <f aca="false">IF($T155="","",IFERROR(VLOOKUP($T155,DS!$A$2:$B$12,2,FALSE()),""))</f>
        <v/>
      </c>
      <c r="V155" s="34" t="str">
        <f aca="true">IF(OR($T155="",LEFT($T155,2)="99",LEFT($T155,2)="95"),"",TODAY()-MAX($E155,$H155:$P155))</f>
        <v/>
      </c>
      <c r="W155" s="34" t="str">
        <f aca="true">IF(AND($E155&lt;&gt;"",$I155="",$R155=""),IF(TODAY()-$E155&gt;1,"⚑",""),"")</f>
        <v/>
      </c>
      <c r="X155" s="34" t="str">
        <f aca="true">IF(AND($J155&lt;&gt;"",$K155="",$R155=""),IF(TODAY()-$J155&gt;2,"⚑",""),"")</f>
        <v/>
      </c>
      <c r="Y155" s="34" t="str">
        <f aca="true">IF(AND($G155&lt;&gt;"",$M155="",$R155=""),IF(AND($G155-TODAY()&lt;=14,$G155&gt;=TODAY()),"⚑",""),"")</f>
        <v/>
      </c>
      <c r="Z155" s="34" t="str">
        <f aca="true">IF(AND($G155&lt;&gt;"",$P155="",$R155=""),IF(TODAY()&gt;$G155,"⚑",""),"")</f>
        <v/>
      </c>
      <c r="AA155" s="34" t="str">
        <f aca="true">IF(AND($E155&lt;&gt;"",$P155="",$R155=""),IF(TODAY()-MAX($E155,$H155,$M155,$S155)&gt;7,"⚑",""),"")</f>
        <v/>
      </c>
      <c r="AB155" s="34" t="str">
        <f aca="false">IF(OR($P155="",$G155=""),"",IF($P155&lt;=$G155,"Có","Không"))</f>
        <v/>
      </c>
      <c r="AC155" s="34" t="str">
        <f aca="false">IF(OR($P155="",$E155=""),"",$P155-$E155)</f>
        <v/>
      </c>
      <c r="AD155" s="35" t="str">
        <f aca="false">IF($A155="","",COUNTIF(CASE!$B$3:$B$202,$A155))</f>
        <v/>
      </c>
      <c r="AE155" s="34" t="str">
        <f aca="false">IF(OR($I155="",$E155=""),"",$I155-$E155)</f>
        <v/>
      </c>
      <c r="AF155" s="34" t="str">
        <f aca="false">IF(OR($K155="",$I155=""),"",$K155-$I155)</f>
        <v/>
      </c>
      <c r="AG155" s="34" t="str">
        <f aca="false">IF(OR($L155="",$K155=""),"",$L155-$K155)</f>
        <v/>
      </c>
      <c r="AH155" s="34" t="str">
        <f aca="false">IF(OR($M155="",$L155=""),"",$M155-$L155)</f>
        <v/>
      </c>
      <c r="AI155" s="34" t="str">
        <f aca="false">IF(OR($P155="",$M155=""),"",$P155-$M155)</f>
        <v/>
      </c>
    </row>
    <row r="156" customFormat="false" ht="15" hidden="false" customHeight="false" outlineLevel="0" collapsed="false">
      <c r="A156" s="29"/>
      <c r="B156" s="29"/>
      <c r="C156" s="29"/>
      <c r="D156" s="30"/>
      <c r="E156" s="31"/>
      <c r="F156" s="32" t="str">
        <f aca="false">IF($E156="","",$E156+7*IFERROR(VLOOKUP($B156,DS!$K$2:$M$4,2,FALSE()),12))</f>
        <v/>
      </c>
      <c r="G156" s="32" t="str">
        <f aca="false">IF($E156="","",$E156+7*IFERROR(VLOOKUP($B156,DS!$K$2:$M$4,3,FALSE()),12))</f>
        <v/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3" t="str">
        <f aca="false">IF($A156="","",IF($R156&lt;&gt;"","95 Hủy/hoàn",IF($Q156&lt;&gt;"","99 Đóng",IF($P156&lt;&gt;"","90 Đã giao",IF($O156&lt;&gt;"","80 Đang giao",IF($N156&lt;&gt;"","70 Thông quan",IF($M156&lt;&gt;"","60 Đã xuất",IF($L156&lt;&gt;"","50 QC đạt",IF($K156&lt;&gt;"","40 NCC đã gửi",IF($I156&lt;&gt;"","30 Đã đặt NCC",IF($H156&lt;&gt;"","20 Đã xác nhận","10 Mới")))))))))))</f>
        <v/>
      </c>
      <c r="U156" s="33" t="str">
        <f aca="false">IF($T156="","",IFERROR(VLOOKUP($T156,DS!$A$2:$B$12,2,FALSE()),""))</f>
        <v/>
      </c>
      <c r="V156" s="34" t="str">
        <f aca="true">IF(OR($T156="",LEFT($T156,2)="99",LEFT($T156,2)="95"),"",TODAY()-MAX($E156,$H156:$P156))</f>
        <v/>
      </c>
      <c r="W156" s="34" t="str">
        <f aca="true">IF(AND($E156&lt;&gt;"",$I156="",$R156=""),IF(TODAY()-$E156&gt;1,"⚑",""),"")</f>
        <v/>
      </c>
      <c r="X156" s="34" t="str">
        <f aca="true">IF(AND($J156&lt;&gt;"",$K156="",$R156=""),IF(TODAY()-$J156&gt;2,"⚑",""),"")</f>
        <v/>
      </c>
      <c r="Y156" s="34" t="str">
        <f aca="true">IF(AND($G156&lt;&gt;"",$M156="",$R156=""),IF(AND($G156-TODAY()&lt;=14,$G156&gt;=TODAY()),"⚑",""),"")</f>
        <v/>
      </c>
      <c r="Z156" s="34" t="str">
        <f aca="true">IF(AND($G156&lt;&gt;"",$P156="",$R156=""),IF(TODAY()&gt;$G156,"⚑",""),"")</f>
        <v/>
      </c>
      <c r="AA156" s="34" t="str">
        <f aca="true">IF(AND($E156&lt;&gt;"",$P156="",$R156=""),IF(TODAY()-MAX($E156,$H156,$M156,$S156)&gt;7,"⚑",""),"")</f>
        <v/>
      </c>
      <c r="AB156" s="34" t="str">
        <f aca="false">IF(OR($P156="",$G156=""),"",IF($P156&lt;=$G156,"Có","Không"))</f>
        <v/>
      </c>
      <c r="AC156" s="34" t="str">
        <f aca="false">IF(OR($P156="",$E156=""),"",$P156-$E156)</f>
        <v/>
      </c>
      <c r="AD156" s="35" t="str">
        <f aca="false">IF($A156="","",COUNTIF(CASE!$B$3:$B$202,$A156))</f>
        <v/>
      </c>
      <c r="AE156" s="34" t="str">
        <f aca="false">IF(OR($I156="",$E156=""),"",$I156-$E156)</f>
        <v/>
      </c>
      <c r="AF156" s="34" t="str">
        <f aca="false">IF(OR($K156="",$I156=""),"",$K156-$I156)</f>
        <v/>
      </c>
      <c r="AG156" s="34" t="str">
        <f aca="false">IF(OR($L156="",$K156=""),"",$L156-$K156)</f>
        <v/>
      </c>
      <c r="AH156" s="34" t="str">
        <f aca="false">IF(OR($M156="",$L156=""),"",$M156-$L156)</f>
        <v/>
      </c>
      <c r="AI156" s="34" t="str">
        <f aca="false">IF(OR($P156="",$M156=""),"",$P156-$M156)</f>
        <v/>
      </c>
    </row>
    <row r="157" customFormat="false" ht="15" hidden="false" customHeight="false" outlineLevel="0" collapsed="false">
      <c r="A157" s="29"/>
      <c r="B157" s="29"/>
      <c r="C157" s="29"/>
      <c r="D157" s="30"/>
      <c r="E157" s="31"/>
      <c r="F157" s="32" t="str">
        <f aca="false">IF($E157="","",$E157+7*IFERROR(VLOOKUP($B157,DS!$K$2:$M$4,2,FALSE()),12))</f>
        <v/>
      </c>
      <c r="G157" s="32" t="str">
        <f aca="false">IF($E157="","",$E157+7*IFERROR(VLOOKUP($B157,DS!$K$2:$M$4,3,FALSE()),12))</f>
        <v/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3" t="str">
        <f aca="false">IF($A157="","",IF($R157&lt;&gt;"","95 Hủy/hoàn",IF($Q157&lt;&gt;"","99 Đóng",IF($P157&lt;&gt;"","90 Đã giao",IF($O157&lt;&gt;"","80 Đang giao",IF($N157&lt;&gt;"","70 Thông quan",IF($M157&lt;&gt;"","60 Đã xuất",IF($L157&lt;&gt;"","50 QC đạt",IF($K157&lt;&gt;"","40 NCC đã gửi",IF($I157&lt;&gt;"","30 Đã đặt NCC",IF($H157&lt;&gt;"","20 Đã xác nhận","10 Mới")))))))))))</f>
        <v/>
      </c>
      <c r="U157" s="33" t="str">
        <f aca="false">IF($T157="","",IFERROR(VLOOKUP($T157,DS!$A$2:$B$12,2,FALSE()),""))</f>
        <v/>
      </c>
      <c r="V157" s="34" t="str">
        <f aca="true">IF(OR($T157="",LEFT($T157,2)="99",LEFT($T157,2)="95"),"",TODAY()-MAX($E157,$H157:$P157))</f>
        <v/>
      </c>
      <c r="W157" s="34" t="str">
        <f aca="true">IF(AND($E157&lt;&gt;"",$I157="",$R157=""),IF(TODAY()-$E157&gt;1,"⚑",""),"")</f>
        <v/>
      </c>
      <c r="X157" s="34" t="str">
        <f aca="true">IF(AND($J157&lt;&gt;"",$K157="",$R157=""),IF(TODAY()-$J157&gt;2,"⚑",""),"")</f>
        <v/>
      </c>
      <c r="Y157" s="34" t="str">
        <f aca="true">IF(AND($G157&lt;&gt;"",$M157="",$R157=""),IF(AND($G157-TODAY()&lt;=14,$G157&gt;=TODAY()),"⚑",""),"")</f>
        <v/>
      </c>
      <c r="Z157" s="34" t="str">
        <f aca="true">IF(AND($G157&lt;&gt;"",$P157="",$R157=""),IF(TODAY()&gt;$G157,"⚑",""),"")</f>
        <v/>
      </c>
      <c r="AA157" s="34" t="str">
        <f aca="true">IF(AND($E157&lt;&gt;"",$P157="",$R157=""),IF(TODAY()-MAX($E157,$H157,$M157,$S157)&gt;7,"⚑",""),"")</f>
        <v/>
      </c>
      <c r="AB157" s="34" t="str">
        <f aca="false">IF(OR($P157="",$G157=""),"",IF($P157&lt;=$G157,"Có","Không"))</f>
        <v/>
      </c>
      <c r="AC157" s="34" t="str">
        <f aca="false">IF(OR($P157="",$E157=""),"",$P157-$E157)</f>
        <v/>
      </c>
      <c r="AD157" s="35" t="str">
        <f aca="false">IF($A157="","",COUNTIF(CASE!$B$3:$B$202,$A157))</f>
        <v/>
      </c>
      <c r="AE157" s="34" t="str">
        <f aca="false">IF(OR($I157="",$E157=""),"",$I157-$E157)</f>
        <v/>
      </c>
      <c r="AF157" s="34" t="str">
        <f aca="false">IF(OR($K157="",$I157=""),"",$K157-$I157)</f>
        <v/>
      </c>
      <c r="AG157" s="34" t="str">
        <f aca="false">IF(OR($L157="",$K157=""),"",$L157-$K157)</f>
        <v/>
      </c>
      <c r="AH157" s="34" t="str">
        <f aca="false">IF(OR($M157="",$L157=""),"",$M157-$L157)</f>
        <v/>
      </c>
      <c r="AI157" s="34" t="str">
        <f aca="false">IF(OR($P157="",$M157=""),"",$P157-$M157)</f>
        <v/>
      </c>
    </row>
    <row r="158" customFormat="false" ht="15" hidden="false" customHeight="false" outlineLevel="0" collapsed="false">
      <c r="A158" s="29"/>
      <c r="B158" s="29"/>
      <c r="C158" s="29"/>
      <c r="D158" s="30"/>
      <c r="E158" s="31"/>
      <c r="F158" s="32" t="str">
        <f aca="false">IF($E158="","",$E158+7*IFERROR(VLOOKUP($B158,DS!$K$2:$M$4,2,FALSE()),12))</f>
        <v/>
      </c>
      <c r="G158" s="32" t="str">
        <f aca="false">IF($E158="","",$E158+7*IFERROR(VLOOKUP($B158,DS!$K$2:$M$4,3,FALSE()),12))</f>
        <v/>
      </c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3" t="str">
        <f aca="false">IF($A158="","",IF($R158&lt;&gt;"","95 Hủy/hoàn",IF($Q158&lt;&gt;"","99 Đóng",IF($P158&lt;&gt;"","90 Đã giao",IF($O158&lt;&gt;"","80 Đang giao",IF($N158&lt;&gt;"","70 Thông quan",IF($M158&lt;&gt;"","60 Đã xuất",IF($L158&lt;&gt;"","50 QC đạt",IF($K158&lt;&gt;"","40 NCC đã gửi",IF($I158&lt;&gt;"","30 Đã đặt NCC",IF($H158&lt;&gt;"","20 Đã xác nhận","10 Mới")))))))))))</f>
        <v/>
      </c>
      <c r="U158" s="33" t="str">
        <f aca="false">IF($T158="","",IFERROR(VLOOKUP($T158,DS!$A$2:$B$12,2,FALSE()),""))</f>
        <v/>
      </c>
      <c r="V158" s="34" t="str">
        <f aca="true">IF(OR($T158="",LEFT($T158,2)="99",LEFT($T158,2)="95"),"",TODAY()-MAX($E158,$H158:$P158))</f>
        <v/>
      </c>
      <c r="W158" s="34" t="str">
        <f aca="true">IF(AND($E158&lt;&gt;"",$I158="",$R158=""),IF(TODAY()-$E158&gt;1,"⚑",""),"")</f>
        <v/>
      </c>
      <c r="X158" s="34" t="str">
        <f aca="true">IF(AND($J158&lt;&gt;"",$K158="",$R158=""),IF(TODAY()-$J158&gt;2,"⚑",""),"")</f>
        <v/>
      </c>
      <c r="Y158" s="34" t="str">
        <f aca="true">IF(AND($G158&lt;&gt;"",$M158="",$R158=""),IF(AND($G158-TODAY()&lt;=14,$G158&gt;=TODAY()),"⚑",""),"")</f>
        <v/>
      </c>
      <c r="Z158" s="34" t="str">
        <f aca="true">IF(AND($G158&lt;&gt;"",$P158="",$R158=""),IF(TODAY()&gt;$G158,"⚑",""),"")</f>
        <v/>
      </c>
      <c r="AA158" s="34" t="str">
        <f aca="true">IF(AND($E158&lt;&gt;"",$P158="",$R158=""),IF(TODAY()-MAX($E158,$H158,$M158,$S158)&gt;7,"⚑",""),"")</f>
        <v/>
      </c>
      <c r="AB158" s="34" t="str">
        <f aca="false">IF(OR($P158="",$G158=""),"",IF($P158&lt;=$G158,"Có","Không"))</f>
        <v/>
      </c>
      <c r="AC158" s="34" t="str">
        <f aca="false">IF(OR($P158="",$E158=""),"",$P158-$E158)</f>
        <v/>
      </c>
      <c r="AD158" s="35" t="str">
        <f aca="false">IF($A158="","",COUNTIF(CASE!$B$3:$B$202,$A158))</f>
        <v/>
      </c>
      <c r="AE158" s="34" t="str">
        <f aca="false">IF(OR($I158="",$E158=""),"",$I158-$E158)</f>
        <v/>
      </c>
      <c r="AF158" s="34" t="str">
        <f aca="false">IF(OR($K158="",$I158=""),"",$K158-$I158)</f>
        <v/>
      </c>
      <c r="AG158" s="34" t="str">
        <f aca="false">IF(OR($L158="",$K158=""),"",$L158-$K158)</f>
        <v/>
      </c>
      <c r="AH158" s="34" t="str">
        <f aca="false">IF(OR($M158="",$L158=""),"",$M158-$L158)</f>
        <v/>
      </c>
      <c r="AI158" s="34" t="str">
        <f aca="false">IF(OR($P158="",$M158=""),"",$P158-$M158)</f>
        <v/>
      </c>
    </row>
    <row r="159" customFormat="false" ht="15" hidden="false" customHeight="false" outlineLevel="0" collapsed="false">
      <c r="A159" s="29"/>
      <c r="B159" s="29"/>
      <c r="C159" s="29"/>
      <c r="D159" s="30"/>
      <c r="E159" s="31"/>
      <c r="F159" s="32" t="str">
        <f aca="false">IF($E159="","",$E159+7*IFERROR(VLOOKUP($B159,DS!$K$2:$M$4,2,FALSE()),12))</f>
        <v/>
      </c>
      <c r="G159" s="32" t="str">
        <f aca="false">IF($E159="","",$E159+7*IFERROR(VLOOKUP($B159,DS!$K$2:$M$4,3,FALSE()),12))</f>
        <v/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3" t="str">
        <f aca="false">IF($A159="","",IF($R159&lt;&gt;"","95 Hủy/hoàn",IF($Q159&lt;&gt;"","99 Đóng",IF($P159&lt;&gt;"","90 Đã giao",IF($O159&lt;&gt;"","80 Đang giao",IF($N159&lt;&gt;"","70 Thông quan",IF($M159&lt;&gt;"","60 Đã xuất",IF($L159&lt;&gt;"","50 QC đạt",IF($K159&lt;&gt;"","40 NCC đã gửi",IF($I159&lt;&gt;"","30 Đã đặt NCC",IF($H159&lt;&gt;"","20 Đã xác nhận","10 Mới")))))))))))</f>
        <v/>
      </c>
      <c r="U159" s="33" t="str">
        <f aca="false">IF($T159="","",IFERROR(VLOOKUP($T159,DS!$A$2:$B$12,2,FALSE()),""))</f>
        <v/>
      </c>
      <c r="V159" s="34" t="str">
        <f aca="true">IF(OR($T159="",LEFT($T159,2)="99",LEFT($T159,2)="95"),"",TODAY()-MAX($E159,$H159:$P159))</f>
        <v/>
      </c>
      <c r="W159" s="34" t="str">
        <f aca="true">IF(AND($E159&lt;&gt;"",$I159="",$R159=""),IF(TODAY()-$E159&gt;1,"⚑",""),"")</f>
        <v/>
      </c>
      <c r="X159" s="34" t="str">
        <f aca="true">IF(AND($J159&lt;&gt;"",$K159="",$R159=""),IF(TODAY()-$J159&gt;2,"⚑",""),"")</f>
        <v/>
      </c>
      <c r="Y159" s="34" t="str">
        <f aca="true">IF(AND($G159&lt;&gt;"",$M159="",$R159=""),IF(AND($G159-TODAY()&lt;=14,$G159&gt;=TODAY()),"⚑",""),"")</f>
        <v/>
      </c>
      <c r="Z159" s="34" t="str">
        <f aca="true">IF(AND($G159&lt;&gt;"",$P159="",$R159=""),IF(TODAY()&gt;$G159,"⚑",""),"")</f>
        <v/>
      </c>
      <c r="AA159" s="34" t="str">
        <f aca="true">IF(AND($E159&lt;&gt;"",$P159="",$R159=""),IF(TODAY()-MAX($E159,$H159,$M159,$S159)&gt;7,"⚑",""),"")</f>
        <v/>
      </c>
      <c r="AB159" s="34" t="str">
        <f aca="false">IF(OR($P159="",$G159=""),"",IF($P159&lt;=$G159,"Có","Không"))</f>
        <v/>
      </c>
      <c r="AC159" s="34" t="str">
        <f aca="false">IF(OR($P159="",$E159=""),"",$P159-$E159)</f>
        <v/>
      </c>
      <c r="AD159" s="35" t="str">
        <f aca="false">IF($A159="","",COUNTIF(CASE!$B$3:$B$202,$A159))</f>
        <v/>
      </c>
      <c r="AE159" s="34" t="str">
        <f aca="false">IF(OR($I159="",$E159=""),"",$I159-$E159)</f>
        <v/>
      </c>
      <c r="AF159" s="34" t="str">
        <f aca="false">IF(OR($K159="",$I159=""),"",$K159-$I159)</f>
        <v/>
      </c>
      <c r="AG159" s="34" t="str">
        <f aca="false">IF(OR($L159="",$K159=""),"",$L159-$K159)</f>
        <v/>
      </c>
      <c r="AH159" s="34" t="str">
        <f aca="false">IF(OR($M159="",$L159=""),"",$M159-$L159)</f>
        <v/>
      </c>
      <c r="AI159" s="34" t="str">
        <f aca="false">IF(OR($P159="",$M159=""),"",$P159-$M159)</f>
        <v/>
      </c>
    </row>
    <row r="160" customFormat="false" ht="15" hidden="false" customHeight="false" outlineLevel="0" collapsed="false">
      <c r="A160" s="29"/>
      <c r="B160" s="29"/>
      <c r="C160" s="29"/>
      <c r="D160" s="30"/>
      <c r="E160" s="31"/>
      <c r="F160" s="32" t="str">
        <f aca="false">IF($E160="","",$E160+7*IFERROR(VLOOKUP($B160,DS!$K$2:$M$4,2,FALSE()),12))</f>
        <v/>
      </c>
      <c r="G160" s="32" t="str">
        <f aca="false">IF($E160="","",$E160+7*IFERROR(VLOOKUP($B160,DS!$K$2:$M$4,3,FALSE()),12))</f>
        <v/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3" t="str">
        <f aca="false">IF($A160="","",IF($R160&lt;&gt;"","95 Hủy/hoàn",IF($Q160&lt;&gt;"","99 Đóng",IF($P160&lt;&gt;"","90 Đã giao",IF($O160&lt;&gt;"","80 Đang giao",IF($N160&lt;&gt;"","70 Thông quan",IF($M160&lt;&gt;"","60 Đã xuất",IF($L160&lt;&gt;"","50 QC đạt",IF($K160&lt;&gt;"","40 NCC đã gửi",IF($I160&lt;&gt;"","30 Đã đặt NCC",IF($H160&lt;&gt;"","20 Đã xác nhận","10 Mới")))))))))))</f>
        <v/>
      </c>
      <c r="U160" s="33" t="str">
        <f aca="false">IF($T160="","",IFERROR(VLOOKUP($T160,DS!$A$2:$B$12,2,FALSE()),""))</f>
        <v/>
      </c>
      <c r="V160" s="34" t="str">
        <f aca="true">IF(OR($T160="",LEFT($T160,2)="99",LEFT($T160,2)="95"),"",TODAY()-MAX($E160,$H160:$P160))</f>
        <v/>
      </c>
      <c r="W160" s="34" t="str">
        <f aca="true">IF(AND($E160&lt;&gt;"",$I160="",$R160=""),IF(TODAY()-$E160&gt;1,"⚑",""),"")</f>
        <v/>
      </c>
      <c r="X160" s="34" t="str">
        <f aca="true">IF(AND($J160&lt;&gt;"",$K160="",$R160=""),IF(TODAY()-$J160&gt;2,"⚑",""),"")</f>
        <v/>
      </c>
      <c r="Y160" s="34" t="str">
        <f aca="true">IF(AND($G160&lt;&gt;"",$M160="",$R160=""),IF(AND($G160-TODAY()&lt;=14,$G160&gt;=TODAY()),"⚑",""),"")</f>
        <v/>
      </c>
      <c r="Z160" s="34" t="str">
        <f aca="true">IF(AND($G160&lt;&gt;"",$P160="",$R160=""),IF(TODAY()&gt;$G160,"⚑",""),"")</f>
        <v/>
      </c>
      <c r="AA160" s="34" t="str">
        <f aca="true">IF(AND($E160&lt;&gt;"",$P160="",$R160=""),IF(TODAY()-MAX($E160,$H160,$M160,$S160)&gt;7,"⚑",""),"")</f>
        <v/>
      </c>
      <c r="AB160" s="34" t="str">
        <f aca="false">IF(OR($P160="",$G160=""),"",IF($P160&lt;=$G160,"Có","Không"))</f>
        <v/>
      </c>
      <c r="AC160" s="34" t="str">
        <f aca="false">IF(OR($P160="",$E160=""),"",$P160-$E160)</f>
        <v/>
      </c>
      <c r="AD160" s="35" t="str">
        <f aca="false">IF($A160="","",COUNTIF(CASE!$B$3:$B$202,$A160))</f>
        <v/>
      </c>
      <c r="AE160" s="34" t="str">
        <f aca="false">IF(OR($I160="",$E160=""),"",$I160-$E160)</f>
        <v/>
      </c>
      <c r="AF160" s="34" t="str">
        <f aca="false">IF(OR($K160="",$I160=""),"",$K160-$I160)</f>
        <v/>
      </c>
      <c r="AG160" s="34" t="str">
        <f aca="false">IF(OR($L160="",$K160=""),"",$L160-$K160)</f>
        <v/>
      </c>
      <c r="AH160" s="34" t="str">
        <f aca="false">IF(OR($M160="",$L160=""),"",$M160-$L160)</f>
        <v/>
      </c>
      <c r="AI160" s="34" t="str">
        <f aca="false">IF(OR($P160="",$M160=""),"",$P160-$M160)</f>
        <v/>
      </c>
    </row>
    <row r="161" customFormat="false" ht="15" hidden="false" customHeight="false" outlineLevel="0" collapsed="false">
      <c r="A161" s="29"/>
      <c r="B161" s="29"/>
      <c r="C161" s="29"/>
      <c r="D161" s="30"/>
      <c r="E161" s="31"/>
      <c r="F161" s="32" t="str">
        <f aca="false">IF($E161="","",$E161+7*IFERROR(VLOOKUP($B161,DS!$K$2:$M$4,2,FALSE()),12))</f>
        <v/>
      </c>
      <c r="G161" s="32" t="str">
        <f aca="false">IF($E161="","",$E161+7*IFERROR(VLOOKUP($B161,DS!$K$2:$M$4,3,FALSE()),12))</f>
        <v/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3" t="str">
        <f aca="false">IF($A161="","",IF($R161&lt;&gt;"","95 Hủy/hoàn",IF($Q161&lt;&gt;"","99 Đóng",IF($P161&lt;&gt;"","90 Đã giao",IF($O161&lt;&gt;"","80 Đang giao",IF($N161&lt;&gt;"","70 Thông quan",IF($M161&lt;&gt;"","60 Đã xuất",IF($L161&lt;&gt;"","50 QC đạt",IF($K161&lt;&gt;"","40 NCC đã gửi",IF($I161&lt;&gt;"","30 Đã đặt NCC",IF($H161&lt;&gt;"","20 Đã xác nhận","10 Mới")))))))))))</f>
        <v/>
      </c>
      <c r="U161" s="33" t="str">
        <f aca="false">IF($T161="","",IFERROR(VLOOKUP($T161,DS!$A$2:$B$12,2,FALSE()),""))</f>
        <v/>
      </c>
      <c r="V161" s="34" t="str">
        <f aca="true">IF(OR($T161="",LEFT($T161,2)="99",LEFT($T161,2)="95"),"",TODAY()-MAX($E161,$H161:$P161))</f>
        <v/>
      </c>
      <c r="W161" s="34" t="str">
        <f aca="true">IF(AND($E161&lt;&gt;"",$I161="",$R161=""),IF(TODAY()-$E161&gt;1,"⚑",""),"")</f>
        <v/>
      </c>
      <c r="X161" s="34" t="str">
        <f aca="true">IF(AND($J161&lt;&gt;"",$K161="",$R161=""),IF(TODAY()-$J161&gt;2,"⚑",""),"")</f>
        <v/>
      </c>
      <c r="Y161" s="34" t="str">
        <f aca="true">IF(AND($G161&lt;&gt;"",$M161="",$R161=""),IF(AND($G161-TODAY()&lt;=14,$G161&gt;=TODAY()),"⚑",""),"")</f>
        <v/>
      </c>
      <c r="Z161" s="34" t="str">
        <f aca="true">IF(AND($G161&lt;&gt;"",$P161="",$R161=""),IF(TODAY()&gt;$G161,"⚑",""),"")</f>
        <v/>
      </c>
      <c r="AA161" s="34" t="str">
        <f aca="true">IF(AND($E161&lt;&gt;"",$P161="",$R161=""),IF(TODAY()-MAX($E161,$H161,$M161,$S161)&gt;7,"⚑",""),"")</f>
        <v/>
      </c>
      <c r="AB161" s="34" t="str">
        <f aca="false">IF(OR($P161="",$G161=""),"",IF($P161&lt;=$G161,"Có","Không"))</f>
        <v/>
      </c>
      <c r="AC161" s="34" t="str">
        <f aca="false">IF(OR($P161="",$E161=""),"",$P161-$E161)</f>
        <v/>
      </c>
      <c r="AD161" s="35" t="str">
        <f aca="false">IF($A161="","",COUNTIF(CASE!$B$3:$B$202,$A161))</f>
        <v/>
      </c>
      <c r="AE161" s="34" t="str">
        <f aca="false">IF(OR($I161="",$E161=""),"",$I161-$E161)</f>
        <v/>
      </c>
      <c r="AF161" s="34" t="str">
        <f aca="false">IF(OR($K161="",$I161=""),"",$K161-$I161)</f>
        <v/>
      </c>
      <c r="AG161" s="34" t="str">
        <f aca="false">IF(OR($L161="",$K161=""),"",$L161-$K161)</f>
        <v/>
      </c>
      <c r="AH161" s="34" t="str">
        <f aca="false">IF(OR($M161="",$L161=""),"",$M161-$L161)</f>
        <v/>
      </c>
      <c r="AI161" s="34" t="str">
        <f aca="false">IF(OR($P161="",$M161=""),"",$P161-$M161)</f>
        <v/>
      </c>
    </row>
    <row r="162" customFormat="false" ht="15" hidden="false" customHeight="false" outlineLevel="0" collapsed="false">
      <c r="A162" s="29"/>
      <c r="B162" s="29"/>
      <c r="C162" s="29"/>
      <c r="D162" s="30"/>
      <c r="E162" s="31"/>
      <c r="F162" s="32" t="str">
        <f aca="false">IF($E162="","",$E162+7*IFERROR(VLOOKUP($B162,DS!$K$2:$M$4,2,FALSE()),12))</f>
        <v/>
      </c>
      <c r="G162" s="32" t="str">
        <f aca="false">IF($E162="","",$E162+7*IFERROR(VLOOKUP($B162,DS!$K$2:$M$4,3,FALSE()),12))</f>
        <v/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3" t="str">
        <f aca="false">IF($A162="","",IF($R162&lt;&gt;"","95 Hủy/hoàn",IF($Q162&lt;&gt;"","99 Đóng",IF($P162&lt;&gt;"","90 Đã giao",IF($O162&lt;&gt;"","80 Đang giao",IF($N162&lt;&gt;"","70 Thông quan",IF($M162&lt;&gt;"","60 Đã xuất",IF($L162&lt;&gt;"","50 QC đạt",IF($K162&lt;&gt;"","40 NCC đã gửi",IF($I162&lt;&gt;"","30 Đã đặt NCC",IF($H162&lt;&gt;"","20 Đã xác nhận","10 Mới")))))))))))</f>
        <v/>
      </c>
      <c r="U162" s="33" t="str">
        <f aca="false">IF($T162="","",IFERROR(VLOOKUP($T162,DS!$A$2:$B$12,2,FALSE()),""))</f>
        <v/>
      </c>
      <c r="V162" s="34" t="str">
        <f aca="true">IF(OR($T162="",LEFT($T162,2)="99",LEFT($T162,2)="95"),"",TODAY()-MAX($E162,$H162:$P162))</f>
        <v/>
      </c>
      <c r="W162" s="34" t="str">
        <f aca="true">IF(AND($E162&lt;&gt;"",$I162="",$R162=""),IF(TODAY()-$E162&gt;1,"⚑",""),"")</f>
        <v/>
      </c>
      <c r="X162" s="34" t="str">
        <f aca="true">IF(AND($J162&lt;&gt;"",$K162="",$R162=""),IF(TODAY()-$J162&gt;2,"⚑",""),"")</f>
        <v/>
      </c>
      <c r="Y162" s="34" t="str">
        <f aca="true">IF(AND($G162&lt;&gt;"",$M162="",$R162=""),IF(AND($G162-TODAY()&lt;=14,$G162&gt;=TODAY()),"⚑",""),"")</f>
        <v/>
      </c>
      <c r="Z162" s="34" t="str">
        <f aca="true">IF(AND($G162&lt;&gt;"",$P162="",$R162=""),IF(TODAY()&gt;$G162,"⚑",""),"")</f>
        <v/>
      </c>
      <c r="AA162" s="34" t="str">
        <f aca="true">IF(AND($E162&lt;&gt;"",$P162="",$R162=""),IF(TODAY()-MAX($E162,$H162,$M162,$S162)&gt;7,"⚑",""),"")</f>
        <v/>
      </c>
      <c r="AB162" s="34" t="str">
        <f aca="false">IF(OR($P162="",$G162=""),"",IF($P162&lt;=$G162,"Có","Không"))</f>
        <v/>
      </c>
      <c r="AC162" s="34" t="str">
        <f aca="false">IF(OR($P162="",$E162=""),"",$P162-$E162)</f>
        <v/>
      </c>
      <c r="AD162" s="35" t="str">
        <f aca="false">IF($A162="","",COUNTIF(CASE!$B$3:$B$202,$A162))</f>
        <v/>
      </c>
      <c r="AE162" s="34" t="str">
        <f aca="false">IF(OR($I162="",$E162=""),"",$I162-$E162)</f>
        <v/>
      </c>
      <c r="AF162" s="34" t="str">
        <f aca="false">IF(OR($K162="",$I162=""),"",$K162-$I162)</f>
        <v/>
      </c>
      <c r="AG162" s="34" t="str">
        <f aca="false">IF(OR($L162="",$K162=""),"",$L162-$K162)</f>
        <v/>
      </c>
      <c r="AH162" s="34" t="str">
        <f aca="false">IF(OR($M162="",$L162=""),"",$M162-$L162)</f>
        <v/>
      </c>
      <c r="AI162" s="34" t="str">
        <f aca="false">IF(OR($P162="",$M162=""),"",$P162-$M162)</f>
        <v/>
      </c>
    </row>
    <row r="163" customFormat="false" ht="15" hidden="false" customHeight="false" outlineLevel="0" collapsed="false">
      <c r="A163" s="29"/>
      <c r="B163" s="29"/>
      <c r="C163" s="29"/>
      <c r="D163" s="30"/>
      <c r="E163" s="31"/>
      <c r="F163" s="32" t="str">
        <f aca="false">IF($E163="","",$E163+7*IFERROR(VLOOKUP($B163,DS!$K$2:$M$4,2,FALSE()),12))</f>
        <v/>
      </c>
      <c r="G163" s="32" t="str">
        <f aca="false">IF($E163="","",$E163+7*IFERROR(VLOOKUP($B163,DS!$K$2:$M$4,3,FALSE()),12))</f>
        <v/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3" t="str">
        <f aca="false">IF($A163="","",IF($R163&lt;&gt;"","95 Hủy/hoàn",IF($Q163&lt;&gt;"","99 Đóng",IF($P163&lt;&gt;"","90 Đã giao",IF($O163&lt;&gt;"","80 Đang giao",IF($N163&lt;&gt;"","70 Thông quan",IF($M163&lt;&gt;"","60 Đã xuất",IF($L163&lt;&gt;"","50 QC đạt",IF($K163&lt;&gt;"","40 NCC đã gửi",IF($I163&lt;&gt;"","30 Đã đặt NCC",IF($H163&lt;&gt;"","20 Đã xác nhận","10 Mới")))))))))))</f>
        <v/>
      </c>
      <c r="U163" s="33" t="str">
        <f aca="false">IF($T163="","",IFERROR(VLOOKUP($T163,DS!$A$2:$B$12,2,FALSE()),""))</f>
        <v/>
      </c>
      <c r="V163" s="34" t="str">
        <f aca="true">IF(OR($T163="",LEFT($T163,2)="99",LEFT($T163,2)="95"),"",TODAY()-MAX($E163,$H163:$P163))</f>
        <v/>
      </c>
      <c r="W163" s="34" t="str">
        <f aca="true">IF(AND($E163&lt;&gt;"",$I163="",$R163=""),IF(TODAY()-$E163&gt;1,"⚑",""),"")</f>
        <v/>
      </c>
      <c r="X163" s="34" t="str">
        <f aca="true">IF(AND($J163&lt;&gt;"",$K163="",$R163=""),IF(TODAY()-$J163&gt;2,"⚑",""),"")</f>
        <v/>
      </c>
      <c r="Y163" s="34" t="str">
        <f aca="true">IF(AND($G163&lt;&gt;"",$M163="",$R163=""),IF(AND($G163-TODAY()&lt;=14,$G163&gt;=TODAY()),"⚑",""),"")</f>
        <v/>
      </c>
      <c r="Z163" s="34" t="str">
        <f aca="true">IF(AND($G163&lt;&gt;"",$P163="",$R163=""),IF(TODAY()&gt;$G163,"⚑",""),"")</f>
        <v/>
      </c>
      <c r="AA163" s="34" t="str">
        <f aca="true">IF(AND($E163&lt;&gt;"",$P163="",$R163=""),IF(TODAY()-MAX($E163,$H163,$M163,$S163)&gt;7,"⚑",""),"")</f>
        <v/>
      </c>
      <c r="AB163" s="34" t="str">
        <f aca="false">IF(OR($P163="",$G163=""),"",IF($P163&lt;=$G163,"Có","Không"))</f>
        <v/>
      </c>
      <c r="AC163" s="34" t="str">
        <f aca="false">IF(OR($P163="",$E163=""),"",$P163-$E163)</f>
        <v/>
      </c>
      <c r="AD163" s="35" t="str">
        <f aca="false">IF($A163="","",COUNTIF(CASE!$B$3:$B$202,$A163))</f>
        <v/>
      </c>
      <c r="AE163" s="34" t="str">
        <f aca="false">IF(OR($I163="",$E163=""),"",$I163-$E163)</f>
        <v/>
      </c>
      <c r="AF163" s="34" t="str">
        <f aca="false">IF(OR($K163="",$I163=""),"",$K163-$I163)</f>
        <v/>
      </c>
      <c r="AG163" s="34" t="str">
        <f aca="false">IF(OR($L163="",$K163=""),"",$L163-$K163)</f>
        <v/>
      </c>
      <c r="AH163" s="34" t="str">
        <f aca="false">IF(OR($M163="",$L163=""),"",$M163-$L163)</f>
        <v/>
      </c>
      <c r="AI163" s="34" t="str">
        <f aca="false">IF(OR($P163="",$M163=""),"",$P163-$M163)</f>
        <v/>
      </c>
    </row>
    <row r="164" customFormat="false" ht="15" hidden="false" customHeight="false" outlineLevel="0" collapsed="false">
      <c r="A164" s="29"/>
      <c r="B164" s="29"/>
      <c r="C164" s="29"/>
      <c r="D164" s="30"/>
      <c r="E164" s="31"/>
      <c r="F164" s="32" t="str">
        <f aca="false">IF($E164="","",$E164+7*IFERROR(VLOOKUP($B164,DS!$K$2:$M$4,2,FALSE()),12))</f>
        <v/>
      </c>
      <c r="G164" s="32" t="str">
        <f aca="false">IF($E164="","",$E164+7*IFERROR(VLOOKUP($B164,DS!$K$2:$M$4,3,FALSE()),12))</f>
        <v/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3" t="str">
        <f aca="false">IF($A164="","",IF($R164&lt;&gt;"","95 Hủy/hoàn",IF($Q164&lt;&gt;"","99 Đóng",IF($P164&lt;&gt;"","90 Đã giao",IF($O164&lt;&gt;"","80 Đang giao",IF($N164&lt;&gt;"","70 Thông quan",IF($M164&lt;&gt;"","60 Đã xuất",IF($L164&lt;&gt;"","50 QC đạt",IF($K164&lt;&gt;"","40 NCC đã gửi",IF($I164&lt;&gt;"","30 Đã đặt NCC",IF($H164&lt;&gt;"","20 Đã xác nhận","10 Mới")))))))))))</f>
        <v/>
      </c>
      <c r="U164" s="33" t="str">
        <f aca="false">IF($T164="","",IFERROR(VLOOKUP($T164,DS!$A$2:$B$12,2,FALSE()),""))</f>
        <v/>
      </c>
      <c r="V164" s="34" t="str">
        <f aca="true">IF(OR($T164="",LEFT($T164,2)="99",LEFT($T164,2)="95"),"",TODAY()-MAX($E164,$H164:$P164))</f>
        <v/>
      </c>
      <c r="W164" s="34" t="str">
        <f aca="true">IF(AND($E164&lt;&gt;"",$I164="",$R164=""),IF(TODAY()-$E164&gt;1,"⚑",""),"")</f>
        <v/>
      </c>
      <c r="X164" s="34" t="str">
        <f aca="true">IF(AND($J164&lt;&gt;"",$K164="",$R164=""),IF(TODAY()-$J164&gt;2,"⚑",""),"")</f>
        <v/>
      </c>
      <c r="Y164" s="34" t="str">
        <f aca="true">IF(AND($G164&lt;&gt;"",$M164="",$R164=""),IF(AND($G164-TODAY()&lt;=14,$G164&gt;=TODAY()),"⚑",""),"")</f>
        <v/>
      </c>
      <c r="Z164" s="34" t="str">
        <f aca="true">IF(AND($G164&lt;&gt;"",$P164="",$R164=""),IF(TODAY()&gt;$G164,"⚑",""),"")</f>
        <v/>
      </c>
      <c r="AA164" s="34" t="str">
        <f aca="true">IF(AND($E164&lt;&gt;"",$P164="",$R164=""),IF(TODAY()-MAX($E164,$H164,$M164,$S164)&gt;7,"⚑",""),"")</f>
        <v/>
      </c>
      <c r="AB164" s="34" t="str">
        <f aca="false">IF(OR($P164="",$G164=""),"",IF($P164&lt;=$G164,"Có","Không"))</f>
        <v/>
      </c>
      <c r="AC164" s="34" t="str">
        <f aca="false">IF(OR($P164="",$E164=""),"",$P164-$E164)</f>
        <v/>
      </c>
      <c r="AD164" s="35" t="str">
        <f aca="false">IF($A164="","",COUNTIF(CASE!$B$3:$B$202,$A164))</f>
        <v/>
      </c>
      <c r="AE164" s="34" t="str">
        <f aca="false">IF(OR($I164="",$E164=""),"",$I164-$E164)</f>
        <v/>
      </c>
      <c r="AF164" s="34" t="str">
        <f aca="false">IF(OR($K164="",$I164=""),"",$K164-$I164)</f>
        <v/>
      </c>
      <c r="AG164" s="34" t="str">
        <f aca="false">IF(OR($L164="",$K164=""),"",$L164-$K164)</f>
        <v/>
      </c>
      <c r="AH164" s="34" t="str">
        <f aca="false">IF(OR($M164="",$L164=""),"",$M164-$L164)</f>
        <v/>
      </c>
      <c r="AI164" s="34" t="str">
        <f aca="false">IF(OR($P164="",$M164=""),"",$P164-$M164)</f>
        <v/>
      </c>
    </row>
    <row r="165" customFormat="false" ht="15" hidden="false" customHeight="false" outlineLevel="0" collapsed="false">
      <c r="A165" s="29"/>
      <c r="B165" s="29"/>
      <c r="C165" s="29"/>
      <c r="D165" s="30"/>
      <c r="E165" s="31"/>
      <c r="F165" s="32" t="str">
        <f aca="false">IF($E165="","",$E165+7*IFERROR(VLOOKUP($B165,DS!$K$2:$M$4,2,FALSE()),12))</f>
        <v/>
      </c>
      <c r="G165" s="32" t="str">
        <f aca="false">IF($E165="","",$E165+7*IFERROR(VLOOKUP($B165,DS!$K$2:$M$4,3,FALSE()),12))</f>
        <v/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3" t="str">
        <f aca="false">IF($A165="","",IF($R165&lt;&gt;"","95 Hủy/hoàn",IF($Q165&lt;&gt;"","99 Đóng",IF($P165&lt;&gt;"","90 Đã giao",IF($O165&lt;&gt;"","80 Đang giao",IF($N165&lt;&gt;"","70 Thông quan",IF($M165&lt;&gt;"","60 Đã xuất",IF($L165&lt;&gt;"","50 QC đạt",IF($K165&lt;&gt;"","40 NCC đã gửi",IF($I165&lt;&gt;"","30 Đã đặt NCC",IF($H165&lt;&gt;"","20 Đã xác nhận","10 Mới")))))))))))</f>
        <v/>
      </c>
      <c r="U165" s="33" t="str">
        <f aca="false">IF($T165="","",IFERROR(VLOOKUP($T165,DS!$A$2:$B$12,2,FALSE()),""))</f>
        <v/>
      </c>
      <c r="V165" s="34" t="str">
        <f aca="true">IF(OR($T165="",LEFT($T165,2)="99",LEFT($T165,2)="95"),"",TODAY()-MAX($E165,$H165:$P165))</f>
        <v/>
      </c>
      <c r="W165" s="34" t="str">
        <f aca="true">IF(AND($E165&lt;&gt;"",$I165="",$R165=""),IF(TODAY()-$E165&gt;1,"⚑",""),"")</f>
        <v/>
      </c>
      <c r="X165" s="34" t="str">
        <f aca="true">IF(AND($J165&lt;&gt;"",$K165="",$R165=""),IF(TODAY()-$J165&gt;2,"⚑",""),"")</f>
        <v/>
      </c>
      <c r="Y165" s="34" t="str">
        <f aca="true">IF(AND($G165&lt;&gt;"",$M165="",$R165=""),IF(AND($G165-TODAY()&lt;=14,$G165&gt;=TODAY()),"⚑",""),"")</f>
        <v/>
      </c>
      <c r="Z165" s="34" t="str">
        <f aca="true">IF(AND($G165&lt;&gt;"",$P165="",$R165=""),IF(TODAY()&gt;$G165,"⚑",""),"")</f>
        <v/>
      </c>
      <c r="AA165" s="34" t="str">
        <f aca="true">IF(AND($E165&lt;&gt;"",$P165="",$R165=""),IF(TODAY()-MAX($E165,$H165,$M165,$S165)&gt;7,"⚑",""),"")</f>
        <v/>
      </c>
      <c r="AB165" s="34" t="str">
        <f aca="false">IF(OR($P165="",$G165=""),"",IF($P165&lt;=$G165,"Có","Không"))</f>
        <v/>
      </c>
      <c r="AC165" s="34" t="str">
        <f aca="false">IF(OR($P165="",$E165=""),"",$P165-$E165)</f>
        <v/>
      </c>
      <c r="AD165" s="35" t="str">
        <f aca="false">IF($A165="","",COUNTIF(CASE!$B$3:$B$202,$A165))</f>
        <v/>
      </c>
      <c r="AE165" s="34" t="str">
        <f aca="false">IF(OR($I165="",$E165=""),"",$I165-$E165)</f>
        <v/>
      </c>
      <c r="AF165" s="34" t="str">
        <f aca="false">IF(OR($K165="",$I165=""),"",$K165-$I165)</f>
        <v/>
      </c>
      <c r="AG165" s="34" t="str">
        <f aca="false">IF(OR($L165="",$K165=""),"",$L165-$K165)</f>
        <v/>
      </c>
      <c r="AH165" s="34" t="str">
        <f aca="false">IF(OR($M165="",$L165=""),"",$M165-$L165)</f>
        <v/>
      </c>
      <c r="AI165" s="34" t="str">
        <f aca="false">IF(OR($P165="",$M165=""),"",$P165-$M165)</f>
        <v/>
      </c>
    </row>
    <row r="166" customFormat="false" ht="15" hidden="false" customHeight="false" outlineLevel="0" collapsed="false">
      <c r="A166" s="29"/>
      <c r="B166" s="29"/>
      <c r="C166" s="29"/>
      <c r="D166" s="30"/>
      <c r="E166" s="31"/>
      <c r="F166" s="32" t="str">
        <f aca="false">IF($E166="","",$E166+7*IFERROR(VLOOKUP($B166,DS!$K$2:$M$4,2,FALSE()),12))</f>
        <v/>
      </c>
      <c r="G166" s="32" t="str">
        <f aca="false">IF($E166="","",$E166+7*IFERROR(VLOOKUP($B166,DS!$K$2:$M$4,3,FALSE()),12))</f>
        <v/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3" t="str">
        <f aca="false">IF($A166="","",IF($R166&lt;&gt;"","95 Hủy/hoàn",IF($Q166&lt;&gt;"","99 Đóng",IF($P166&lt;&gt;"","90 Đã giao",IF($O166&lt;&gt;"","80 Đang giao",IF($N166&lt;&gt;"","70 Thông quan",IF($M166&lt;&gt;"","60 Đã xuất",IF($L166&lt;&gt;"","50 QC đạt",IF($K166&lt;&gt;"","40 NCC đã gửi",IF($I166&lt;&gt;"","30 Đã đặt NCC",IF($H166&lt;&gt;"","20 Đã xác nhận","10 Mới")))))))))))</f>
        <v/>
      </c>
      <c r="U166" s="33" t="str">
        <f aca="false">IF($T166="","",IFERROR(VLOOKUP($T166,DS!$A$2:$B$12,2,FALSE()),""))</f>
        <v/>
      </c>
      <c r="V166" s="34" t="str">
        <f aca="true">IF(OR($T166="",LEFT($T166,2)="99",LEFT($T166,2)="95"),"",TODAY()-MAX($E166,$H166:$P166))</f>
        <v/>
      </c>
      <c r="W166" s="34" t="str">
        <f aca="true">IF(AND($E166&lt;&gt;"",$I166="",$R166=""),IF(TODAY()-$E166&gt;1,"⚑",""),"")</f>
        <v/>
      </c>
      <c r="X166" s="34" t="str">
        <f aca="true">IF(AND($J166&lt;&gt;"",$K166="",$R166=""),IF(TODAY()-$J166&gt;2,"⚑",""),"")</f>
        <v/>
      </c>
      <c r="Y166" s="34" t="str">
        <f aca="true">IF(AND($G166&lt;&gt;"",$M166="",$R166=""),IF(AND($G166-TODAY()&lt;=14,$G166&gt;=TODAY()),"⚑",""),"")</f>
        <v/>
      </c>
      <c r="Z166" s="34" t="str">
        <f aca="true">IF(AND($G166&lt;&gt;"",$P166="",$R166=""),IF(TODAY()&gt;$G166,"⚑",""),"")</f>
        <v/>
      </c>
      <c r="AA166" s="34" t="str">
        <f aca="true">IF(AND($E166&lt;&gt;"",$P166="",$R166=""),IF(TODAY()-MAX($E166,$H166,$M166,$S166)&gt;7,"⚑",""),"")</f>
        <v/>
      </c>
      <c r="AB166" s="34" t="str">
        <f aca="false">IF(OR($P166="",$G166=""),"",IF($P166&lt;=$G166,"Có","Không"))</f>
        <v/>
      </c>
      <c r="AC166" s="34" t="str">
        <f aca="false">IF(OR($P166="",$E166=""),"",$P166-$E166)</f>
        <v/>
      </c>
      <c r="AD166" s="35" t="str">
        <f aca="false">IF($A166="","",COUNTIF(CASE!$B$3:$B$202,$A166))</f>
        <v/>
      </c>
      <c r="AE166" s="34" t="str">
        <f aca="false">IF(OR($I166="",$E166=""),"",$I166-$E166)</f>
        <v/>
      </c>
      <c r="AF166" s="34" t="str">
        <f aca="false">IF(OR($K166="",$I166=""),"",$K166-$I166)</f>
        <v/>
      </c>
      <c r="AG166" s="34" t="str">
        <f aca="false">IF(OR($L166="",$K166=""),"",$L166-$K166)</f>
        <v/>
      </c>
      <c r="AH166" s="34" t="str">
        <f aca="false">IF(OR($M166="",$L166=""),"",$M166-$L166)</f>
        <v/>
      </c>
      <c r="AI166" s="34" t="str">
        <f aca="false">IF(OR($P166="",$M166=""),"",$P166-$M166)</f>
        <v/>
      </c>
    </row>
    <row r="167" customFormat="false" ht="15" hidden="false" customHeight="false" outlineLevel="0" collapsed="false">
      <c r="A167" s="29"/>
      <c r="B167" s="29"/>
      <c r="C167" s="29"/>
      <c r="D167" s="30"/>
      <c r="E167" s="31"/>
      <c r="F167" s="32" t="str">
        <f aca="false">IF($E167="","",$E167+7*IFERROR(VLOOKUP($B167,DS!$K$2:$M$4,2,FALSE()),12))</f>
        <v/>
      </c>
      <c r="G167" s="32" t="str">
        <f aca="false">IF($E167="","",$E167+7*IFERROR(VLOOKUP($B167,DS!$K$2:$M$4,3,FALSE()),12))</f>
        <v/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3" t="str">
        <f aca="false">IF($A167="","",IF($R167&lt;&gt;"","95 Hủy/hoàn",IF($Q167&lt;&gt;"","99 Đóng",IF($P167&lt;&gt;"","90 Đã giao",IF($O167&lt;&gt;"","80 Đang giao",IF($N167&lt;&gt;"","70 Thông quan",IF($M167&lt;&gt;"","60 Đã xuất",IF($L167&lt;&gt;"","50 QC đạt",IF($K167&lt;&gt;"","40 NCC đã gửi",IF($I167&lt;&gt;"","30 Đã đặt NCC",IF($H167&lt;&gt;"","20 Đã xác nhận","10 Mới")))))))))))</f>
        <v/>
      </c>
      <c r="U167" s="33" t="str">
        <f aca="false">IF($T167="","",IFERROR(VLOOKUP($T167,DS!$A$2:$B$12,2,FALSE()),""))</f>
        <v/>
      </c>
      <c r="V167" s="34" t="str">
        <f aca="true">IF(OR($T167="",LEFT($T167,2)="99",LEFT($T167,2)="95"),"",TODAY()-MAX($E167,$H167:$P167))</f>
        <v/>
      </c>
      <c r="W167" s="34" t="str">
        <f aca="true">IF(AND($E167&lt;&gt;"",$I167="",$R167=""),IF(TODAY()-$E167&gt;1,"⚑",""),"")</f>
        <v/>
      </c>
      <c r="X167" s="34" t="str">
        <f aca="true">IF(AND($J167&lt;&gt;"",$K167="",$R167=""),IF(TODAY()-$J167&gt;2,"⚑",""),"")</f>
        <v/>
      </c>
      <c r="Y167" s="34" t="str">
        <f aca="true">IF(AND($G167&lt;&gt;"",$M167="",$R167=""),IF(AND($G167-TODAY()&lt;=14,$G167&gt;=TODAY()),"⚑",""),"")</f>
        <v/>
      </c>
      <c r="Z167" s="34" t="str">
        <f aca="true">IF(AND($G167&lt;&gt;"",$P167="",$R167=""),IF(TODAY()&gt;$G167,"⚑",""),"")</f>
        <v/>
      </c>
      <c r="AA167" s="34" t="str">
        <f aca="true">IF(AND($E167&lt;&gt;"",$P167="",$R167=""),IF(TODAY()-MAX($E167,$H167,$M167,$S167)&gt;7,"⚑",""),"")</f>
        <v/>
      </c>
      <c r="AB167" s="34" t="str">
        <f aca="false">IF(OR($P167="",$G167=""),"",IF($P167&lt;=$G167,"Có","Không"))</f>
        <v/>
      </c>
      <c r="AC167" s="34" t="str">
        <f aca="false">IF(OR($P167="",$E167=""),"",$P167-$E167)</f>
        <v/>
      </c>
      <c r="AD167" s="35" t="str">
        <f aca="false">IF($A167="","",COUNTIF(CASE!$B$3:$B$202,$A167))</f>
        <v/>
      </c>
      <c r="AE167" s="34" t="str">
        <f aca="false">IF(OR($I167="",$E167=""),"",$I167-$E167)</f>
        <v/>
      </c>
      <c r="AF167" s="34" t="str">
        <f aca="false">IF(OR($K167="",$I167=""),"",$K167-$I167)</f>
        <v/>
      </c>
      <c r="AG167" s="34" t="str">
        <f aca="false">IF(OR($L167="",$K167=""),"",$L167-$K167)</f>
        <v/>
      </c>
      <c r="AH167" s="34" t="str">
        <f aca="false">IF(OR($M167="",$L167=""),"",$M167-$L167)</f>
        <v/>
      </c>
      <c r="AI167" s="34" t="str">
        <f aca="false">IF(OR($P167="",$M167=""),"",$P167-$M167)</f>
        <v/>
      </c>
    </row>
    <row r="168" customFormat="false" ht="15" hidden="false" customHeight="false" outlineLevel="0" collapsed="false">
      <c r="A168" s="29"/>
      <c r="B168" s="29"/>
      <c r="C168" s="29"/>
      <c r="D168" s="30"/>
      <c r="E168" s="31"/>
      <c r="F168" s="32" t="str">
        <f aca="false">IF($E168="","",$E168+7*IFERROR(VLOOKUP($B168,DS!$K$2:$M$4,2,FALSE()),12))</f>
        <v/>
      </c>
      <c r="G168" s="32" t="str">
        <f aca="false">IF($E168="","",$E168+7*IFERROR(VLOOKUP($B168,DS!$K$2:$M$4,3,FALSE()),12))</f>
        <v/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3" t="str">
        <f aca="false">IF($A168="","",IF($R168&lt;&gt;"","95 Hủy/hoàn",IF($Q168&lt;&gt;"","99 Đóng",IF($P168&lt;&gt;"","90 Đã giao",IF($O168&lt;&gt;"","80 Đang giao",IF($N168&lt;&gt;"","70 Thông quan",IF($M168&lt;&gt;"","60 Đã xuất",IF($L168&lt;&gt;"","50 QC đạt",IF($K168&lt;&gt;"","40 NCC đã gửi",IF($I168&lt;&gt;"","30 Đã đặt NCC",IF($H168&lt;&gt;"","20 Đã xác nhận","10 Mới")))))))))))</f>
        <v/>
      </c>
      <c r="U168" s="33" t="str">
        <f aca="false">IF($T168="","",IFERROR(VLOOKUP($T168,DS!$A$2:$B$12,2,FALSE()),""))</f>
        <v/>
      </c>
      <c r="V168" s="34" t="str">
        <f aca="true">IF(OR($T168="",LEFT($T168,2)="99",LEFT($T168,2)="95"),"",TODAY()-MAX($E168,$H168:$P168))</f>
        <v/>
      </c>
      <c r="W168" s="34" t="str">
        <f aca="true">IF(AND($E168&lt;&gt;"",$I168="",$R168=""),IF(TODAY()-$E168&gt;1,"⚑",""),"")</f>
        <v/>
      </c>
      <c r="X168" s="34" t="str">
        <f aca="true">IF(AND($J168&lt;&gt;"",$K168="",$R168=""),IF(TODAY()-$J168&gt;2,"⚑",""),"")</f>
        <v/>
      </c>
      <c r="Y168" s="34" t="str">
        <f aca="true">IF(AND($G168&lt;&gt;"",$M168="",$R168=""),IF(AND($G168-TODAY()&lt;=14,$G168&gt;=TODAY()),"⚑",""),"")</f>
        <v/>
      </c>
      <c r="Z168" s="34" t="str">
        <f aca="true">IF(AND($G168&lt;&gt;"",$P168="",$R168=""),IF(TODAY()&gt;$G168,"⚑",""),"")</f>
        <v/>
      </c>
      <c r="AA168" s="34" t="str">
        <f aca="true">IF(AND($E168&lt;&gt;"",$P168="",$R168=""),IF(TODAY()-MAX($E168,$H168,$M168,$S168)&gt;7,"⚑",""),"")</f>
        <v/>
      </c>
      <c r="AB168" s="34" t="str">
        <f aca="false">IF(OR($P168="",$G168=""),"",IF($P168&lt;=$G168,"Có","Không"))</f>
        <v/>
      </c>
      <c r="AC168" s="34" t="str">
        <f aca="false">IF(OR($P168="",$E168=""),"",$P168-$E168)</f>
        <v/>
      </c>
      <c r="AD168" s="35" t="str">
        <f aca="false">IF($A168="","",COUNTIF(CASE!$B$3:$B$202,$A168))</f>
        <v/>
      </c>
      <c r="AE168" s="34" t="str">
        <f aca="false">IF(OR($I168="",$E168=""),"",$I168-$E168)</f>
        <v/>
      </c>
      <c r="AF168" s="34" t="str">
        <f aca="false">IF(OR($K168="",$I168=""),"",$K168-$I168)</f>
        <v/>
      </c>
      <c r="AG168" s="34" t="str">
        <f aca="false">IF(OR($L168="",$K168=""),"",$L168-$K168)</f>
        <v/>
      </c>
      <c r="AH168" s="34" t="str">
        <f aca="false">IF(OR($M168="",$L168=""),"",$M168-$L168)</f>
        <v/>
      </c>
      <c r="AI168" s="34" t="str">
        <f aca="false">IF(OR($P168="",$M168=""),"",$P168-$M168)</f>
        <v/>
      </c>
    </row>
    <row r="169" customFormat="false" ht="15" hidden="false" customHeight="false" outlineLevel="0" collapsed="false">
      <c r="A169" s="29"/>
      <c r="B169" s="29"/>
      <c r="C169" s="29"/>
      <c r="D169" s="30"/>
      <c r="E169" s="31"/>
      <c r="F169" s="32" t="str">
        <f aca="false">IF($E169="","",$E169+7*IFERROR(VLOOKUP($B169,DS!$K$2:$M$4,2,FALSE()),12))</f>
        <v/>
      </c>
      <c r="G169" s="32" t="str">
        <f aca="false">IF($E169="","",$E169+7*IFERROR(VLOOKUP($B169,DS!$K$2:$M$4,3,FALSE()),12))</f>
        <v/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3" t="str">
        <f aca="false">IF($A169="","",IF($R169&lt;&gt;"","95 Hủy/hoàn",IF($Q169&lt;&gt;"","99 Đóng",IF($P169&lt;&gt;"","90 Đã giao",IF($O169&lt;&gt;"","80 Đang giao",IF($N169&lt;&gt;"","70 Thông quan",IF($M169&lt;&gt;"","60 Đã xuất",IF($L169&lt;&gt;"","50 QC đạt",IF($K169&lt;&gt;"","40 NCC đã gửi",IF($I169&lt;&gt;"","30 Đã đặt NCC",IF($H169&lt;&gt;"","20 Đã xác nhận","10 Mới")))))))))))</f>
        <v/>
      </c>
      <c r="U169" s="33" t="str">
        <f aca="false">IF($T169="","",IFERROR(VLOOKUP($T169,DS!$A$2:$B$12,2,FALSE()),""))</f>
        <v/>
      </c>
      <c r="V169" s="34" t="str">
        <f aca="true">IF(OR($T169="",LEFT($T169,2)="99",LEFT($T169,2)="95"),"",TODAY()-MAX($E169,$H169:$P169))</f>
        <v/>
      </c>
      <c r="W169" s="34" t="str">
        <f aca="true">IF(AND($E169&lt;&gt;"",$I169="",$R169=""),IF(TODAY()-$E169&gt;1,"⚑",""),"")</f>
        <v/>
      </c>
      <c r="X169" s="34" t="str">
        <f aca="true">IF(AND($J169&lt;&gt;"",$K169="",$R169=""),IF(TODAY()-$J169&gt;2,"⚑",""),"")</f>
        <v/>
      </c>
      <c r="Y169" s="34" t="str">
        <f aca="true">IF(AND($G169&lt;&gt;"",$M169="",$R169=""),IF(AND($G169-TODAY()&lt;=14,$G169&gt;=TODAY()),"⚑",""),"")</f>
        <v/>
      </c>
      <c r="Z169" s="34" t="str">
        <f aca="true">IF(AND($G169&lt;&gt;"",$P169="",$R169=""),IF(TODAY()&gt;$G169,"⚑",""),"")</f>
        <v/>
      </c>
      <c r="AA169" s="34" t="str">
        <f aca="true">IF(AND($E169&lt;&gt;"",$P169="",$R169=""),IF(TODAY()-MAX($E169,$H169,$M169,$S169)&gt;7,"⚑",""),"")</f>
        <v/>
      </c>
      <c r="AB169" s="34" t="str">
        <f aca="false">IF(OR($P169="",$G169=""),"",IF($P169&lt;=$G169,"Có","Không"))</f>
        <v/>
      </c>
      <c r="AC169" s="34" t="str">
        <f aca="false">IF(OR($P169="",$E169=""),"",$P169-$E169)</f>
        <v/>
      </c>
      <c r="AD169" s="35" t="str">
        <f aca="false">IF($A169="","",COUNTIF(CASE!$B$3:$B$202,$A169))</f>
        <v/>
      </c>
      <c r="AE169" s="34" t="str">
        <f aca="false">IF(OR($I169="",$E169=""),"",$I169-$E169)</f>
        <v/>
      </c>
      <c r="AF169" s="34" t="str">
        <f aca="false">IF(OR($K169="",$I169=""),"",$K169-$I169)</f>
        <v/>
      </c>
      <c r="AG169" s="34" t="str">
        <f aca="false">IF(OR($L169="",$K169=""),"",$L169-$K169)</f>
        <v/>
      </c>
      <c r="AH169" s="34" t="str">
        <f aca="false">IF(OR($M169="",$L169=""),"",$M169-$L169)</f>
        <v/>
      </c>
      <c r="AI169" s="34" t="str">
        <f aca="false">IF(OR($P169="",$M169=""),"",$P169-$M169)</f>
        <v/>
      </c>
    </row>
    <row r="170" customFormat="false" ht="15" hidden="false" customHeight="false" outlineLevel="0" collapsed="false">
      <c r="A170" s="29"/>
      <c r="B170" s="29"/>
      <c r="C170" s="29"/>
      <c r="D170" s="30"/>
      <c r="E170" s="31"/>
      <c r="F170" s="32" t="str">
        <f aca="false">IF($E170="","",$E170+7*IFERROR(VLOOKUP($B170,DS!$K$2:$M$4,2,FALSE()),12))</f>
        <v/>
      </c>
      <c r="G170" s="32" t="str">
        <f aca="false">IF($E170="","",$E170+7*IFERROR(VLOOKUP($B170,DS!$K$2:$M$4,3,FALSE()),12))</f>
        <v/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3" t="str">
        <f aca="false">IF($A170="","",IF($R170&lt;&gt;"","95 Hủy/hoàn",IF($Q170&lt;&gt;"","99 Đóng",IF($P170&lt;&gt;"","90 Đã giao",IF($O170&lt;&gt;"","80 Đang giao",IF($N170&lt;&gt;"","70 Thông quan",IF($M170&lt;&gt;"","60 Đã xuất",IF($L170&lt;&gt;"","50 QC đạt",IF($K170&lt;&gt;"","40 NCC đã gửi",IF($I170&lt;&gt;"","30 Đã đặt NCC",IF($H170&lt;&gt;"","20 Đã xác nhận","10 Mới")))))))))))</f>
        <v/>
      </c>
      <c r="U170" s="33" t="str">
        <f aca="false">IF($T170="","",IFERROR(VLOOKUP($T170,DS!$A$2:$B$12,2,FALSE()),""))</f>
        <v/>
      </c>
      <c r="V170" s="34" t="str">
        <f aca="true">IF(OR($T170="",LEFT($T170,2)="99",LEFT($T170,2)="95"),"",TODAY()-MAX($E170,$H170:$P170))</f>
        <v/>
      </c>
      <c r="W170" s="34" t="str">
        <f aca="true">IF(AND($E170&lt;&gt;"",$I170="",$R170=""),IF(TODAY()-$E170&gt;1,"⚑",""),"")</f>
        <v/>
      </c>
      <c r="X170" s="34" t="str">
        <f aca="true">IF(AND($J170&lt;&gt;"",$K170="",$R170=""),IF(TODAY()-$J170&gt;2,"⚑",""),"")</f>
        <v/>
      </c>
      <c r="Y170" s="34" t="str">
        <f aca="true">IF(AND($G170&lt;&gt;"",$M170="",$R170=""),IF(AND($G170-TODAY()&lt;=14,$G170&gt;=TODAY()),"⚑",""),"")</f>
        <v/>
      </c>
      <c r="Z170" s="34" t="str">
        <f aca="true">IF(AND($G170&lt;&gt;"",$P170="",$R170=""),IF(TODAY()&gt;$G170,"⚑",""),"")</f>
        <v/>
      </c>
      <c r="AA170" s="34" t="str">
        <f aca="true">IF(AND($E170&lt;&gt;"",$P170="",$R170=""),IF(TODAY()-MAX($E170,$H170,$M170,$S170)&gt;7,"⚑",""),"")</f>
        <v/>
      </c>
      <c r="AB170" s="34" t="str">
        <f aca="false">IF(OR($P170="",$G170=""),"",IF($P170&lt;=$G170,"Có","Không"))</f>
        <v/>
      </c>
      <c r="AC170" s="34" t="str">
        <f aca="false">IF(OR($P170="",$E170=""),"",$P170-$E170)</f>
        <v/>
      </c>
      <c r="AD170" s="35" t="str">
        <f aca="false">IF($A170="","",COUNTIF(CASE!$B$3:$B$202,$A170))</f>
        <v/>
      </c>
      <c r="AE170" s="34" t="str">
        <f aca="false">IF(OR($I170="",$E170=""),"",$I170-$E170)</f>
        <v/>
      </c>
      <c r="AF170" s="34" t="str">
        <f aca="false">IF(OR($K170="",$I170=""),"",$K170-$I170)</f>
        <v/>
      </c>
      <c r="AG170" s="34" t="str">
        <f aca="false">IF(OR($L170="",$K170=""),"",$L170-$K170)</f>
        <v/>
      </c>
      <c r="AH170" s="34" t="str">
        <f aca="false">IF(OR($M170="",$L170=""),"",$M170-$L170)</f>
        <v/>
      </c>
      <c r="AI170" s="34" t="str">
        <f aca="false">IF(OR($P170="",$M170=""),"",$P170-$M170)</f>
        <v/>
      </c>
    </row>
    <row r="171" customFormat="false" ht="15" hidden="false" customHeight="false" outlineLevel="0" collapsed="false">
      <c r="A171" s="29"/>
      <c r="B171" s="29"/>
      <c r="C171" s="29"/>
      <c r="D171" s="30"/>
      <c r="E171" s="31"/>
      <c r="F171" s="32" t="str">
        <f aca="false">IF($E171="","",$E171+7*IFERROR(VLOOKUP($B171,DS!$K$2:$M$4,2,FALSE()),12))</f>
        <v/>
      </c>
      <c r="G171" s="32" t="str">
        <f aca="false">IF($E171="","",$E171+7*IFERROR(VLOOKUP($B171,DS!$K$2:$M$4,3,FALSE()),12))</f>
        <v/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3" t="str">
        <f aca="false">IF($A171="","",IF($R171&lt;&gt;"","95 Hủy/hoàn",IF($Q171&lt;&gt;"","99 Đóng",IF($P171&lt;&gt;"","90 Đã giao",IF($O171&lt;&gt;"","80 Đang giao",IF($N171&lt;&gt;"","70 Thông quan",IF($M171&lt;&gt;"","60 Đã xuất",IF($L171&lt;&gt;"","50 QC đạt",IF($K171&lt;&gt;"","40 NCC đã gửi",IF($I171&lt;&gt;"","30 Đã đặt NCC",IF($H171&lt;&gt;"","20 Đã xác nhận","10 Mới")))))))))))</f>
        <v/>
      </c>
      <c r="U171" s="33" t="str">
        <f aca="false">IF($T171="","",IFERROR(VLOOKUP($T171,DS!$A$2:$B$12,2,FALSE()),""))</f>
        <v/>
      </c>
      <c r="V171" s="34" t="str">
        <f aca="true">IF(OR($T171="",LEFT($T171,2)="99",LEFT($T171,2)="95"),"",TODAY()-MAX($E171,$H171:$P171))</f>
        <v/>
      </c>
      <c r="W171" s="34" t="str">
        <f aca="true">IF(AND($E171&lt;&gt;"",$I171="",$R171=""),IF(TODAY()-$E171&gt;1,"⚑",""),"")</f>
        <v/>
      </c>
      <c r="X171" s="34" t="str">
        <f aca="true">IF(AND($J171&lt;&gt;"",$K171="",$R171=""),IF(TODAY()-$J171&gt;2,"⚑",""),"")</f>
        <v/>
      </c>
      <c r="Y171" s="34" t="str">
        <f aca="true">IF(AND($G171&lt;&gt;"",$M171="",$R171=""),IF(AND($G171-TODAY()&lt;=14,$G171&gt;=TODAY()),"⚑",""),"")</f>
        <v/>
      </c>
      <c r="Z171" s="34" t="str">
        <f aca="true">IF(AND($G171&lt;&gt;"",$P171="",$R171=""),IF(TODAY()&gt;$G171,"⚑",""),"")</f>
        <v/>
      </c>
      <c r="AA171" s="34" t="str">
        <f aca="true">IF(AND($E171&lt;&gt;"",$P171="",$R171=""),IF(TODAY()-MAX($E171,$H171,$M171,$S171)&gt;7,"⚑",""),"")</f>
        <v/>
      </c>
      <c r="AB171" s="34" t="str">
        <f aca="false">IF(OR($P171="",$G171=""),"",IF($P171&lt;=$G171,"Có","Không"))</f>
        <v/>
      </c>
      <c r="AC171" s="34" t="str">
        <f aca="false">IF(OR($P171="",$E171=""),"",$P171-$E171)</f>
        <v/>
      </c>
      <c r="AD171" s="35" t="str">
        <f aca="false">IF($A171="","",COUNTIF(CASE!$B$3:$B$202,$A171))</f>
        <v/>
      </c>
      <c r="AE171" s="34" t="str">
        <f aca="false">IF(OR($I171="",$E171=""),"",$I171-$E171)</f>
        <v/>
      </c>
      <c r="AF171" s="34" t="str">
        <f aca="false">IF(OR($K171="",$I171=""),"",$K171-$I171)</f>
        <v/>
      </c>
      <c r="AG171" s="34" t="str">
        <f aca="false">IF(OR($L171="",$K171=""),"",$L171-$K171)</f>
        <v/>
      </c>
      <c r="AH171" s="34" t="str">
        <f aca="false">IF(OR($M171="",$L171=""),"",$M171-$L171)</f>
        <v/>
      </c>
      <c r="AI171" s="34" t="str">
        <f aca="false">IF(OR($P171="",$M171=""),"",$P171-$M171)</f>
        <v/>
      </c>
    </row>
    <row r="172" customFormat="false" ht="15" hidden="false" customHeight="false" outlineLevel="0" collapsed="false">
      <c r="A172" s="29"/>
      <c r="B172" s="29"/>
      <c r="C172" s="29"/>
      <c r="D172" s="30"/>
      <c r="E172" s="31"/>
      <c r="F172" s="32" t="str">
        <f aca="false">IF($E172="","",$E172+7*IFERROR(VLOOKUP($B172,DS!$K$2:$M$4,2,FALSE()),12))</f>
        <v/>
      </c>
      <c r="G172" s="32" t="str">
        <f aca="false">IF($E172="","",$E172+7*IFERROR(VLOOKUP($B172,DS!$K$2:$M$4,3,FALSE()),12))</f>
        <v/>
      </c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3" t="str">
        <f aca="false">IF($A172="","",IF($R172&lt;&gt;"","95 Hủy/hoàn",IF($Q172&lt;&gt;"","99 Đóng",IF($P172&lt;&gt;"","90 Đã giao",IF($O172&lt;&gt;"","80 Đang giao",IF($N172&lt;&gt;"","70 Thông quan",IF($M172&lt;&gt;"","60 Đã xuất",IF($L172&lt;&gt;"","50 QC đạt",IF($K172&lt;&gt;"","40 NCC đã gửi",IF($I172&lt;&gt;"","30 Đã đặt NCC",IF($H172&lt;&gt;"","20 Đã xác nhận","10 Mới")))))))))))</f>
        <v/>
      </c>
      <c r="U172" s="33" t="str">
        <f aca="false">IF($T172="","",IFERROR(VLOOKUP($T172,DS!$A$2:$B$12,2,FALSE()),""))</f>
        <v/>
      </c>
      <c r="V172" s="34" t="str">
        <f aca="true">IF(OR($T172="",LEFT($T172,2)="99",LEFT($T172,2)="95"),"",TODAY()-MAX($E172,$H172:$P172))</f>
        <v/>
      </c>
      <c r="W172" s="34" t="str">
        <f aca="true">IF(AND($E172&lt;&gt;"",$I172="",$R172=""),IF(TODAY()-$E172&gt;1,"⚑",""),"")</f>
        <v/>
      </c>
      <c r="X172" s="34" t="str">
        <f aca="true">IF(AND($J172&lt;&gt;"",$K172="",$R172=""),IF(TODAY()-$J172&gt;2,"⚑",""),"")</f>
        <v/>
      </c>
      <c r="Y172" s="34" t="str">
        <f aca="true">IF(AND($G172&lt;&gt;"",$M172="",$R172=""),IF(AND($G172-TODAY()&lt;=14,$G172&gt;=TODAY()),"⚑",""),"")</f>
        <v/>
      </c>
      <c r="Z172" s="34" t="str">
        <f aca="true">IF(AND($G172&lt;&gt;"",$P172="",$R172=""),IF(TODAY()&gt;$G172,"⚑",""),"")</f>
        <v/>
      </c>
      <c r="AA172" s="34" t="str">
        <f aca="true">IF(AND($E172&lt;&gt;"",$P172="",$R172=""),IF(TODAY()-MAX($E172,$H172,$M172,$S172)&gt;7,"⚑",""),"")</f>
        <v/>
      </c>
      <c r="AB172" s="34" t="str">
        <f aca="false">IF(OR($P172="",$G172=""),"",IF($P172&lt;=$G172,"Có","Không"))</f>
        <v/>
      </c>
      <c r="AC172" s="34" t="str">
        <f aca="false">IF(OR($P172="",$E172=""),"",$P172-$E172)</f>
        <v/>
      </c>
      <c r="AD172" s="35" t="str">
        <f aca="false">IF($A172="","",COUNTIF(CASE!$B$3:$B$202,$A172))</f>
        <v/>
      </c>
      <c r="AE172" s="34" t="str">
        <f aca="false">IF(OR($I172="",$E172=""),"",$I172-$E172)</f>
        <v/>
      </c>
      <c r="AF172" s="34" t="str">
        <f aca="false">IF(OR($K172="",$I172=""),"",$K172-$I172)</f>
        <v/>
      </c>
      <c r="AG172" s="34" t="str">
        <f aca="false">IF(OR($L172="",$K172=""),"",$L172-$K172)</f>
        <v/>
      </c>
      <c r="AH172" s="34" t="str">
        <f aca="false">IF(OR($M172="",$L172=""),"",$M172-$L172)</f>
        <v/>
      </c>
      <c r="AI172" s="34" t="str">
        <f aca="false">IF(OR($P172="",$M172=""),"",$P172-$M172)</f>
        <v/>
      </c>
    </row>
    <row r="173" customFormat="false" ht="15" hidden="false" customHeight="false" outlineLevel="0" collapsed="false">
      <c r="A173" s="29"/>
      <c r="B173" s="29"/>
      <c r="C173" s="29"/>
      <c r="D173" s="30"/>
      <c r="E173" s="31"/>
      <c r="F173" s="32" t="str">
        <f aca="false">IF($E173="","",$E173+7*IFERROR(VLOOKUP($B173,DS!$K$2:$M$4,2,FALSE()),12))</f>
        <v/>
      </c>
      <c r="G173" s="32" t="str">
        <f aca="false">IF($E173="","",$E173+7*IFERROR(VLOOKUP($B173,DS!$K$2:$M$4,3,FALSE()),12))</f>
        <v/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3" t="str">
        <f aca="false">IF($A173="","",IF($R173&lt;&gt;"","95 Hủy/hoàn",IF($Q173&lt;&gt;"","99 Đóng",IF($P173&lt;&gt;"","90 Đã giao",IF($O173&lt;&gt;"","80 Đang giao",IF($N173&lt;&gt;"","70 Thông quan",IF($M173&lt;&gt;"","60 Đã xuất",IF($L173&lt;&gt;"","50 QC đạt",IF($K173&lt;&gt;"","40 NCC đã gửi",IF($I173&lt;&gt;"","30 Đã đặt NCC",IF($H173&lt;&gt;"","20 Đã xác nhận","10 Mới")))))))))))</f>
        <v/>
      </c>
      <c r="U173" s="33" t="str">
        <f aca="false">IF($T173="","",IFERROR(VLOOKUP($T173,DS!$A$2:$B$12,2,FALSE()),""))</f>
        <v/>
      </c>
      <c r="V173" s="34" t="str">
        <f aca="true">IF(OR($T173="",LEFT($T173,2)="99",LEFT($T173,2)="95"),"",TODAY()-MAX($E173,$H173:$P173))</f>
        <v/>
      </c>
      <c r="W173" s="34" t="str">
        <f aca="true">IF(AND($E173&lt;&gt;"",$I173="",$R173=""),IF(TODAY()-$E173&gt;1,"⚑",""),"")</f>
        <v/>
      </c>
      <c r="X173" s="34" t="str">
        <f aca="true">IF(AND($J173&lt;&gt;"",$K173="",$R173=""),IF(TODAY()-$J173&gt;2,"⚑",""),"")</f>
        <v/>
      </c>
      <c r="Y173" s="34" t="str">
        <f aca="true">IF(AND($G173&lt;&gt;"",$M173="",$R173=""),IF(AND($G173-TODAY()&lt;=14,$G173&gt;=TODAY()),"⚑",""),"")</f>
        <v/>
      </c>
      <c r="Z173" s="34" t="str">
        <f aca="true">IF(AND($G173&lt;&gt;"",$P173="",$R173=""),IF(TODAY()&gt;$G173,"⚑",""),"")</f>
        <v/>
      </c>
      <c r="AA173" s="34" t="str">
        <f aca="true">IF(AND($E173&lt;&gt;"",$P173="",$R173=""),IF(TODAY()-MAX($E173,$H173,$M173,$S173)&gt;7,"⚑",""),"")</f>
        <v/>
      </c>
      <c r="AB173" s="34" t="str">
        <f aca="false">IF(OR($P173="",$G173=""),"",IF($P173&lt;=$G173,"Có","Không"))</f>
        <v/>
      </c>
      <c r="AC173" s="34" t="str">
        <f aca="false">IF(OR($P173="",$E173=""),"",$P173-$E173)</f>
        <v/>
      </c>
      <c r="AD173" s="35" t="str">
        <f aca="false">IF($A173="","",COUNTIF(CASE!$B$3:$B$202,$A173))</f>
        <v/>
      </c>
      <c r="AE173" s="34" t="str">
        <f aca="false">IF(OR($I173="",$E173=""),"",$I173-$E173)</f>
        <v/>
      </c>
      <c r="AF173" s="34" t="str">
        <f aca="false">IF(OR($K173="",$I173=""),"",$K173-$I173)</f>
        <v/>
      </c>
      <c r="AG173" s="34" t="str">
        <f aca="false">IF(OR($L173="",$K173=""),"",$L173-$K173)</f>
        <v/>
      </c>
      <c r="AH173" s="34" t="str">
        <f aca="false">IF(OR($M173="",$L173=""),"",$M173-$L173)</f>
        <v/>
      </c>
      <c r="AI173" s="34" t="str">
        <f aca="false">IF(OR($P173="",$M173=""),"",$P173-$M173)</f>
        <v/>
      </c>
    </row>
    <row r="174" customFormat="false" ht="15" hidden="false" customHeight="false" outlineLevel="0" collapsed="false">
      <c r="A174" s="29"/>
      <c r="B174" s="29"/>
      <c r="C174" s="29"/>
      <c r="D174" s="30"/>
      <c r="E174" s="31"/>
      <c r="F174" s="32" t="str">
        <f aca="false">IF($E174="","",$E174+7*IFERROR(VLOOKUP($B174,DS!$K$2:$M$4,2,FALSE()),12))</f>
        <v/>
      </c>
      <c r="G174" s="32" t="str">
        <f aca="false">IF($E174="","",$E174+7*IFERROR(VLOOKUP($B174,DS!$K$2:$M$4,3,FALSE()),12))</f>
        <v/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3" t="str">
        <f aca="false">IF($A174="","",IF($R174&lt;&gt;"","95 Hủy/hoàn",IF($Q174&lt;&gt;"","99 Đóng",IF($P174&lt;&gt;"","90 Đã giao",IF($O174&lt;&gt;"","80 Đang giao",IF($N174&lt;&gt;"","70 Thông quan",IF($M174&lt;&gt;"","60 Đã xuất",IF($L174&lt;&gt;"","50 QC đạt",IF($K174&lt;&gt;"","40 NCC đã gửi",IF($I174&lt;&gt;"","30 Đã đặt NCC",IF($H174&lt;&gt;"","20 Đã xác nhận","10 Mới")))))))))))</f>
        <v/>
      </c>
      <c r="U174" s="33" t="str">
        <f aca="false">IF($T174="","",IFERROR(VLOOKUP($T174,DS!$A$2:$B$12,2,FALSE()),""))</f>
        <v/>
      </c>
      <c r="V174" s="34" t="str">
        <f aca="true">IF(OR($T174="",LEFT($T174,2)="99",LEFT($T174,2)="95"),"",TODAY()-MAX($E174,$H174:$P174))</f>
        <v/>
      </c>
      <c r="W174" s="34" t="str">
        <f aca="true">IF(AND($E174&lt;&gt;"",$I174="",$R174=""),IF(TODAY()-$E174&gt;1,"⚑",""),"")</f>
        <v/>
      </c>
      <c r="X174" s="34" t="str">
        <f aca="true">IF(AND($J174&lt;&gt;"",$K174="",$R174=""),IF(TODAY()-$J174&gt;2,"⚑",""),"")</f>
        <v/>
      </c>
      <c r="Y174" s="34" t="str">
        <f aca="true">IF(AND($G174&lt;&gt;"",$M174="",$R174=""),IF(AND($G174-TODAY()&lt;=14,$G174&gt;=TODAY()),"⚑",""),"")</f>
        <v/>
      </c>
      <c r="Z174" s="34" t="str">
        <f aca="true">IF(AND($G174&lt;&gt;"",$P174="",$R174=""),IF(TODAY()&gt;$G174,"⚑",""),"")</f>
        <v/>
      </c>
      <c r="AA174" s="34" t="str">
        <f aca="true">IF(AND($E174&lt;&gt;"",$P174="",$R174=""),IF(TODAY()-MAX($E174,$H174,$M174,$S174)&gt;7,"⚑",""),"")</f>
        <v/>
      </c>
      <c r="AB174" s="34" t="str">
        <f aca="false">IF(OR($P174="",$G174=""),"",IF($P174&lt;=$G174,"Có","Không"))</f>
        <v/>
      </c>
      <c r="AC174" s="34" t="str">
        <f aca="false">IF(OR($P174="",$E174=""),"",$P174-$E174)</f>
        <v/>
      </c>
      <c r="AD174" s="35" t="str">
        <f aca="false">IF($A174="","",COUNTIF(CASE!$B$3:$B$202,$A174))</f>
        <v/>
      </c>
      <c r="AE174" s="34" t="str">
        <f aca="false">IF(OR($I174="",$E174=""),"",$I174-$E174)</f>
        <v/>
      </c>
      <c r="AF174" s="34" t="str">
        <f aca="false">IF(OR($K174="",$I174=""),"",$K174-$I174)</f>
        <v/>
      </c>
      <c r="AG174" s="34" t="str">
        <f aca="false">IF(OR($L174="",$K174=""),"",$L174-$K174)</f>
        <v/>
      </c>
      <c r="AH174" s="34" t="str">
        <f aca="false">IF(OR($M174="",$L174=""),"",$M174-$L174)</f>
        <v/>
      </c>
      <c r="AI174" s="34" t="str">
        <f aca="false">IF(OR($P174="",$M174=""),"",$P174-$M174)</f>
        <v/>
      </c>
    </row>
    <row r="175" customFormat="false" ht="15" hidden="false" customHeight="false" outlineLevel="0" collapsed="false">
      <c r="A175" s="29"/>
      <c r="B175" s="29"/>
      <c r="C175" s="29"/>
      <c r="D175" s="30"/>
      <c r="E175" s="31"/>
      <c r="F175" s="32" t="str">
        <f aca="false">IF($E175="","",$E175+7*IFERROR(VLOOKUP($B175,DS!$K$2:$M$4,2,FALSE()),12))</f>
        <v/>
      </c>
      <c r="G175" s="32" t="str">
        <f aca="false">IF($E175="","",$E175+7*IFERROR(VLOOKUP($B175,DS!$K$2:$M$4,3,FALSE()),12))</f>
        <v/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3" t="str">
        <f aca="false">IF($A175="","",IF($R175&lt;&gt;"","95 Hủy/hoàn",IF($Q175&lt;&gt;"","99 Đóng",IF($P175&lt;&gt;"","90 Đã giao",IF($O175&lt;&gt;"","80 Đang giao",IF($N175&lt;&gt;"","70 Thông quan",IF($M175&lt;&gt;"","60 Đã xuất",IF($L175&lt;&gt;"","50 QC đạt",IF($K175&lt;&gt;"","40 NCC đã gửi",IF($I175&lt;&gt;"","30 Đã đặt NCC",IF($H175&lt;&gt;"","20 Đã xác nhận","10 Mới")))))))))))</f>
        <v/>
      </c>
      <c r="U175" s="33" t="str">
        <f aca="false">IF($T175="","",IFERROR(VLOOKUP($T175,DS!$A$2:$B$12,2,FALSE()),""))</f>
        <v/>
      </c>
      <c r="V175" s="34" t="str">
        <f aca="true">IF(OR($T175="",LEFT($T175,2)="99",LEFT($T175,2)="95"),"",TODAY()-MAX($E175,$H175:$P175))</f>
        <v/>
      </c>
      <c r="W175" s="34" t="str">
        <f aca="true">IF(AND($E175&lt;&gt;"",$I175="",$R175=""),IF(TODAY()-$E175&gt;1,"⚑",""),"")</f>
        <v/>
      </c>
      <c r="X175" s="34" t="str">
        <f aca="true">IF(AND($J175&lt;&gt;"",$K175="",$R175=""),IF(TODAY()-$J175&gt;2,"⚑",""),"")</f>
        <v/>
      </c>
      <c r="Y175" s="34" t="str">
        <f aca="true">IF(AND($G175&lt;&gt;"",$M175="",$R175=""),IF(AND($G175-TODAY()&lt;=14,$G175&gt;=TODAY()),"⚑",""),"")</f>
        <v/>
      </c>
      <c r="Z175" s="34" t="str">
        <f aca="true">IF(AND($G175&lt;&gt;"",$P175="",$R175=""),IF(TODAY()&gt;$G175,"⚑",""),"")</f>
        <v/>
      </c>
      <c r="AA175" s="34" t="str">
        <f aca="true">IF(AND($E175&lt;&gt;"",$P175="",$R175=""),IF(TODAY()-MAX($E175,$H175,$M175,$S175)&gt;7,"⚑",""),"")</f>
        <v/>
      </c>
      <c r="AB175" s="34" t="str">
        <f aca="false">IF(OR($P175="",$G175=""),"",IF($P175&lt;=$G175,"Có","Không"))</f>
        <v/>
      </c>
      <c r="AC175" s="34" t="str">
        <f aca="false">IF(OR($P175="",$E175=""),"",$P175-$E175)</f>
        <v/>
      </c>
      <c r="AD175" s="35" t="str">
        <f aca="false">IF($A175="","",COUNTIF(CASE!$B$3:$B$202,$A175))</f>
        <v/>
      </c>
      <c r="AE175" s="34" t="str">
        <f aca="false">IF(OR($I175="",$E175=""),"",$I175-$E175)</f>
        <v/>
      </c>
      <c r="AF175" s="34" t="str">
        <f aca="false">IF(OR($K175="",$I175=""),"",$K175-$I175)</f>
        <v/>
      </c>
      <c r="AG175" s="34" t="str">
        <f aca="false">IF(OR($L175="",$K175=""),"",$L175-$K175)</f>
        <v/>
      </c>
      <c r="AH175" s="34" t="str">
        <f aca="false">IF(OR($M175="",$L175=""),"",$M175-$L175)</f>
        <v/>
      </c>
      <c r="AI175" s="34" t="str">
        <f aca="false">IF(OR($P175="",$M175=""),"",$P175-$M175)</f>
        <v/>
      </c>
    </row>
    <row r="176" customFormat="false" ht="15" hidden="false" customHeight="false" outlineLevel="0" collapsed="false">
      <c r="A176" s="29"/>
      <c r="B176" s="29"/>
      <c r="C176" s="29"/>
      <c r="D176" s="30"/>
      <c r="E176" s="31"/>
      <c r="F176" s="32" t="str">
        <f aca="false">IF($E176="","",$E176+7*IFERROR(VLOOKUP($B176,DS!$K$2:$M$4,2,FALSE()),12))</f>
        <v/>
      </c>
      <c r="G176" s="32" t="str">
        <f aca="false">IF($E176="","",$E176+7*IFERROR(VLOOKUP($B176,DS!$K$2:$M$4,3,FALSE()),12))</f>
        <v/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3" t="str">
        <f aca="false">IF($A176="","",IF($R176&lt;&gt;"","95 Hủy/hoàn",IF($Q176&lt;&gt;"","99 Đóng",IF($P176&lt;&gt;"","90 Đã giao",IF($O176&lt;&gt;"","80 Đang giao",IF($N176&lt;&gt;"","70 Thông quan",IF($M176&lt;&gt;"","60 Đã xuất",IF($L176&lt;&gt;"","50 QC đạt",IF($K176&lt;&gt;"","40 NCC đã gửi",IF($I176&lt;&gt;"","30 Đã đặt NCC",IF($H176&lt;&gt;"","20 Đã xác nhận","10 Mới")))))))))))</f>
        <v/>
      </c>
      <c r="U176" s="33" t="str">
        <f aca="false">IF($T176="","",IFERROR(VLOOKUP($T176,DS!$A$2:$B$12,2,FALSE()),""))</f>
        <v/>
      </c>
      <c r="V176" s="34" t="str">
        <f aca="true">IF(OR($T176="",LEFT($T176,2)="99",LEFT($T176,2)="95"),"",TODAY()-MAX($E176,$H176:$P176))</f>
        <v/>
      </c>
      <c r="W176" s="34" t="str">
        <f aca="true">IF(AND($E176&lt;&gt;"",$I176="",$R176=""),IF(TODAY()-$E176&gt;1,"⚑",""),"")</f>
        <v/>
      </c>
      <c r="X176" s="34" t="str">
        <f aca="true">IF(AND($J176&lt;&gt;"",$K176="",$R176=""),IF(TODAY()-$J176&gt;2,"⚑",""),"")</f>
        <v/>
      </c>
      <c r="Y176" s="34" t="str">
        <f aca="true">IF(AND($G176&lt;&gt;"",$M176="",$R176=""),IF(AND($G176-TODAY()&lt;=14,$G176&gt;=TODAY()),"⚑",""),"")</f>
        <v/>
      </c>
      <c r="Z176" s="34" t="str">
        <f aca="true">IF(AND($G176&lt;&gt;"",$P176="",$R176=""),IF(TODAY()&gt;$G176,"⚑",""),"")</f>
        <v/>
      </c>
      <c r="AA176" s="34" t="str">
        <f aca="true">IF(AND($E176&lt;&gt;"",$P176="",$R176=""),IF(TODAY()-MAX($E176,$H176,$M176,$S176)&gt;7,"⚑",""),"")</f>
        <v/>
      </c>
      <c r="AB176" s="34" t="str">
        <f aca="false">IF(OR($P176="",$G176=""),"",IF($P176&lt;=$G176,"Có","Không"))</f>
        <v/>
      </c>
      <c r="AC176" s="34" t="str">
        <f aca="false">IF(OR($P176="",$E176=""),"",$P176-$E176)</f>
        <v/>
      </c>
      <c r="AD176" s="35" t="str">
        <f aca="false">IF($A176="","",COUNTIF(CASE!$B$3:$B$202,$A176))</f>
        <v/>
      </c>
      <c r="AE176" s="34" t="str">
        <f aca="false">IF(OR($I176="",$E176=""),"",$I176-$E176)</f>
        <v/>
      </c>
      <c r="AF176" s="34" t="str">
        <f aca="false">IF(OR($K176="",$I176=""),"",$K176-$I176)</f>
        <v/>
      </c>
      <c r="AG176" s="34" t="str">
        <f aca="false">IF(OR($L176="",$K176=""),"",$L176-$K176)</f>
        <v/>
      </c>
      <c r="AH176" s="34" t="str">
        <f aca="false">IF(OR($M176="",$L176=""),"",$M176-$L176)</f>
        <v/>
      </c>
      <c r="AI176" s="34" t="str">
        <f aca="false">IF(OR($P176="",$M176=""),"",$P176-$M176)</f>
        <v/>
      </c>
    </row>
    <row r="177" customFormat="false" ht="15" hidden="false" customHeight="false" outlineLevel="0" collapsed="false">
      <c r="A177" s="29"/>
      <c r="B177" s="29"/>
      <c r="C177" s="29"/>
      <c r="D177" s="30"/>
      <c r="E177" s="31"/>
      <c r="F177" s="32" t="str">
        <f aca="false">IF($E177="","",$E177+7*IFERROR(VLOOKUP($B177,DS!$K$2:$M$4,2,FALSE()),12))</f>
        <v/>
      </c>
      <c r="G177" s="32" t="str">
        <f aca="false">IF($E177="","",$E177+7*IFERROR(VLOOKUP($B177,DS!$K$2:$M$4,3,FALSE()),12))</f>
        <v/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3" t="str">
        <f aca="false">IF($A177="","",IF($R177&lt;&gt;"","95 Hủy/hoàn",IF($Q177&lt;&gt;"","99 Đóng",IF($P177&lt;&gt;"","90 Đã giao",IF($O177&lt;&gt;"","80 Đang giao",IF($N177&lt;&gt;"","70 Thông quan",IF($M177&lt;&gt;"","60 Đã xuất",IF($L177&lt;&gt;"","50 QC đạt",IF($K177&lt;&gt;"","40 NCC đã gửi",IF($I177&lt;&gt;"","30 Đã đặt NCC",IF($H177&lt;&gt;"","20 Đã xác nhận","10 Mới")))))))))))</f>
        <v/>
      </c>
      <c r="U177" s="33" t="str">
        <f aca="false">IF($T177="","",IFERROR(VLOOKUP($T177,DS!$A$2:$B$12,2,FALSE()),""))</f>
        <v/>
      </c>
      <c r="V177" s="34" t="str">
        <f aca="true">IF(OR($T177="",LEFT($T177,2)="99",LEFT($T177,2)="95"),"",TODAY()-MAX($E177,$H177:$P177))</f>
        <v/>
      </c>
      <c r="W177" s="34" t="str">
        <f aca="true">IF(AND($E177&lt;&gt;"",$I177="",$R177=""),IF(TODAY()-$E177&gt;1,"⚑",""),"")</f>
        <v/>
      </c>
      <c r="X177" s="34" t="str">
        <f aca="true">IF(AND($J177&lt;&gt;"",$K177="",$R177=""),IF(TODAY()-$J177&gt;2,"⚑",""),"")</f>
        <v/>
      </c>
      <c r="Y177" s="34" t="str">
        <f aca="true">IF(AND($G177&lt;&gt;"",$M177="",$R177=""),IF(AND($G177-TODAY()&lt;=14,$G177&gt;=TODAY()),"⚑",""),"")</f>
        <v/>
      </c>
      <c r="Z177" s="34" t="str">
        <f aca="true">IF(AND($G177&lt;&gt;"",$P177="",$R177=""),IF(TODAY()&gt;$G177,"⚑",""),"")</f>
        <v/>
      </c>
      <c r="AA177" s="34" t="str">
        <f aca="true">IF(AND($E177&lt;&gt;"",$P177="",$R177=""),IF(TODAY()-MAX($E177,$H177,$M177,$S177)&gt;7,"⚑",""),"")</f>
        <v/>
      </c>
      <c r="AB177" s="34" t="str">
        <f aca="false">IF(OR($P177="",$G177=""),"",IF($P177&lt;=$G177,"Có","Không"))</f>
        <v/>
      </c>
      <c r="AC177" s="34" t="str">
        <f aca="false">IF(OR($P177="",$E177=""),"",$P177-$E177)</f>
        <v/>
      </c>
      <c r="AD177" s="35" t="str">
        <f aca="false">IF($A177="","",COUNTIF(CASE!$B$3:$B$202,$A177))</f>
        <v/>
      </c>
      <c r="AE177" s="34" t="str">
        <f aca="false">IF(OR($I177="",$E177=""),"",$I177-$E177)</f>
        <v/>
      </c>
      <c r="AF177" s="34" t="str">
        <f aca="false">IF(OR($K177="",$I177=""),"",$K177-$I177)</f>
        <v/>
      </c>
      <c r="AG177" s="34" t="str">
        <f aca="false">IF(OR($L177="",$K177=""),"",$L177-$K177)</f>
        <v/>
      </c>
      <c r="AH177" s="34" t="str">
        <f aca="false">IF(OR($M177="",$L177=""),"",$M177-$L177)</f>
        <v/>
      </c>
      <c r="AI177" s="34" t="str">
        <f aca="false">IF(OR($P177="",$M177=""),"",$P177-$M177)</f>
        <v/>
      </c>
    </row>
    <row r="178" customFormat="false" ht="15" hidden="false" customHeight="false" outlineLevel="0" collapsed="false">
      <c r="A178" s="29"/>
      <c r="B178" s="29"/>
      <c r="C178" s="29"/>
      <c r="D178" s="30"/>
      <c r="E178" s="31"/>
      <c r="F178" s="32" t="str">
        <f aca="false">IF($E178="","",$E178+7*IFERROR(VLOOKUP($B178,DS!$K$2:$M$4,2,FALSE()),12))</f>
        <v/>
      </c>
      <c r="G178" s="32" t="str">
        <f aca="false">IF($E178="","",$E178+7*IFERROR(VLOOKUP($B178,DS!$K$2:$M$4,3,FALSE()),12))</f>
        <v/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3" t="str">
        <f aca="false">IF($A178="","",IF($R178&lt;&gt;"","95 Hủy/hoàn",IF($Q178&lt;&gt;"","99 Đóng",IF($P178&lt;&gt;"","90 Đã giao",IF($O178&lt;&gt;"","80 Đang giao",IF($N178&lt;&gt;"","70 Thông quan",IF($M178&lt;&gt;"","60 Đã xuất",IF($L178&lt;&gt;"","50 QC đạt",IF($K178&lt;&gt;"","40 NCC đã gửi",IF($I178&lt;&gt;"","30 Đã đặt NCC",IF($H178&lt;&gt;"","20 Đã xác nhận","10 Mới")))))))))))</f>
        <v/>
      </c>
      <c r="U178" s="33" t="str">
        <f aca="false">IF($T178="","",IFERROR(VLOOKUP($T178,DS!$A$2:$B$12,2,FALSE()),""))</f>
        <v/>
      </c>
      <c r="V178" s="34" t="str">
        <f aca="true">IF(OR($T178="",LEFT($T178,2)="99",LEFT($T178,2)="95"),"",TODAY()-MAX($E178,$H178:$P178))</f>
        <v/>
      </c>
      <c r="W178" s="34" t="str">
        <f aca="true">IF(AND($E178&lt;&gt;"",$I178="",$R178=""),IF(TODAY()-$E178&gt;1,"⚑",""),"")</f>
        <v/>
      </c>
      <c r="X178" s="34" t="str">
        <f aca="true">IF(AND($J178&lt;&gt;"",$K178="",$R178=""),IF(TODAY()-$J178&gt;2,"⚑",""),"")</f>
        <v/>
      </c>
      <c r="Y178" s="34" t="str">
        <f aca="true">IF(AND($G178&lt;&gt;"",$M178="",$R178=""),IF(AND($G178-TODAY()&lt;=14,$G178&gt;=TODAY()),"⚑",""),"")</f>
        <v/>
      </c>
      <c r="Z178" s="34" t="str">
        <f aca="true">IF(AND($G178&lt;&gt;"",$P178="",$R178=""),IF(TODAY()&gt;$G178,"⚑",""),"")</f>
        <v/>
      </c>
      <c r="AA178" s="34" t="str">
        <f aca="true">IF(AND($E178&lt;&gt;"",$P178="",$R178=""),IF(TODAY()-MAX($E178,$H178,$M178,$S178)&gt;7,"⚑",""),"")</f>
        <v/>
      </c>
      <c r="AB178" s="34" t="str">
        <f aca="false">IF(OR($P178="",$G178=""),"",IF($P178&lt;=$G178,"Có","Không"))</f>
        <v/>
      </c>
      <c r="AC178" s="34" t="str">
        <f aca="false">IF(OR($P178="",$E178=""),"",$P178-$E178)</f>
        <v/>
      </c>
      <c r="AD178" s="35" t="str">
        <f aca="false">IF($A178="","",COUNTIF(CASE!$B$3:$B$202,$A178))</f>
        <v/>
      </c>
      <c r="AE178" s="34" t="str">
        <f aca="false">IF(OR($I178="",$E178=""),"",$I178-$E178)</f>
        <v/>
      </c>
      <c r="AF178" s="34" t="str">
        <f aca="false">IF(OR($K178="",$I178=""),"",$K178-$I178)</f>
        <v/>
      </c>
      <c r="AG178" s="34" t="str">
        <f aca="false">IF(OR($L178="",$K178=""),"",$L178-$K178)</f>
        <v/>
      </c>
      <c r="AH178" s="34" t="str">
        <f aca="false">IF(OR($M178="",$L178=""),"",$M178-$L178)</f>
        <v/>
      </c>
      <c r="AI178" s="34" t="str">
        <f aca="false">IF(OR($P178="",$M178=""),"",$P178-$M178)</f>
        <v/>
      </c>
    </row>
    <row r="179" customFormat="false" ht="15" hidden="false" customHeight="false" outlineLevel="0" collapsed="false">
      <c r="A179" s="29"/>
      <c r="B179" s="29"/>
      <c r="C179" s="29"/>
      <c r="D179" s="30"/>
      <c r="E179" s="31"/>
      <c r="F179" s="32" t="str">
        <f aca="false">IF($E179="","",$E179+7*IFERROR(VLOOKUP($B179,DS!$K$2:$M$4,2,FALSE()),12))</f>
        <v/>
      </c>
      <c r="G179" s="32" t="str">
        <f aca="false">IF($E179="","",$E179+7*IFERROR(VLOOKUP($B179,DS!$K$2:$M$4,3,FALSE()),12))</f>
        <v/>
      </c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3" t="str">
        <f aca="false">IF($A179="","",IF($R179&lt;&gt;"","95 Hủy/hoàn",IF($Q179&lt;&gt;"","99 Đóng",IF($P179&lt;&gt;"","90 Đã giao",IF($O179&lt;&gt;"","80 Đang giao",IF($N179&lt;&gt;"","70 Thông quan",IF($M179&lt;&gt;"","60 Đã xuất",IF($L179&lt;&gt;"","50 QC đạt",IF($K179&lt;&gt;"","40 NCC đã gửi",IF($I179&lt;&gt;"","30 Đã đặt NCC",IF($H179&lt;&gt;"","20 Đã xác nhận","10 Mới")))))))))))</f>
        <v/>
      </c>
      <c r="U179" s="33" t="str">
        <f aca="false">IF($T179="","",IFERROR(VLOOKUP($T179,DS!$A$2:$B$12,2,FALSE()),""))</f>
        <v/>
      </c>
      <c r="V179" s="34" t="str">
        <f aca="true">IF(OR($T179="",LEFT($T179,2)="99",LEFT($T179,2)="95"),"",TODAY()-MAX($E179,$H179:$P179))</f>
        <v/>
      </c>
      <c r="W179" s="34" t="str">
        <f aca="true">IF(AND($E179&lt;&gt;"",$I179="",$R179=""),IF(TODAY()-$E179&gt;1,"⚑",""),"")</f>
        <v/>
      </c>
      <c r="X179" s="34" t="str">
        <f aca="true">IF(AND($J179&lt;&gt;"",$K179="",$R179=""),IF(TODAY()-$J179&gt;2,"⚑",""),"")</f>
        <v/>
      </c>
      <c r="Y179" s="34" t="str">
        <f aca="true">IF(AND($G179&lt;&gt;"",$M179="",$R179=""),IF(AND($G179-TODAY()&lt;=14,$G179&gt;=TODAY()),"⚑",""),"")</f>
        <v/>
      </c>
      <c r="Z179" s="34" t="str">
        <f aca="true">IF(AND($G179&lt;&gt;"",$P179="",$R179=""),IF(TODAY()&gt;$G179,"⚑",""),"")</f>
        <v/>
      </c>
      <c r="AA179" s="34" t="str">
        <f aca="true">IF(AND($E179&lt;&gt;"",$P179="",$R179=""),IF(TODAY()-MAX($E179,$H179,$M179,$S179)&gt;7,"⚑",""),"")</f>
        <v/>
      </c>
      <c r="AB179" s="34" t="str">
        <f aca="false">IF(OR($P179="",$G179=""),"",IF($P179&lt;=$G179,"Có","Không"))</f>
        <v/>
      </c>
      <c r="AC179" s="34" t="str">
        <f aca="false">IF(OR($P179="",$E179=""),"",$P179-$E179)</f>
        <v/>
      </c>
      <c r="AD179" s="35" t="str">
        <f aca="false">IF($A179="","",COUNTIF(CASE!$B$3:$B$202,$A179))</f>
        <v/>
      </c>
      <c r="AE179" s="34" t="str">
        <f aca="false">IF(OR($I179="",$E179=""),"",$I179-$E179)</f>
        <v/>
      </c>
      <c r="AF179" s="34" t="str">
        <f aca="false">IF(OR($K179="",$I179=""),"",$K179-$I179)</f>
        <v/>
      </c>
      <c r="AG179" s="34" t="str">
        <f aca="false">IF(OR($L179="",$K179=""),"",$L179-$K179)</f>
        <v/>
      </c>
      <c r="AH179" s="34" t="str">
        <f aca="false">IF(OR($M179="",$L179=""),"",$M179-$L179)</f>
        <v/>
      </c>
      <c r="AI179" s="34" t="str">
        <f aca="false">IF(OR($P179="",$M179=""),"",$P179-$M179)</f>
        <v/>
      </c>
    </row>
    <row r="180" customFormat="false" ht="15" hidden="false" customHeight="false" outlineLevel="0" collapsed="false">
      <c r="A180" s="29"/>
      <c r="B180" s="29"/>
      <c r="C180" s="29"/>
      <c r="D180" s="30"/>
      <c r="E180" s="31"/>
      <c r="F180" s="32" t="str">
        <f aca="false">IF($E180="","",$E180+7*IFERROR(VLOOKUP($B180,DS!$K$2:$M$4,2,FALSE()),12))</f>
        <v/>
      </c>
      <c r="G180" s="32" t="str">
        <f aca="false">IF($E180="","",$E180+7*IFERROR(VLOOKUP($B180,DS!$K$2:$M$4,3,FALSE()),12))</f>
        <v/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3" t="str">
        <f aca="false">IF($A180="","",IF($R180&lt;&gt;"","95 Hủy/hoàn",IF($Q180&lt;&gt;"","99 Đóng",IF($P180&lt;&gt;"","90 Đã giao",IF($O180&lt;&gt;"","80 Đang giao",IF($N180&lt;&gt;"","70 Thông quan",IF($M180&lt;&gt;"","60 Đã xuất",IF($L180&lt;&gt;"","50 QC đạt",IF($K180&lt;&gt;"","40 NCC đã gửi",IF($I180&lt;&gt;"","30 Đã đặt NCC",IF($H180&lt;&gt;"","20 Đã xác nhận","10 Mới")))))))))))</f>
        <v/>
      </c>
      <c r="U180" s="33" t="str">
        <f aca="false">IF($T180="","",IFERROR(VLOOKUP($T180,DS!$A$2:$B$12,2,FALSE()),""))</f>
        <v/>
      </c>
      <c r="V180" s="34" t="str">
        <f aca="true">IF(OR($T180="",LEFT($T180,2)="99",LEFT($T180,2)="95"),"",TODAY()-MAX($E180,$H180:$P180))</f>
        <v/>
      </c>
      <c r="W180" s="34" t="str">
        <f aca="true">IF(AND($E180&lt;&gt;"",$I180="",$R180=""),IF(TODAY()-$E180&gt;1,"⚑",""),"")</f>
        <v/>
      </c>
      <c r="X180" s="34" t="str">
        <f aca="true">IF(AND($J180&lt;&gt;"",$K180="",$R180=""),IF(TODAY()-$J180&gt;2,"⚑",""),"")</f>
        <v/>
      </c>
      <c r="Y180" s="34" t="str">
        <f aca="true">IF(AND($G180&lt;&gt;"",$M180="",$R180=""),IF(AND($G180-TODAY()&lt;=14,$G180&gt;=TODAY()),"⚑",""),"")</f>
        <v/>
      </c>
      <c r="Z180" s="34" t="str">
        <f aca="true">IF(AND($G180&lt;&gt;"",$P180="",$R180=""),IF(TODAY()&gt;$G180,"⚑",""),"")</f>
        <v/>
      </c>
      <c r="AA180" s="34" t="str">
        <f aca="true">IF(AND($E180&lt;&gt;"",$P180="",$R180=""),IF(TODAY()-MAX($E180,$H180,$M180,$S180)&gt;7,"⚑",""),"")</f>
        <v/>
      </c>
      <c r="AB180" s="34" t="str">
        <f aca="false">IF(OR($P180="",$G180=""),"",IF($P180&lt;=$G180,"Có","Không"))</f>
        <v/>
      </c>
      <c r="AC180" s="34" t="str">
        <f aca="false">IF(OR($P180="",$E180=""),"",$P180-$E180)</f>
        <v/>
      </c>
      <c r="AD180" s="35" t="str">
        <f aca="false">IF($A180="","",COUNTIF(CASE!$B$3:$B$202,$A180))</f>
        <v/>
      </c>
      <c r="AE180" s="34" t="str">
        <f aca="false">IF(OR($I180="",$E180=""),"",$I180-$E180)</f>
        <v/>
      </c>
      <c r="AF180" s="34" t="str">
        <f aca="false">IF(OR($K180="",$I180=""),"",$K180-$I180)</f>
        <v/>
      </c>
      <c r="AG180" s="34" t="str">
        <f aca="false">IF(OR($L180="",$K180=""),"",$L180-$K180)</f>
        <v/>
      </c>
      <c r="AH180" s="34" t="str">
        <f aca="false">IF(OR($M180="",$L180=""),"",$M180-$L180)</f>
        <v/>
      </c>
      <c r="AI180" s="34" t="str">
        <f aca="false">IF(OR($P180="",$M180=""),"",$P180-$M180)</f>
        <v/>
      </c>
    </row>
    <row r="181" customFormat="false" ht="15" hidden="false" customHeight="false" outlineLevel="0" collapsed="false">
      <c r="A181" s="29"/>
      <c r="B181" s="29"/>
      <c r="C181" s="29"/>
      <c r="D181" s="30"/>
      <c r="E181" s="31"/>
      <c r="F181" s="32" t="str">
        <f aca="false">IF($E181="","",$E181+7*IFERROR(VLOOKUP($B181,DS!$K$2:$M$4,2,FALSE()),12))</f>
        <v/>
      </c>
      <c r="G181" s="32" t="str">
        <f aca="false">IF($E181="","",$E181+7*IFERROR(VLOOKUP($B181,DS!$K$2:$M$4,3,FALSE()),12))</f>
        <v/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3" t="str">
        <f aca="false">IF($A181="","",IF($R181&lt;&gt;"","95 Hủy/hoàn",IF($Q181&lt;&gt;"","99 Đóng",IF($P181&lt;&gt;"","90 Đã giao",IF($O181&lt;&gt;"","80 Đang giao",IF($N181&lt;&gt;"","70 Thông quan",IF($M181&lt;&gt;"","60 Đã xuất",IF($L181&lt;&gt;"","50 QC đạt",IF($K181&lt;&gt;"","40 NCC đã gửi",IF($I181&lt;&gt;"","30 Đã đặt NCC",IF($H181&lt;&gt;"","20 Đã xác nhận","10 Mới")))))))))))</f>
        <v/>
      </c>
      <c r="U181" s="33" t="str">
        <f aca="false">IF($T181="","",IFERROR(VLOOKUP($T181,DS!$A$2:$B$12,2,FALSE()),""))</f>
        <v/>
      </c>
      <c r="V181" s="34" t="str">
        <f aca="true">IF(OR($T181="",LEFT($T181,2)="99",LEFT($T181,2)="95"),"",TODAY()-MAX($E181,$H181:$P181))</f>
        <v/>
      </c>
      <c r="W181" s="34" t="str">
        <f aca="true">IF(AND($E181&lt;&gt;"",$I181="",$R181=""),IF(TODAY()-$E181&gt;1,"⚑",""),"")</f>
        <v/>
      </c>
      <c r="X181" s="34" t="str">
        <f aca="true">IF(AND($J181&lt;&gt;"",$K181="",$R181=""),IF(TODAY()-$J181&gt;2,"⚑",""),"")</f>
        <v/>
      </c>
      <c r="Y181" s="34" t="str">
        <f aca="true">IF(AND($G181&lt;&gt;"",$M181="",$R181=""),IF(AND($G181-TODAY()&lt;=14,$G181&gt;=TODAY()),"⚑",""),"")</f>
        <v/>
      </c>
      <c r="Z181" s="34" t="str">
        <f aca="true">IF(AND($G181&lt;&gt;"",$P181="",$R181=""),IF(TODAY()&gt;$G181,"⚑",""),"")</f>
        <v/>
      </c>
      <c r="AA181" s="34" t="str">
        <f aca="true">IF(AND($E181&lt;&gt;"",$P181="",$R181=""),IF(TODAY()-MAX($E181,$H181,$M181,$S181)&gt;7,"⚑",""),"")</f>
        <v/>
      </c>
      <c r="AB181" s="34" t="str">
        <f aca="false">IF(OR($P181="",$G181=""),"",IF($P181&lt;=$G181,"Có","Không"))</f>
        <v/>
      </c>
      <c r="AC181" s="34" t="str">
        <f aca="false">IF(OR($P181="",$E181=""),"",$P181-$E181)</f>
        <v/>
      </c>
      <c r="AD181" s="35" t="str">
        <f aca="false">IF($A181="","",COUNTIF(CASE!$B$3:$B$202,$A181))</f>
        <v/>
      </c>
      <c r="AE181" s="34" t="str">
        <f aca="false">IF(OR($I181="",$E181=""),"",$I181-$E181)</f>
        <v/>
      </c>
      <c r="AF181" s="34" t="str">
        <f aca="false">IF(OR($K181="",$I181=""),"",$K181-$I181)</f>
        <v/>
      </c>
      <c r="AG181" s="34" t="str">
        <f aca="false">IF(OR($L181="",$K181=""),"",$L181-$K181)</f>
        <v/>
      </c>
      <c r="AH181" s="34" t="str">
        <f aca="false">IF(OR($M181="",$L181=""),"",$M181-$L181)</f>
        <v/>
      </c>
      <c r="AI181" s="34" t="str">
        <f aca="false">IF(OR($P181="",$M181=""),"",$P181-$M181)</f>
        <v/>
      </c>
    </row>
    <row r="182" customFormat="false" ht="15" hidden="false" customHeight="false" outlineLevel="0" collapsed="false">
      <c r="A182" s="29"/>
      <c r="B182" s="29"/>
      <c r="C182" s="29"/>
      <c r="D182" s="30"/>
      <c r="E182" s="31"/>
      <c r="F182" s="32" t="str">
        <f aca="false">IF($E182="","",$E182+7*IFERROR(VLOOKUP($B182,DS!$K$2:$M$4,2,FALSE()),12))</f>
        <v/>
      </c>
      <c r="G182" s="32" t="str">
        <f aca="false">IF($E182="","",$E182+7*IFERROR(VLOOKUP($B182,DS!$K$2:$M$4,3,FALSE()),12))</f>
        <v/>
      </c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3" t="str">
        <f aca="false">IF($A182="","",IF($R182&lt;&gt;"","95 Hủy/hoàn",IF($Q182&lt;&gt;"","99 Đóng",IF($P182&lt;&gt;"","90 Đã giao",IF($O182&lt;&gt;"","80 Đang giao",IF($N182&lt;&gt;"","70 Thông quan",IF($M182&lt;&gt;"","60 Đã xuất",IF($L182&lt;&gt;"","50 QC đạt",IF($K182&lt;&gt;"","40 NCC đã gửi",IF($I182&lt;&gt;"","30 Đã đặt NCC",IF($H182&lt;&gt;"","20 Đã xác nhận","10 Mới")))))))))))</f>
        <v/>
      </c>
      <c r="U182" s="33" t="str">
        <f aca="false">IF($T182="","",IFERROR(VLOOKUP($T182,DS!$A$2:$B$12,2,FALSE()),""))</f>
        <v/>
      </c>
      <c r="V182" s="34" t="str">
        <f aca="true">IF(OR($T182="",LEFT($T182,2)="99",LEFT($T182,2)="95"),"",TODAY()-MAX($E182,$H182:$P182))</f>
        <v/>
      </c>
      <c r="W182" s="34" t="str">
        <f aca="true">IF(AND($E182&lt;&gt;"",$I182="",$R182=""),IF(TODAY()-$E182&gt;1,"⚑",""),"")</f>
        <v/>
      </c>
      <c r="X182" s="34" t="str">
        <f aca="true">IF(AND($J182&lt;&gt;"",$K182="",$R182=""),IF(TODAY()-$J182&gt;2,"⚑",""),"")</f>
        <v/>
      </c>
      <c r="Y182" s="34" t="str">
        <f aca="true">IF(AND($G182&lt;&gt;"",$M182="",$R182=""),IF(AND($G182-TODAY()&lt;=14,$G182&gt;=TODAY()),"⚑",""),"")</f>
        <v/>
      </c>
      <c r="Z182" s="34" t="str">
        <f aca="true">IF(AND($G182&lt;&gt;"",$P182="",$R182=""),IF(TODAY()&gt;$G182,"⚑",""),"")</f>
        <v/>
      </c>
      <c r="AA182" s="34" t="str">
        <f aca="true">IF(AND($E182&lt;&gt;"",$P182="",$R182=""),IF(TODAY()-MAX($E182,$H182,$M182,$S182)&gt;7,"⚑",""),"")</f>
        <v/>
      </c>
      <c r="AB182" s="34" t="str">
        <f aca="false">IF(OR($P182="",$G182=""),"",IF($P182&lt;=$G182,"Có","Không"))</f>
        <v/>
      </c>
      <c r="AC182" s="34" t="str">
        <f aca="false">IF(OR($P182="",$E182=""),"",$P182-$E182)</f>
        <v/>
      </c>
      <c r="AD182" s="35" t="str">
        <f aca="false">IF($A182="","",COUNTIF(CASE!$B$3:$B$202,$A182))</f>
        <v/>
      </c>
      <c r="AE182" s="34" t="str">
        <f aca="false">IF(OR($I182="",$E182=""),"",$I182-$E182)</f>
        <v/>
      </c>
      <c r="AF182" s="34" t="str">
        <f aca="false">IF(OR($K182="",$I182=""),"",$K182-$I182)</f>
        <v/>
      </c>
      <c r="AG182" s="34" t="str">
        <f aca="false">IF(OR($L182="",$K182=""),"",$L182-$K182)</f>
        <v/>
      </c>
      <c r="AH182" s="34" t="str">
        <f aca="false">IF(OR($M182="",$L182=""),"",$M182-$L182)</f>
        <v/>
      </c>
      <c r="AI182" s="34" t="str">
        <f aca="false">IF(OR($P182="",$M182=""),"",$P182-$M182)</f>
        <v/>
      </c>
    </row>
    <row r="183" customFormat="false" ht="15" hidden="false" customHeight="false" outlineLevel="0" collapsed="false">
      <c r="A183" s="29"/>
      <c r="B183" s="29"/>
      <c r="C183" s="29"/>
      <c r="D183" s="30"/>
      <c r="E183" s="31"/>
      <c r="F183" s="32" t="str">
        <f aca="false">IF($E183="","",$E183+7*IFERROR(VLOOKUP($B183,DS!$K$2:$M$4,2,FALSE()),12))</f>
        <v/>
      </c>
      <c r="G183" s="32" t="str">
        <f aca="false">IF($E183="","",$E183+7*IFERROR(VLOOKUP($B183,DS!$K$2:$M$4,3,FALSE()),12))</f>
        <v/>
      </c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3" t="str">
        <f aca="false">IF($A183="","",IF($R183&lt;&gt;"","95 Hủy/hoàn",IF($Q183&lt;&gt;"","99 Đóng",IF($P183&lt;&gt;"","90 Đã giao",IF($O183&lt;&gt;"","80 Đang giao",IF($N183&lt;&gt;"","70 Thông quan",IF($M183&lt;&gt;"","60 Đã xuất",IF($L183&lt;&gt;"","50 QC đạt",IF($K183&lt;&gt;"","40 NCC đã gửi",IF($I183&lt;&gt;"","30 Đã đặt NCC",IF($H183&lt;&gt;"","20 Đã xác nhận","10 Mới")))))))))))</f>
        <v/>
      </c>
      <c r="U183" s="33" t="str">
        <f aca="false">IF($T183="","",IFERROR(VLOOKUP($T183,DS!$A$2:$B$12,2,FALSE()),""))</f>
        <v/>
      </c>
      <c r="V183" s="34" t="str">
        <f aca="true">IF(OR($T183="",LEFT($T183,2)="99",LEFT($T183,2)="95"),"",TODAY()-MAX($E183,$H183:$P183))</f>
        <v/>
      </c>
      <c r="W183" s="34" t="str">
        <f aca="true">IF(AND($E183&lt;&gt;"",$I183="",$R183=""),IF(TODAY()-$E183&gt;1,"⚑",""),"")</f>
        <v/>
      </c>
      <c r="X183" s="34" t="str">
        <f aca="true">IF(AND($J183&lt;&gt;"",$K183="",$R183=""),IF(TODAY()-$J183&gt;2,"⚑",""),"")</f>
        <v/>
      </c>
      <c r="Y183" s="34" t="str">
        <f aca="true">IF(AND($G183&lt;&gt;"",$M183="",$R183=""),IF(AND($G183-TODAY()&lt;=14,$G183&gt;=TODAY()),"⚑",""),"")</f>
        <v/>
      </c>
      <c r="Z183" s="34" t="str">
        <f aca="true">IF(AND($G183&lt;&gt;"",$P183="",$R183=""),IF(TODAY()&gt;$G183,"⚑",""),"")</f>
        <v/>
      </c>
      <c r="AA183" s="34" t="str">
        <f aca="true">IF(AND($E183&lt;&gt;"",$P183="",$R183=""),IF(TODAY()-MAX($E183,$H183,$M183,$S183)&gt;7,"⚑",""),"")</f>
        <v/>
      </c>
      <c r="AB183" s="34" t="str">
        <f aca="false">IF(OR($P183="",$G183=""),"",IF($P183&lt;=$G183,"Có","Không"))</f>
        <v/>
      </c>
      <c r="AC183" s="34" t="str">
        <f aca="false">IF(OR($P183="",$E183=""),"",$P183-$E183)</f>
        <v/>
      </c>
      <c r="AD183" s="35" t="str">
        <f aca="false">IF($A183="","",COUNTIF(CASE!$B$3:$B$202,$A183))</f>
        <v/>
      </c>
      <c r="AE183" s="34" t="str">
        <f aca="false">IF(OR($I183="",$E183=""),"",$I183-$E183)</f>
        <v/>
      </c>
      <c r="AF183" s="34" t="str">
        <f aca="false">IF(OR($K183="",$I183=""),"",$K183-$I183)</f>
        <v/>
      </c>
      <c r="AG183" s="34" t="str">
        <f aca="false">IF(OR($L183="",$K183=""),"",$L183-$K183)</f>
        <v/>
      </c>
      <c r="AH183" s="34" t="str">
        <f aca="false">IF(OR($M183="",$L183=""),"",$M183-$L183)</f>
        <v/>
      </c>
      <c r="AI183" s="34" t="str">
        <f aca="false">IF(OR($P183="",$M183=""),"",$P183-$M183)</f>
        <v/>
      </c>
    </row>
    <row r="184" customFormat="false" ht="15" hidden="false" customHeight="false" outlineLevel="0" collapsed="false">
      <c r="A184" s="29"/>
      <c r="B184" s="29"/>
      <c r="C184" s="29"/>
      <c r="D184" s="30"/>
      <c r="E184" s="31"/>
      <c r="F184" s="32" t="str">
        <f aca="false">IF($E184="","",$E184+7*IFERROR(VLOOKUP($B184,DS!$K$2:$M$4,2,FALSE()),12))</f>
        <v/>
      </c>
      <c r="G184" s="32" t="str">
        <f aca="false">IF($E184="","",$E184+7*IFERROR(VLOOKUP($B184,DS!$K$2:$M$4,3,FALSE()),12))</f>
        <v/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3" t="str">
        <f aca="false">IF($A184="","",IF($R184&lt;&gt;"","95 Hủy/hoàn",IF($Q184&lt;&gt;"","99 Đóng",IF($P184&lt;&gt;"","90 Đã giao",IF($O184&lt;&gt;"","80 Đang giao",IF($N184&lt;&gt;"","70 Thông quan",IF($M184&lt;&gt;"","60 Đã xuất",IF($L184&lt;&gt;"","50 QC đạt",IF($K184&lt;&gt;"","40 NCC đã gửi",IF($I184&lt;&gt;"","30 Đã đặt NCC",IF($H184&lt;&gt;"","20 Đã xác nhận","10 Mới")))))))))))</f>
        <v/>
      </c>
      <c r="U184" s="33" t="str">
        <f aca="false">IF($T184="","",IFERROR(VLOOKUP($T184,DS!$A$2:$B$12,2,FALSE()),""))</f>
        <v/>
      </c>
      <c r="V184" s="34" t="str">
        <f aca="true">IF(OR($T184="",LEFT($T184,2)="99",LEFT($T184,2)="95"),"",TODAY()-MAX($E184,$H184:$P184))</f>
        <v/>
      </c>
      <c r="W184" s="34" t="str">
        <f aca="true">IF(AND($E184&lt;&gt;"",$I184="",$R184=""),IF(TODAY()-$E184&gt;1,"⚑",""),"")</f>
        <v/>
      </c>
      <c r="X184" s="34" t="str">
        <f aca="true">IF(AND($J184&lt;&gt;"",$K184="",$R184=""),IF(TODAY()-$J184&gt;2,"⚑",""),"")</f>
        <v/>
      </c>
      <c r="Y184" s="34" t="str">
        <f aca="true">IF(AND($G184&lt;&gt;"",$M184="",$R184=""),IF(AND($G184-TODAY()&lt;=14,$G184&gt;=TODAY()),"⚑",""),"")</f>
        <v/>
      </c>
      <c r="Z184" s="34" t="str">
        <f aca="true">IF(AND($G184&lt;&gt;"",$P184="",$R184=""),IF(TODAY()&gt;$G184,"⚑",""),"")</f>
        <v/>
      </c>
      <c r="AA184" s="34" t="str">
        <f aca="true">IF(AND($E184&lt;&gt;"",$P184="",$R184=""),IF(TODAY()-MAX($E184,$H184,$M184,$S184)&gt;7,"⚑",""),"")</f>
        <v/>
      </c>
      <c r="AB184" s="34" t="str">
        <f aca="false">IF(OR($P184="",$G184=""),"",IF($P184&lt;=$G184,"Có","Không"))</f>
        <v/>
      </c>
      <c r="AC184" s="34" t="str">
        <f aca="false">IF(OR($P184="",$E184=""),"",$P184-$E184)</f>
        <v/>
      </c>
      <c r="AD184" s="35" t="str">
        <f aca="false">IF($A184="","",COUNTIF(CASE!$B$3:$B$202,$A184))</f>
        <v/>
      </c>
      <c r="AE184" s="34" t="str">
        <f aca="false">IF(OR($I184="",$E184=""),"",$I184-$E184)</f>
        <v/>
      </c>
      <c r="AF184" s="34" t="str">
        <f aca="false">IF(OR($K184="",$I184=""),"",$K184-$I184)</f>
        <v/>
      </c>
      <c r="AG184" s="34" t="str">
        <f aca="false">IF(OR($L184="",$K184=""),"",$L184-$K184)</f>
        <v/>
      </c>
      <c r="AH184" s="34" t="str">
        <f aca="false">IF(OR($M184="",$L184=""),"",$M184-$L184)</f>
        <v/>
      </c>
      <c r="AI184" s="34" t="str">
        <f aca="false">IF(OR($P184="",$M184=""),"",$P184-$M184)</f>
        <v/>
      </c>
    </row>
    <row r="185" customFormat="false" ht="15" hidden="false" customHeight="false" outlineLevel="0" collapsed="false">
      <c r="A185" s="29"/>
      <c r="B185" s="29"/>
      <c r="C185" s="29"/>
      <c r="D185" s="30"/>
      <c r="E185" s="31"/>
      <c r="F185" s="32" t="str">
        <f aca="false">IF($E185="","",$E185+7*IFERROR(VLOOKUP($B185,DS!$K$2:$M$4,2,FALSE()),12))</f>
        <v/>
      </c>
      <c r="G185" s="32" t="str">
        <f aca="false">IF($E185="","",$E185+7*IFERROR(VLOOKUP($B185,DS!$K$2:$M$4,3,FALSE()),12))</f>
        <v/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3" t="str">
        <f aca="false">IF($A185="","",IF($R185&lt;&gt;"","95 Hủy/hoàn",IF($Q185&lt;&gt;"","99 Đóng",IF($P185&lt;&gt;"","90 Đã giao",IF($O185&lt;&gt;"","80 Đang giao",IF($N185&lt;&gt;"","70 Thông quan",IF($M185&lt;&gt;"","60 Đã xuất",IF($L185&lt;&gt;"","50 QC đạt",IF($K185&lt;&gt;"","40 NCC đã gửi",IF($I185&lt;&gt;"","30 Đã đặt NCC",IF($H185&lt;&gt;"","20 Đã xác nhận","10 Mới")))))))))))</f>
        <v/>
      </c>
      <c r="U185" s="33" t="str">
        <f aca="false">IF($T185="","",IFERROR(VLOOKUP($T185,DS!$A$2:$B$12,2,FALSE()),""))</f>
        <v/>
      </c>
      <c r="V185" s="34" t="str">
        <f aca="true">IF(OR($T185="",LEFT($T185,2)="99",LEFT($T185,2)="95"),"",TODAY()-MAX($E185,$H185:$P185))</f>
        <v/>
      </c>
      <c r="W185" s="34" t="str">
        <f aca="true">IF(AND($E185&lt;&gt;"",$I185="",$R185=""),IF(TODAY()-$E185&gt;1,"⚑",""),"")</f>
        <v/>
      </c>
      <c r="X185" s="34" t="str">
        <f aca="true">IF(AND($J185&lt;&gt;"",$K185="",$R185=""),IF(TODAY()-$J185&gt;2,"⚑",""),"")</f>
        <v/>
      </c>
      <c r="Y185" s="34" t="str">
        <f aca="true">IF(AND($G185&lt;&gt;"",$M185="",$R185=""),IF(AND($G185-TODAY()&lt;=14,$G185&gt;=TODAY()),"⚑",""),"")</f>
        <v/>
      </c>
      <c r="Z185" s="34" t="str">
        <f aca="true">IF(AND($G185&lt;&gt;"",$P185="",$R185=""),IF(TODAY()&gt;$G185,"⚑",""),"")</f>
        <v/>
      </c>
      <c r="AA185" s="34" t="str">
        <f aca="true">IF(AND($E185&lt;&gt;"",$P185="",$R185=""),IF(TODAY()-MAX($E185,$H185,$M185,$S185)&gt;7,"⚑",""),"")</f>
        <v/>
      </c>
      <c r="AB185" s="34" t="str">
        <f aca="false">IF(OR($P185="",$G185=""),"",IF($P185&lt;=$G185,"Có","Không"))</f>
        <v/>
      </c>
      <c r="AC185" s="34" t="str">
        <f aca="false">IF(OR($P185="",$E185=""),"",$P185-$E185)</f>
        <v/>
      </c>
      <c r="AD185" s="35" t="str">
        <f aca="false">IF($A185="","",COUNTIF(CASE!$B$3:$B$202,$A185))</f>
        <v/>
      </c>
      <c r="AE185" s="34" t="str">
        <f aca="false">IF(OR($I185="",$E185=""),"",$I185-$E185)</f>
        <v/>
      </c>
      <c r="AF185" s="34" t="str">
        <f aca="false">IF(OR($K185="",$I185=""),"",$K185-$I185)</f>
        <v/>
      </c>
      <c r="AG185" s="34" t="str">
        <f aca="false">IF(OR($L185="",$K185=""),"",$L185-$K185)</f>
        <v/>
      </c>
      <c r="AH185" s="34" t="str">
        <f aca="false">IF(OR($M185="",$L185=""),"",$M185-$L185)</f>
        <v/>
      </c>
      <c r="AI185" s="34" t="str">
        <f aca="false">IF(OR($P185="",$M185=""),"",$P185-$M185)</f>
        <v/>
      </c>
    </row>
    <row r="186" customFormat="false" ht="15" hidden="false" customHeight="false" outlineLevel="0" collapsed="false">
      <c r="A186" s="29"/>
      <c r="B186" s="29"/>
      <c r="C186" s="29"/>
      <c r="D186" s="30"/>
      <c r="E186" s="31"/>
      <c r="F186" s="32" t="str">
        <f aca="false">IF($E186="","",$E186+7*IFERROR(VLOOKUP($B186,DS!$K$2:$M$4,2,FALSE()),12))</f>
        <v/>
      </c>
      <c r="G186" s="32" t="str">
        <f aca="false">IF($E186="","",$E186+7*IFERROR(VLOOKUP($B186,DS!$K$2:$M$4,3,FALSE()),12))</f>
        <v/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3" t="str">
        <f aca="false">IF($A186="","",IF($R186&lt;&gt;"","95 Hủy/hoàn",IF($Q186&lt;&gt;"","99 Đóng",IF($P186&lt;&gt;"","90 Đã giao",IF($O186&lt;&gt;"","80 Đang giao",IF($N186&lt;&gt;"","70 Thông quan",IF($M186&lt;&gt;"","60 Đã xuất",IF($L186&lt;&gt;"","50 QC đạt",IF($K186&lt;&gt;"","40 NCC đã gửi",IF($I186&lt;&gt;"","30 Đã đặt NCC",IF($H186&lt;&gt;"","20 Đã xác nhận","10 Mới")))))))))))</f>
        <v/>
      </c>
      <c r="U186" s="33" t="str">
        <f aca="false">IF($T186="","",IFERROR(VLOOKUP($T186,DS!$A$2:$B$12,2,FALSE()),""))</f>
        <v/>
      </c>
      <c r="V186" s="34" t="str">
        <f aca="true">IF(OR($T186="",LEFT($T186,2)="99",LEFT($T186,2)="95"),"",TODAY()-MAX($E186,$H186:$P186))</f>
        <v/>
      </c>
      <c r="W186" s="34" t="str">
        <f aca="true">IF(AND($E186&lt;&gt;"",$I186="",$R186=""),IF(TODAY()-$E186&gt;1,"⚑",""),"")</f>
        <v/>
      </c>
      <c r="X186" s="34" t="str">
        <f aca="true">IF(AND($J186&lt;&gt;"",$K186="",$R186=""),IF(TODAY()-$J186&gt;2,"⚑",""),"")</f>
        <v/>
      </c>
      <c r="Y186" s="34" t="str">
        <f aca="true">IF(AND($G186&lt;&gt;"",$M186="",$R186=""),IF(AND($G186-TODAY()&lt;=14,$G186&gt;=TODAY()),"⚑",""),"")</f>
        <v/>
      </c>
      <c r="Z186" s="34" t="str">
        <f aca="true">IF(AND($G186&lt;&gt;"",$P186="",$R186=""),IF(TODAY()&gt;$G186,"⚑",""),"")</f>
        <v/>
      </c>
      <c r="AA186" s="34" t="str">
        <f aca="true">IF(AND($E186&lt;&gt;"",$P186="",$R186=""),IF(TODAY()-MAX($E186,$H186,$M186,$S186)&gt;7,"⚑",""),"")</f>
        <v/>
      </c>
      <c r="AB186" s="34" t="str">
        <f aca="false">IF(OR($P186="",$G186=""),"",IF($P186&lt;=$G186,"Có","Không"))</f>
        <v/>
      </c>
      <c r="AC186" s="34" t="str">
        <f aca="false">IF(OR($P186="",$E186=""),"",$P186-$E186)</f>
        <v/>
      </c>
      <c r="AD186" s="35" t="str">
        <f aca="false">IF($A186="","",COUNTIF(CASE!$B$3:$B$202,$A186))</f>
        <v/>
      </c>
      <c r="AE186" s="34" t="str">
        <f aca="false">IF(OR($I186="",$E186=""),"",$I186-$E186)</f>
        <v/>
      </c>
      <c r="AF186" s="34" t="str">
        <f aca="false">IF(OR($K186="",$I186=""),"",$K186-$I186)</f>
        <v/>
      </c>
      <c r="AG186" s="34" t="str">
        <f aca="false">IF(OR($L186="",$K186=""),"",$L186-$K186)</f>
        <v/>
      </c>
      <c r="AH186" s="34" t="str">
        <f aca="false">IF(OR($M186="",$L186=""),"",$M186-$L186)</f>
        <v/>
      </c>
      <c r="AI186" s="34" t="str">
        <f aca="false">IF(OR($P186="",$M186=""),"",$P186-$M186)</f>
        <v/>
      </c>
    </row>
    <row r="187" customFormat="false" ht="15" hidden="false" customHeight="false" outlineLevel="0" collapsed="false">
      <c r="A187" s="29"/>
      <c r="B187" s="29"/>
      <c r="C187" s="29"/>
      <c r="D187" s="30"/>
      <c r="E187" s="31"/>
      <c r="F187" s="32" t="str">
        <f aca="false">IF($E187="","",$E187+7*IFERROR(VLOOKUP($B187,DS!$K$2:$M$4,2,FALSE()),12))</f>
        <v/>
      </c>
      <c r="G187" s="32" t="str">
        <f aca="false">IF($E187="","",$E187+7*IFERROR(VLOOKUP($B187,DS!$K$2:$M$4,3,FALSE()),12))</f>
        <v/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3" t="str">
        <f aca="false">IF($A187="","",IF($R187&lt;&gt;"","95 Hủy/hoàn",IF($Q187&lt;&gt;"","99 Đóng",IF($P187&lt;&gt;"","90 Đã giao",IF($O187&lt;&gt;"","80 Đang giao",IF($N187&lt;&gt;"","70 Thông quan",IF($M187&lt;&gt;"","60 Đã xuất",IF($L187&lt;&gt;"","50 QC đạt",IF($K187&lt;&gt;"","40 NCC đã gửi",IF($I187&lt;&gt;"","30 Đã đặt NCC",IF($H187&lt;&gt;"","20 Đã xác nhận","10 Mới")))))))))))</f>
        <v/>
      </c>
      <c r="U187" s="33" t="str">
        <f aca="false">IF($T187="","",IFERROR(VLOOKUP($T187,DS!$A$2:$B$12,2,FALSE()),""))</f>
        <v/>
      </c>
      <c r="V187" s="34" t="str">
        <f aca="true">IF(OR($T187="",LEFT($T187,2)="99",LEFT($T187,2)="95"),"",TODAY()-MAX($E187,$H187:$P187))</f>
        <v/>
      </c>
      <c r="W187" s="34" t="str">
        <f aca="true">IF(AND($E187&lt;&gt;"",$I187="",$R187=""),IF(TODAY()-$E187&gt;1,"⚑",""),"")</f>
        <v/>
      </c>
      <c r="X187" s="34" t="str">
        <f aca="true">IF(AND($J187&lt;&gt;"",$K187="",$R187=""),IF(TODAY()-$J187&gt;2,"⚑",""),"")</f>
        <v/>
      </c>
      <c r="Y187" s="34" t="str">
        <f aca="true">IF(AND($G187&lt;&gt;"",$M187="",$R187=""),IF(AND($G187-TODAY()&lt;=14,$G187&gt;=TODAY()),"⚑",""),"")</f>
        <v/>
      </c>
      <c r="Z187" s="34" t="str">
        <f aca="true">IF(AND($G187&lt;&gt;"",$P187="",$R187=""),IF(TODAY()&gt;$G187,"⚑",""),"")</f>
        <v/>
      </c>
      <c r="AA187" s="34" t="str">
        <f aca="true">IF(AND($E187&lt;&gt;"",$P187="",$R187=""),IF(TODAY()-MAX($E187,$H187,$M187,$S187)&gt;7,"⚑",""),"")</f>
        <v/>
      </c>
      <c r="AB187" s="34" t="str">
        <f aca="false">IF(OR($P187="",$G187=""),"",IF($P187&lt;=$G187,"Có","Không"))</f>
        <v/>
      </c>
      <c r="AC187" s="34" t="str">
        <f aca="false">IF(OR($P187="",$E187=""),"",$P187-$E187)</f>
        <v/>
      </c>
      <c r="AD187" s="35" t="str">
        <f aca="false">IF($A187="","",COUNTIF(CASE!$B$3:$B$202,$A187))</f>
        <v/>
      </c>
      <c r="AE187" s="34" t="str">
        <f aca="false">IF(OR($I187="",$E187=""),"",$I187-$E187)</f>
        <v/>
      </c>
      <c r="AF187" s="34" t="str">
        <f aca="false">IF(OR($K187="",$I187=""),"",$K187-$I187)</f>
        <v/>
      </c>
      <c r="AG187" s="34" t="str">
        <f aca="false">IF(OR($L187="",$K187=""),"",$L187-$K187)</f>
        <v/>
      </c>
      <c r="AH187" s="34" t="str">
        <f aca="false">IF(OR($M187="",$L187=""),"",$M187-$L187)</f>
        <v/>
      </c>
      <c r="AI187" s="34" t="str">
        <f aca="false">IF(OR($P187="",$M187=""),"",$P187-$M187)</f>
        <v/>
      </c>
    </row>
    <row r="188" customFormat="false" ht="15" hidden="false" customHeight="false" outlineLevel="0" collapsed="false">
      <c r="A188" s="29"/>
      <c r="B188" s="29"/>
      <c r="C188" s="29"/>
      <c r="D188" s="30"/>
      <c r="E188" s="31"/>
      <c r="F188" s="32" t="str">
        <f aca="false">IF($E188="","",$E188+7*IFERROR(VLOOKUP($B188,DS!$K$2:$M$4,2,FALSE()),12))</f>
        <v/>
      </c>
      <c r="G188" s="32" t="str">
        <f aca="false">IF($E188="","",$E188+7*IFERROR(VLOOKUP($B188,DS!$K$2:$M$4,3,FALSE()),12))</f>
        <v/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3" t="str">
        <f aca="false">IF($A188="","",IF($R188&lt;&gt;"","95 Hủy/hoàn",IF($Q188&lt;&gt;"","99 Đóng",IF($P188&lt;&gt;"","90 Đã giao",IF($O188&lt;&gt;"","80 Đang giao",IF($N188&lt;&gt;"","70 Thông quan",IF($M188&lt;&gt;"","60 Đã xuất",IF($L188&lt;&gt;"","50 QC đạt",IF($K188&lt;&gt;"","40 NCC đã gửi",IF($I188&lt;&gt;"","30 Đã đặt NCC",IF($H188&lt;&gt;"","20 Đã xác nhận","10 Mới")))))))))))</f>
        <v/>
      </c>
      <c r="U188" s="33" t="str">
        <f aca="false">IF($T188="","",IFERROR(VLOOKUP($T188,DS!$A$2:$B$12,2,FALSE()),""))</f>
        <v/>
      </c>
      <c r="V188" s="34" t="str">
        <f aca="true">IF(OR($T188="",LEFT($T188,2)="99",LEFT($T188,2)="95"),"",TODAY()-MAX($E188,$H188:$P188))</f>
        <v/>
      </c>
      <c r="W188" s="34" t="str">
        <f aca="true">IF(AND($E188&lt;&gt;"",$I188="",$R188=""),IF(TODAY()-$E188&gt;1,"⚑",""),"")</f>
        <v/>
      </c>
      <c r="X188" s="34" t="str">
        <f aca="true">IF(AND($J188&lt;&gt;"",$K188="",$R188=""),IF(TODAY()-$J188&gt;2,"⚑",""),"")</f>
        <v/>
      </c>
      <c r="Y188" s="34" t="str">
        <f aca="true">IF(AND($G188&lt;&gt;"",$M188="",$R188=""),IF(AND($G188-TODAY()&lt;=14,$G188&gt;=TODAY()),"⚑",""),"")</f>
        <v/>
      </c>
      <c r="Z188" s="34" t="str">
        <f aca="true">IF(AND($G188&lt;&gt;"",$P188="",$R188=""),IF(TODAY()&gt;$G188,"⚑",""),"")</f>
        <v/>
      </c>
      <c r="AA188" s="34" t="str">
        <f aca="true">IF(AND($E188&lt;&gt;"",$P188="",$R188=""),IF(TODAY()-MAX($E188,$H188,$M188,$S188)&gt;7,"⚑",""),"")</f>
        <v/>
      </c>
      <c r="AB188" s="34" t="str">
        <f aca="false">IF(OR($P188="",$G188=""),"",IF($P188&lt;=$G188,"Có","Không"))</f>
        <v/>
      </c>
      <c r="AC188" s="34" t="str">
        <f aca="false">IF(OR($P188="",$E188=""),"",$P188-$E188)</f>
        <v/>
      </c>
      <c r="AD188" s="35" t="str">
        <f aca="false">IF($A188="","",COUNTIF(CASE!$B$3:$B$202,$A188))</f>
        <v/>
      </c>
      <c r="AE188" s="34" t="str">
        <f aca="false">IF(OR($I188="",$E188=""),"",$I188-$E188)</f>
        <v/>
      </c>
      <c r="AF188" s="34" t="str">
        <f aca="false">IF(OR($K188="",$I188=""),"",$K188-$I188)</f>
        <v/>
      </c>
      <c r="AG188" s="34" t="str">
        <f aca="false">IF(OR($L188="",$K188=""),"",$L188-$K188)</f>
        <v/>
      </c>
      <c r="AH188" s="34" t="str">
        <f aca="false">IF(OR($M188="",$L188=""),"",$M188-$L188)</f>
        <v/>
      </c>
      <c r="AI188" s="34" t="str">
        <f aca="false">IF(OR($P188="",$M188=""),"",$P188-$M188)</f>
        <v/>
      </c>
    </row>
    <row r="189" customFormat="false" ht="15" hidden="false" customHeight="false" outlineLevel="0" collapsed="false">
      <c r="A189" s="29"/>
      <c r="B189" s="29"/>
      <c r="C189" s="29"/>
      <c r="D189" s="30"/>
      <c r="E189" s="31"/>
      <c r="F189" s="32" t="str">
        <f aca="false">IF($E189="","",$E189+7*IFERROR(VLOOKUP($B189,DS!$K$2:$M$4,2,FALSE()),12))</f>
        <v/>
      </c>
      <c r="G189" s="32" t="str">
        <f aca="false">IF($E189="","",$E189+7*IFERROR(VLOOKUP($B189,DS!$K$2:$M$4,3,FALSE()),12))</f>
        <v/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3" t="str">
        <f aca="false">IF($A189="","",IF($R189&lt;&gt;"","95 Hủy/hoàn",IF($Q189&lt;&gt;"","99 Đóng",IF($P189&lt;&gt;"","90 Đã giao",IF($O189&lt;&gt;"","80 Đang giao",IF($N189&lt;&gt;"","70 Thông quan",IF($M189&lt;&gt;"","60 Đã xuất",IF($L189&lt;&gt;"","50 QC đạt",IF($K189&lt;&gt;"","40 NCC đã gửi",IF($I189&lt;&gt;"","30 Đã đặt NCC",IF($H189&lt;&gt;"","20 Đã xác nhận","10 Mới")))))))))))</f>
        <v/>
      </c>
      <c r="U189" s="33" t="str">
        <f aca="false">IF($T189="","",IFERROR(VLOOKUP($T189,DS!$A$2:$B$12,2,FALSE()),""))</f>
        <v/>
      </c>
      <c r="V189" s="34" t="str">
        <f aca="true">IF(OR($T189="",LEFT($T189,2)="99",LEFT($T189,2)="95"),"",TODAY()-MAX($E189,$H189:$P189))</f>
        <v/>
      </c>
      <c r="W189" s="34" t="str">
        <f aca="true">IF(AND($E189&lt;&gt;"",$I189="",$R189=""),IF(TODAY()-$E189&gt;1,"⚑",""),"")</f>
        <v/>
      </c>
      <c r="X189" s="34" t="str">
        <f aca="true">IF(AND($J189&lt;&gt;"",$K189="",$R189=""),IF(TODAY()-$J189&gt;2,"⚑",""),"")</f>
        <v/>
      </c>
      <c r="Y189" s="34" t="str">
        <f aca="true">IF(AND($G189&lt;&gt;"",$M189="",$R189=""),IF(AND($G189-TODAY()&lt;=14,$G189&gt;=TODAY()),"⚑",""),"")</f>
        <v/>
      </c>
      <c r="Z189" s="34" t="str">
        <f aca="true">IF(AND($G189&lt;&gt;"",$P189="",$R189=""),IF(TODAY()&gt;$G189,"⚑",""),"")</f>
        <v/>
      </c>
      <c r="AA189" s="34" t="str">
        <f aca="true">IF(AND($E189&lt;&gt;"",$P189="",$R189=""),IF(TODAY()-MAX($E189,$H189,$M189,$S189)&gt;7,"⚑",""),"")</f>
        <v/>
      </c>
      <c r="AB189" s="34" t="str">
        <f aca="false">IF(OR($P189="",$G189=""),"",IF($P189&lt;=$G189,"Có","Không"))</f>
        <v/>
      </c>
      <c r="AC189" s="34" t="str">
        <f aca="false">IF(OR($P189="",$E189=""),"",$P189-$E189)</f>
        <v/>
      </c>
      <c r="AD189" s="35" t="str">
        <f aca="false">IF($A189="","",COUNTIF(CASE!$B$3:$B$202,$A189))</f>
        <v/>
      </c>
      <c r="AE189" s="34" t="str">
        <f aca="false">IF(OR($I189="",$E189=""),"",$I189-$E189)</f>
        <v/>
      </c>
      <c r="AF189" s="34" t="str">
        <f aca="false">IF(OR($K189="",$I189=""),"",$K189-$I189)</f>
        <v/>
      </c>
      <c r="AG189" s="34" t="str">
        <f aca="false">IF(OR($L189="",$K189=""),"",$L189-$K189)</f>
        <v/>
      </c>
      <c r="AH189" s="34" t="str">
        <f aca="false">IF(OR($M189="",$L189=""),"",$M189-$L189)</f>
        <v/>
      </c>
      <c r="AI189" s="34" t="str">
        <f aca="false">IF(OR($P189="",$M189=""),"",$P189-$M189)</f>
        <v/>
      </c>
    </row>
    <row r="190" customFormat="false" ht="15" hidden="false" customHeight="false" outlineLevel="0" collapsed="false">
      <c r="A190" s="29"/>
      <c r="B190" s="29"/>
      <c r="C190" s="29"/>
      <c r="D190" s="30"/>
      <c r="E190" s="31"/>
      <c r="F190" s="32" t="str">
        <f aca="false">IF($E190="","",$E190+7*IFERROR(VLOOKUP($B190,DS!$K$2:$M$4,2,FALSE()),12))</f>
        <v/>
      </c>
      <c r="G190" s="32" t="str">
        <f aca="false">IF($E190="","",$E190+7*IFERROR(VLOOKUP($B190,DS!$K$2:$M$4,3,FALSE()),12))</f>
        <v/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3" t="str">
        <f aca="false">IF($A190="","",IF($R190&lt;&gt;"","95 Hủy/hoàn",IF($Q190&lt;&gt;"","99 Đóng",IF($P190&lt;&gt;"","90 Đã giao",IF($O190&lt;&gt;"","80 Đang giao",IF($N190&lt;&gt;"","70 Thông quan",IF($M190&lt;&gt;"","60 Đã xuất",IF($L190&lt;&gt;"","50 QC đạt",IF($K190&lt;&gt;"","40 NCC đã gửi",IF($I190&lt;&gt;"","30 Đã đặt NCC",IF($H190&lt;&gt;"","20 Đã xác nhận","10 Mới")))))))))))</f>
        <v/>
      </c>
      <c r="U190" s="33" t="str">
        <f aca="false">IF($T190="","",IFERROR(VLOOKUP($T190,DS!$A$2:$B$12,2,FALSE()),""))</f>
        <v/>
      </c>
      <c r="V190" s="34" t="str">
        <f aca="true">IF(OR($T190="",LEFT($T190,2)="99",LEFT($T190,2)="95"),"",TODAY()-MAX($E190,$H190:$P190))</f>
        <v/>
      </c>
      <c r="W190" s="34" t="str">
        <f aca="true">IF(AND($E190&lt;&gt;"",$I190="",$R190=""),IF(TODAY()-$E190&gt;1,"⚑",""),"")</f>
        <v/>
      </c>
      <c r="X190" s="34" t="str">
        <f aca="true">IF(AND($J190&lt;&gt;"",$K190="",$R190=""),IF(TODAY()-$J190&gt;2,"⚑",""),"")</f>
        <v/>
      </c>
      <c r="Y190" s="34" t="str">
        <f aca="true">IF(AND($G190&lt;&gt;"",$M190="",$R190=""),IF(AND($G190-TODAY()&lt;=14,$G190&gt;=TODAY()),"⚑",""),"")</f>
        <v/>
      </c>
      <c r="Z190" s="34" t="str">
        <f aca="true">IF(AND($G190&lt;&gt;"",$P190="",$R190=""),IF(TODAY()&gt;$G190,"⚑",""),"")</f>
        <v/>
      </c>
      <c r="AA190" s="34" t="str">
        <f aca="true">IF(AND($E190&lt;&gt;"",$P190="",$R190=""),IF(TODAY()-MAX($E190,$H190,$M190,$S190)&gt;7,"⚑",""),"")</f>
        <v/>
      </c>
      <c r="AB190" s="34" t="str">
        <f aca="false">IF(OR($P190="",$G190=""),"",IF($P190&lt;=$G190,"Có","Không"))</f>
        <v/>
      </c>
      <c r="AC190" s="34" t="str">
        <f aca="false">IF(OR($P190="",$E190=""),"",$P190-$E190)</f>
        <v/>
      </c>
      <c r="AD190" s="35" t="str">
        <f aca="false">IF($A190="","",COUNTIF(CASE!$B$3:$B$202,$A190))</f>
        <v/>
      </c>
      <c r="AE190" s="34" t="str">
        <f aca="false">IF(OR($I190="",$E190=""),"",$I190-$E190)</f>
        <v/>
      </c>
      <c r="AF190" s="34" t="str">
        <f aca="false">IF(OR($K190="",$I190=""),"",$K190-$I190)</f>
        <v/>
      </c>
      <c r="AG190" s="34" t="str">
        <f aca="false">IF(OR($L190="",$K190=""),"",$L190-$K190)</f>
        <v/>
      </c>
      <c r="AH190" s="34" t="str">
        <f aca="false">IF(OR($M190="",$L190=""),"",$M190-$L190)</f>
        <v/>
      </c>
      <c r="AI190" s="34" t="str">
        <f aca="false">IF(OR($P190="",$M190=""),"",$P190-$M190)</f>
        <v/>
      </c>
    </row>
    <row r="191" customFormat="false" ht="15" hidden="false" customHeight="false" outlineLevel="0" collapsed="false">
      <c r="A191" s="29"/>
      <c r="B191" s="29"/>
      <c r="C191" s="29"/>
      <c r="D191" s="30"/>
      <c r="E191" s="31"/>
      <c r="F191" s="32" t="str">
        <f aca="false">IF($E191="","",$E191+7*IFERROR(VLOOKUP($B191,DS!$K$2:$M$4,2,FALSE()),12))</f>
        <v/>
      </c>
      <c r="G191" s="32" t="str">
        <f aca="false">IF($E191="","",$E191+7*IFERROR(VLOOKUP($B191,DS!$K$2:$M$4,3,FALSE()),12))</f>
        <v/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3" t="str">
        <f aca="false">IF($A191="","",IF($R191&lt;&gt;"","95 Hủy/hoàn",IF($Q191&lt;&gt;"","99 Đóng",IF($P191&lt;&gt;"","90 Đã giao",IF($O191&lt;&gt;"","80 Đang giao",IF($N191&lt;&gt;"","70 Thông quan",IF($M191&lt;&gt;"","60 Đã xuất",IF($L191&lt;&gt;"","50 QC đạt",IF($K191&lt;&gt;"","40 NCC đã gửi",IF($I191&lt;&gt;"","30 Đã đặt NCC",IF($H191&lt;&gt;"","20 Đã xác nhận","10 Mới")))))))))))</f>
        <v/>
      </c>
      <c r="U191" s="33" t="str">
        <f aca="false">IF($T191="","",IFERROR(VLOOKUP($T191,DS!$A$2:$B$12,2,FALSE()),""))</f>
        <v/>
      </c>
      <c r="V191" s="34" t="str">
        <f aca="true">IF(OR($T191="",LEFT($T191,2)="99",LEFT($T191,2)="95"),"",TODAY()-MAX($E191,$H191:$P191))</f>
        <v/>
      </c>
      <c r="W191" s="34" t="str">
        <f aca="true">IF(AND($E191&lt;&gt;"",$I191="",$R191=""),IF(TODAY()-$E191&gt;1,"⚑",""),"")</f>
        <v/>
      </c>
      <c r="X191" s="34" t="str">
        <f aca="true">IF(AND($J191&lt;&gt;"",$K191="",$R191=""),IF(TODAY()-$J191&gt;2,"⚑",""),"")</f>
        <v/>
      </c>
      <c r="Y191" s="34" t="str">
        <f aca="true">IF(AND($G191&lt;&gt;"",$M191="",$R191=""),IF(AND($G191-TODAY()&lt;=14,$G191&gt;=TODAY()),"⚑",""),"")</f>
        <v/>
      </c>
      <c r="Z191" s="34" t="str">
        <f aca="true">IF(AND($G191&lt;&gt;"",$P191="",$R191=""),IF(TODAY()&gt;$G191,"⚑",""),"")</f>
        <v/>
      </c>
      <c r="AA191" s="34" t="str">
        <f aca="true">IF(AND($E191&lt;&gt;"",$P191="",$R191=""),IF(TODAY()-MAX($E191,$H191,$M191,$S191)&gt;7,"⚑",""),"")</f>
        <v/>
      </c>
      <c r="AB191" s="34" t="str">
        <f aca="false">IF(OR($P191="",$G191=""),"",IF($P191&lt;=$G191,"Có","Không"))</f>
        <v/>
      </c>
      <c r="AC191" s="34" t="str">
        <f aca="false">IF(OR($P191="",$E191=""),"",$P191-$E191)</f>
        <v/>
      </c>
      <c r="AD191" s="35" t="str">
        <f aca="false">IF($A191="","",COUNTIF(CASE!$B$3:$B$202,$A191))</f>
        <v/>
      </c>
      <c r="AE191" s="34" t="str">
        <f aca="false">IF(OR($I191="",$E191=""),"",$I191-$E191)</f>
        <v/>
      </c>
      <c r="AF191" s="34" t="str">
        <f aca="false">IF(OR($K191="",$I191=""),"",$K191-$I191)</f>
        <v/>
      </c>
      <c r="AG191" s="34" t="str">
        <f aca="false">IF(OR($L191="",$K191=""),"",$L191-$K191)</f>
        <v/>
      </c>
      <c r="AH191" s="34" t="str">
        <f aca="false">IF(OR($M191="",$L191=""),"",$M191-$L191)</f>
        <v/>
      </c>
      <c r="AI191" s="34" t="str">
        <f aca="false">IF(OR($P191="",$M191=""),"",$P191-$M191)</f>
        <v/>
      </c>
    </row>
    <row r="192" customFormat="false" ht="15" hidden="false" customHeight="false" outlineLevel="0" collapsed="false">
      <c r="A192" s="29"/>
      <c r="B192" s="29"/>
      <c r="C192" s="29"/>
      <c r="D192" s="30"/>
      <c r="E192" s="31"/>
      <c r="F192" s="32" t="str">
        <f aca="false">IF($E192="","",$E192+7*IFERROR(VLOOKUP($B192,DS!$K$2:$M$4,2,FALSE()),12))</f>
        <v/>
      </c>
      <c r="G192" s="32" t="str">
        <f aca="false">IF($E192="","",$E192+7*IFERROR(VLOOKUP($B192,DS!$K$2:$M$4,3,FALSE()),12))</f>
        <v/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3" t="str">
        <f aca="false">IF($A192="","",IF($R192&lt;&gt;"","95 Hủy/hoàn",IF($Q192&lt;&gt;"","99 Đóng",IF($P192&lt;&gt;"","90 Đã giao",IF($O192&lt;&gt;"","80 Đang giao",IF($N192&lt;&gt;"","70 Thông quan",IF($M192&lt;&gt;"","60 Đã xuất",IF($L192&lt;&gt;"","50 QC đạt",IF($K192&lt;&gt;"","40 NCC đã gửi",IF($I192&lt;&gt;"","30 Đã đặt NCC",IF($H192&lt;&gt;"","20 Đã xác nhận","10 Mới")))))))))))</f>
        <v/>
      </c>
      <c r="U192" s="33" t="str">
        <f aca="false">IF($T192="","",IFERROR(VLOOKUP($T192,DS!$A$2:$B$12,2,FALSE()),""))</f>
        <v/>
      </c>
      <c r="V192" s="34" t="str">
        <f aca="true">IF(OR($T192="",LEFT($T192,2)="99",LEFT($T192,2)="95"),"",TODAY()-MAX($E192,$H192:$P192))</f>
        <v/>
      </c>
      <c r="W192" s="34" t="str">
        <f aca="true">IF(AND($E192&lt;&gt;"",$I192="",$R192=""),IF(TODAY()-$E192&gt;1,"⚑",""),"")</f>
        <v/>
      </c>
      <c r="X192" s="34" t="str">
        <f aca="true">IF(AND($J192&lt;&gt;"",$K192="",$R192=""),IF(TODAY()-$J192&gt;2,"⚑",""),"")</f>
        <v/>
      </c>
      <c r="Y192" s="34" t="str">
        <f aca="true">IF(AND($G192&lt;&gt;"",$M192="",$R192=""),IF(AND($G192-TODAY()&lt;=14,$G192&gt;=TODAY()),"⚑",""),"")</f>
        <v/>
      </c>
      <c r="Z192" s="34" t="str">
        <f aca="true">IF(AND($G192&lt;&gt;"",$P192="",$R192=""),IF(TODAY()&gt;$G192,"⚑",""),"")</f>
        <v/>
      </c>
      <c r="AA192" s="34" t="str">
        <f aca="true">IF(AND($E192&lt;&gt;"",$P192="",$R192=""),IF(TODAY()-MAX($E192,$H192,$M192,$S192)&gt;7,"⚑",""),"")</f>
        <v/>
      </c>
      <c r="AB192" s="34" t="str">
        <f aca="false">IF(OR($P192="",$G192=""),"",IF($P192&lt;=$G192,"Có","Không"))</f>
        <v/>
      </c>
      <c r="AC192" s="34" t="str">
        <f aca="false">IF(OR($P192="",$E192=""),"",$P192-$E192)</f>
        <v/>
      </c>
      <c r="AD192" s="35" t="str">
        <f aca="false">IF($A192="","",COUNTIF(CASE!$B$3:$B$202,$A192))</f>
        <v/>
      </c>
      <c r="AE192" s="34" t="str">
        <f aca="false">IF(OR($I192="",$E192=""),"",$I192-$E192)</f>
        <v/>
      </c>
      <c r="AF192" s="34" t="str">
        <f aca="false">IF(OR($K192="",$I192=""),"",$K192-$I192)</f>
        <v/>
      </c>
      <c r="AG192" s="34" t="str">
        <f aca="false">IF(OR($L192="",$K192=""),"",$L192-$K192)</f>
        <v/>
      </c>
      <c r="AH192" s="34" t="str">
        <f aca="false">IF(OR($M192="",$L192=""),"",$M192-$L192)</f>
        <v/>
      </c>
      <c r="AI192" s="34" t="str">
        <f aca="false">IF(OR($P192="",$M192=""),"",$P192-$M192)</f>
        <v/>
      </c>
    </row>
    <row r="193" customFormat="false" ht="15" hidden="false" customHeight="false" outlineLevel="0" collapsed="false">
      <c r="A193" s="29"/>
      <c r="B193" s="29"/>
      <c r="C193" s="29"/>
      <c r="D193" s="30"/>
      <c r="E193" s="31"/>
      <c r="F193" s="32" t="str">
        <f aca="false">IF($E193="","",$E193+7*IFERROR(VLOOKUP($B193,DS!$K$2:$M$4,2,FALSE()),12))</f>
        <v/>
      </c>
      <c r="G193" s="32" t="str">
        <f aca="false">IF($E193="","",$E193+7*IFERROR(VLOOKUP($B193,DS!$K$2:$M$4,3,FALSE()),12))</f>
        <v/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3" t="str">
        <f aca="false">IF($A193="","",IF($R193&lt;&gt;"","95 Hủy/hoàn",IF($Q193&lt;&gt;"","99 Đóng",IF($P193&lt;&gt;"","90 Đã giao",IF($O193&lt;&gt;"","80 Đang giao",IF($N193&lt;&gt;"","70 Thông quan",IF($M193&lt;&gt;"","60 Đã xuất",IF($L193&lt;&gt;"","50 QC đạt",IF($K193&lt;&gt;"","40 NCC đã gửi",IF($I193&lt;&gt;"","30 Đã đặt NCC",IF($H193&lt;&gt;"","20 Đã xác nhận","10 Mới")))))))))))</f>
        <v/>
      </c>
      <c r="U193" s="33" t="str">
        <f aca="false">IF($T193="","",IFERROR(VLOOKUP($T193,DS!$A$2:$B$12,2,FALSE()),""))</f>
        <v/>
      </c>
      <c r="V193" s="34" t="str">
        <f aca="true">IF(OR($T193="",LEFT($T193,2)="99",LEFT($T193,2)="95"),"",TODAY()-MAX($E193,$H193:$P193))</f>
        <v/>
      </c>
      <c r="W193" s="34" t="str">
        <f aca="true">IF(AND($E193&lt;&gt;"",$I193="",$R193=""),IF(TODAY()-$E193&gt;1,"⚑",""),"")</f>
        <v/>
      </c>
      <c r="X193" s="34" t="str">
        <f aca="true">IF(AND($J193&lt;&gt;"",$K193="",$R193=""),IF(TODAY()-$J193&gt;2,"⚑",""),"")</f>
        <v/>
      </c>
      <c r="Y193" s="34" t="str">
        <f aca="true">IF(AND($G193&lt;&gt;"",$M193="",$R193=""),IF(AND($G193-TODAY()&lt;=14,$G193&gt;=TODAY()),"⚑",""),"")</f>
        <v/>
      </c>
      <c r="Z193" s="34" t="str">
        <f aca="true">IF(AND($G193&lt;&gt;"",$P193="",$R193=""),IF(TODAY()&gt;$G193,"⚑",""),"")</f>
        <v/>
      </c>
      <c r="AA193" s="34" t="str">
        <f aca="true">IF(AND($E193&lt;&gt;"",$P193="",$R193=""),IF(TODAY()-MAX($E193,$H193,$M193,$S193)&gt;7,"⚑",""),"")</f>
        <v/>
      </c>
      <c r="AB193" s="34" t="str">
        <f aca="false">IF(OR($P193="",$G193=""),"",IF($P193&lt;=$G193,"Có","Không"))</f>
        <v/>
      </c>
      <c r="AC193" s="34" t="str">
        <f aca="false">IF(OR($P193="",$E193=""),"",$P193-$E193)</f>
        <v/>
      </c>
      <c r="AD193" s="35" t="str">
        <f aca="false">IF($A193="","",COUNTIF(CASE!$B$3:$B$202,$A193))</f>
        <v/>
      </c>
      <c r="AE193" s="34" t="str">
        <f aca="false">IF(OR($I193="",$E193=""),"",$I193-$E193)</f>
        <v/>
      </c>
      <c r="AF193" s="34" t="str">
        <f aca="false">IF(OR($K193="",$I193=""),"",$K193-$I193)</f>
        <v/>
      </c>
      <c r="AG193" s="34" t="str">
        <f aca="false">IF(OR($L193="",$K193=""),"",$L193-$K193)</f>
        <v/>
      </c>
      <c r="AH193" s="34" t="str">
        <f aca="false">IF(OR($M193="",$L193=""),"",$M193-$L193)</f>
        <v/>
      </c>
      <c r="AI193" s="34" t="str">
        <f aca="false">IF(OR($P193="",$M193=""),"",$P193-$M193)</f>
        <v/>
      </c>
    </row>
    <row r="194" customFormat="false" ht="15" hidden="false" customHeight="false" outlineLevel="0" collapsed="false">
      <c r="A194" s="29"/>
      <c r="B194" s="29"/>
      <c r="C194" s="29"/>
      <c r="D194" s="30"/>
      <c r="E194" s="31"/>
      <c r="F194" s="32" t="str">
        <f aca="false">IF($E194="","",$E194+7*IFERROR(VLOOKUP($B194,DS!$K$2:$M$4,2,FALSE()),12))</f>
        <v/>
      </c>
      <c r="G194" s="32" t="str">
        <f aca="false">IF($E194="","",$E194+7*IFERROR(VLOOKUP($B194,DS!$K$2:$M$4,3,FALSE()),12))</f>
        <v/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3" t="str">
        <f aca="false">IF($A194="","",IF($R194&lt;&gt;"","95 Hủy/hoàn",IF($Q194&lt;&gt;"","99 Đóng",IF($P194&lt;&gt;"","90 Đã giao",IF($O194&lt;&gt;"","80 Đang giao",IF($N194&lt;&gt;"","70 Thông quan",IF($M194&lt;&gt;"","60 Đã xuất",IF($L194&lt;&gt;"","50 QC đạt",IF($K194&lt;&gt;"","40 NCC đã gửi",IF($I194&lt;&gt;"","30 Đã đặt NCC",IF($H194&lt;&gt;"","20 Đã xác nhận","10 Mới")))))))))))</f>
        <v/>
      </c>
      <c r="U194" s="33" t="str">
        <f aca="false">IF($T194="","",IFERROR(VLOOKUP($T194,DS!$A$2:$B$12,2,FALSE()),""))</f>
        <v/>
      </c>
      <c r="V194" s="34" t="str">
        <f aca="true">IF(OR($T194="",LEFT($T194,2)="99",LEFT($T194,2)="95"),"",TODAY()-MAX($E194,$H194:$P194))</f>
        <v/>
      </c>
      <c r="W194" s="34" t="str">
        <f aca="true">IF(AND($E194&lt;&gt;"",$I194="",$R194=""),IF(TODAY()-$E194&gt;1,"⚑",""),"")</f>
        <v/>
      </c>
      <c r="X194" s="34" t="str">
        <f aca="true">IF(AND($J194&lt;&gt;"",$K194="",$R194=""),IF(TODAY()-$J194&gt;2,"⚑",""),"")</f>
        <v/>
      </c>
      <c r="Y194" s="34" t="str">
        <f aca="true">IF(AND($G194&lt;&gt;"",$M194="",$R194=""),IF(AND($G194-TODAY()&lt;=14,$G194&gt;=TODAY()),"⚑",""),"")</f>
        <v/>
      </c>
      <c r="Z194" s="34" t="str">
        <f aca="true">IF(AND($G194&lt;&gt;"",$P194="",$R194=""),IF(TODAY()&gt;$G194,"⚑",""),"")</f>
        <v/>
      </c>
      <c r="AA194" s="34" t="str">
        <f aca="true">IF(AND($E194&lt;&gt;"",$P194="",$R194=""),IF(TODAY()-MAX($E194,$H194,$M194,$S194)&gt;7,"⚑",""),"")</f>
        <v/>
      </c>
      <c r="AB194" s="34" t="str">
        <f aca="false">IF(OR($P194="",$G194=""),"",IF($P194&lt;=$G194,"Có","Không"))</f>
        <v/>
      </c>
      <c r="AC194" s="34" t="str">
        <f aca="false">IF(OR($P194="",$E194=""),"",$P194-$E194)</f>
        <v/>
      </c>
      <c r="AD194" s="35" t="str">
        <f aca="false">IF($A194="","",COUNTIF(CASE!$B$3:$B$202,$A194))</f>
        <v/>
      </c>
      <c r="AE194" s="34" t="str">
        <f aca="false">IF(OR($I194="",$E194=""),"",$I194-$E194)</f>
        <v/>
      </c>
      <c r="AF194" s="34" t="str">
        <f aca="false">IF(OR($K194="",$I194=""),"",$K194-$I194)</f>
        <v/>
      </c>
      <c r="AG194" s="34" t="str">
        <f aca="false">IF(OR($L194="",$K194=""),"",$L194-$K194)</f>
        <v/>
      </c>
      <c r="AH194" s="34" t="str">
        <f aca="false">IF(OR($M194="",$L194=""),"",$M194-$L194)</f>
        <v/>
      </c>
      <c r="AI194" s="34" t="str">
        <f aca="false">IF(OR($P194="",$M194=""),"",$P194-$M194)</f>
        <v/>
      </c>
    </row>
    <row r="195" customFormat="false" ht="15" hidden="false" customHeight="false" outlineLevel="0" collapsed="false">
      <c r="A195" s="29"/>
      <c r="B195" s="29"/>
      <c r="C195" s="29"/>
      <c r="D195" s="30"/>
      <c r="E195" s="31"/>
      <c r="F195" s="32" t="str">
        <f aca="false">IF($E195="","",$E195+7*IFERROR(VLOOKUP($B195,DS!$K$2:$M$4,2,FALSE()),12))</f>
        <v/>
      </c>
      <c r="G195" s="32" t="str">
        <f aca="false">IF($E195="","",$E195+7*IFERROR(VLOOKUP($B195,DS!$K$2:$M$4,3,FALSE()),12))</f>
        <v/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3" t="str">
        <f aca="false">IF($A195="","",IF($R195&lt;&gt;"","95 Hủy/hoàn",IF($Q195&lt;&gt;"","99 Đóng",IF($P195&lt;&gt;"","90 Đã giao",IF($O195&lt;&gt;"","80 Đang giao",IF($N195&lt;&gt;"","70 Thông quan",IF($M195&lt;&gt;"","60 Đã xuất",IF($L195&lt;&gt;"","50 QC đạt",IF($K195&lt;&gt;"","40 NCC đã gửi",IF($I195&lt;&gt;"","30 Đã đặt NCC",IF($H195&lt;&gt;"","20 Đã xác nhận","10 Mới")))))))))))</f>
        <v/>
      </c>
      <c r="U195" s="33" t="str">
        <f aca="false">IF($T195="","",IFERROR(VLOOKUP($T195,DS!$A$2:$B$12,2,FALSE()),""))</f>
        <v/>
      </c>
      <c r="V195" s="34" t="str">
        <f aca="true">IF(OR($T195="",LEFT($T195,2)="99",LEFT($T195,2)="95"),"",TODAY()-MAX($E195,$H195:$P195))</f>
        <v/>
      </c>
      <c r="W195" s="34" t="str">
        <f aca="true">IF(AND($E195&lt;&gt;"",$I195="",$R195=""),IF(TODAY()-$E195&gt;1,"⚑",""),"")</f>
        <v/>
      </c>
      <c r="X195" s="34" t="str">
        <f aca="true">IF(AND($J195&lt;&gt;"",$K195="",$R195=""),IF(TODAY()-$J195&gt;2,"⚑",""),"")</f>
        <v/>
      </c>
      <c r="Y195" s="34" t="str">
        <f aca="true">IF(AND($G195&lt;&gt;"",$M195="",$R195=""),IF(AND($G195-TODAY()&lt;=14,$G195&gt;=TODAY()),"⚑",""),"")</f>
        <v/>
      </c>
      <c r="Z195" s="34" t="str">
        <f aca="true">IF(AND($G195&lt;&gt;"",$P195="",$R195=""),IF(TODAY()&gt;$G195,"⚑",""),"")</f>
        <v/>
      </c>
      <c r="AA195" s="34" t="str">
        <f aca="true">IF(AND($E195&lt;&gt;"",$P195="",$R195=""),IF(TODAY()-MAX($E195,$H195,$M195,$S195)&gt;7,"⚑",""),"")</f>
        <v/>
      </c>
      <c r="AB195" s="34" t="str">
        <f aca="false">IF(OR($P195="",$G195=""),"",IF($P195&lt;=$G195,"Có","Không"))</f>
        <v/>
      </c>
      <c r="AC195" s="34" t="str">
        <f aca="false">IF(OR($P195="",$E195=""),"",$P195-$E195)</f>
        <v/>
      </c>
      <c r="AD195" s="35" t="str">
        <f aca="false">IF($A195="","",COUNTIF(CASE!$B$3:$B$202,$A195))</f>
        <v/>
      </c>
      <c r="AE195" s="34" t="str">
        <f aca="false">IF(OR($I195="",$E195=""),"",$I195-$E195)</f>
        <v/>
      </c>
      <c r="AF195" s="34" t="str">
        <f aca="false">IF(OR($K195="",$I195=""),"",$K195-$I195)</f>
        <v/>
      </c>
      <c r="AG195" s="34" t="str">
        <f aca="false">IF(OR($L195="",$K195=""),"",$L195-$K195)</f>
        <v/>
      </c>
      <c r="AH195" s="34" t="str">
        <f aca="false">IF(OR($M195="",$L195=""),"",$M195-$L195)</f>
        <v/>
      </c>
      <c r="AI195" s="34" t="str">
        <f aca="false">IF(OR($P195="",$M195=""),"",$P195-$M195)</f>
        <v/>
      </c>
    </row>
    <row r="196" customFormat="false" ht="15" hidden="false" customHeight="false" outlineLevel="0" collapsed="false">
      <c r="A196" s="29"/>
      <c r="B196" s="29"/>
      <c r="C196" s="29"/>
      <c r="D196" s="30"/>
      <c r="E196" s="31"/>
      <c r="F196" s="32" t="str">
        <f aca="false">IF($E196="","",$E196+7*IFERROR(VLOOKUP($B196,DS!$K$2:$M$4,2,FALSE()),12))</f>
        <v/>
      </c>
      <c r="G196" s="32" t="str">
        <f aca="false">IF($E196="","",$E196+7*IFERROR(VLOOKUP($B196,DS!$K$2:$M$4,3,FALSE()),12))</f>
        <v/>
      </c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3" t="str">
        <f aca="false">IF($A196="","",IF($R196&lt;&gt;"","95 Hủy/hoàn",IF($Q196&lt;&gt;"","99 Đóng",IF($P196&lt;&gt;"","90 Đã giao",IF($O196&lt;&gt;"","80 Đang giao",IF($N196&lt;&gt;"","70 Thông quan",IF($M196&lt;&gt;"","60 Đã xuất",IF($L196&lt;&gt;"","50 QC đạt",IF($K196&lt;&gt;"","40 NCC đã gửi",IF($I196&lt;&gt;"","30 Đã đặt NCC",IF($H196&lt;&gt;"","20 Đã xác nhận","10 Mới")))))))))))</f>
        <v/>
      </c>
      <c r="U196" s="33" t="str">
        <f aca="false">IF($T196="","",IFERROR(VLOOKUP($T196,DS!$A$2:$B$12,2,FALSE()),""))</f>
        <v/>
      </c>
      <c r="V196" s="34" t="str">
        <f aca="true">IF(OR($T196="",LEFT($T196,2)="99",LEFT($T196,2)="95"),"",TODAY()-MAX($E196,$H196:$P196))</f>
        <v/>
      </c>
      <c r="W196" s="34" t="str">
        <f aca="true">IF(AND($E196&lt;&gt;"",$I196="",$R196=""),IF(TODAY()-$E196&gt;1,"⚑",""),"")</f>
        <v/>
      </c>
      <c r="X196" s="34" t="str">
        <f aca="true">IF(AND($J196&lt;&gt;"",$K196="",$R196=""),IF(TODAY()-$J196&gt;2,"⚑",""),"")</f>
        <v/>
      </c>
      <c r="Y196" s="34" t="str">
        <f aca="true">IF(AND($G196&lt;&gt;"",$M196="",$R196=""),IF(AND($G196-TODAY()&lt;=14,$G196&gt;=TODAY()),"⚑",""),"")</f>
        <v/>
      </c>
      <c r="Z196" s="34" t="str">
        <f aca="true">IF(AND($G196&lt;&gt;"",$P196="",$R196=""),IF(TODAY()&gt;$G196,"⚑",""),"")</f>
        <v/>
      </c>
      <c r="AA196" s="34" t="str">
        <f aca="true">IF(AND($E196&lt;&gt;"",$P196="",$R196=""),IF(TODAY()-MAX($E196,$H196,$M196,$S196)&gt;7,"⚑",""),"")</f>
        <v/>
      </c>
      <c r="AB196" s="34" t="str">
        <f aca="false">IF(OR($P196="",$G196=""),"",IF($P196&lt;=$G196,"Có","Không"))</f>
        <v/>
      </c>
      <c r="AC196" s="34" t="str">
        <f aca="false">IF(OR($P196="",$E196=""),"",$P196-$E196)</f>
        <v/>
      </c>
      <c r="AD196" s="35" t="str">
        <f aca="false">IF($A196="","",COUNTIF(CASE!$B$3:$B$202,$A196))</f>
        <v/>
      </c>
      <c r="AE196" s="34" t="str">
        <f aca="false">IF(OR($I196="",$E196=""),"",$I196-$E196)</f>
        <v/>
      </c>
      <c r="AF196" s="34" t="str">
        <f aca="false">IF(OR($K196="",$I196=""),"",$K196-$I196)</f>
        <v/>
      </c>
      <c r="AG196" s="34" t="str">
        <f aca="false">IF(OR($L196="",$K196=""),"",$L196-$K196)</f>
        <v/>
      </c>
      <c r="AH196" s="34" t="str">
        <f aca="false">IF(OR($M196="",$L196=""),"",$M196-$L196)</f>
        <v/>
      </c>
      <c r="AI196" s="34" t="str">
        <f aca="false">IF(OR($P196="",$M196=""),"",$P196-$M196)</f>
        <v/>
      </c>
    </row>
    <row r="197" customFormat="false" ht="15" hidden="false" customHeight="false" outlineLevel="0" collapsed="false">
      <c r="A197" s="29"/>
      <c r="B197" s="29"/>
      <c r="C197" s="29"/>
      <c r="D197" s="30"/>
      <c r="E197" s="31"/>
      <c r="F197" s="32" t="str">
        <f aca="false">IF($E197="","",$E197+7*IFERROR(VLOOKUP($B197,DS!$K$2:$M$4,2,FALSE()),12))</f>
        <v/>
      </c>
      <c r="G197" s="32" t="str">
        <f aca="false">IF($E197="","",$E197+7*IFERROR(VLOOKUP($B197,DS!$K$2:$M$4,3,FALSE()),12))</f>
        <v/>
      </c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3" t="str">
        <f aca="false">IF($A197="","",IF($R197&lt;&gt;"","95 Hủy/hoàn",IF($Q197&lt;&gt;"","99 Đóng",IF($P197&lt;&gt;"","90 Đã giao",IF($O197&lt;&gt;"","80 Đang giao",IF($N197&lt;&gt;"","70 Thông quan",IF($M197&lt;&gt;"","60 Đã xuất",IF($L197&lt;&gt;"","50 QC đạt",IF($K197&lt;&gt;"","40 NCC đã gửi",IF($I197&lt;&gt;"","30 Đã đặt NCC",IF($H197&lt;&gt;"","20 Đã xác nhận","10 Mới")))))))))))</f>
        <v/>
      </c>
      <c r="U197" s="33" t="str">
        <f aca="false">IF($T197="","",IFERROR(VLOOKUP($T197,DS!$A$2:$B$12,2,FALSE()),""))</f>
        <v/>
      </c>
      <c r="V197" s="34" t="str">
        <f aca="true">IF(OR($T197="",LEFT($T197,2)="99",LEFT($T197,2)="95"),"",TODAY()-MAX($E197,$H197:$P197))</f>
        <v/>
      </c>
      <c r="W197" s="34" t="str">
        <f aca="true">IF(AND($E197&lt;&gt;"",$I197="",$R197=""),IF(TODAY()-$E197&gt;1,"⚑",""),"")</f>
        <v/>
      </c>
      <c r="X197" s="34" t="str">
        <f aca="true">IF(AND($J197&lt;&gt;"",$K197="",$R197=""),IF(TODAY()-$J197&gt;2,"⚑",""),"")</f>
        <v/>
      </c>
      <c r="Y197" s="34" t="str">
        <f aca="true">IF(AND($G197&lt;&gt;"",$M197="",$R197=""),IF(AND($G197-TODAY()&lt;=14,$G197&gt;=TODAY()),"⚑",""),"")</f>
        <v/>
      </c>
      <c r="Z197" s="34" t="str">
        <f aca="true">IF(AND($G197&lt;&gt;"",$P197="",$R197=""),IF(TODAY()&gt;$G197,"⚑",""),"")</f>
        <v/>
      </c>
      <c r="AA197" s="34" t="str">
        <f aca="true">IF(AND($E197&lt;&gt;"",$P197="",$R197=""),IF(TODAY()-MAX($E197,$H197,$M197,$S197)&gt;7,"⚑",""),"")</f>
        <v/>
      </c>
      <c r="AB197" s="34" t="str">
        <f aca="false">IF(OR($P197="",$G197=""),"",IF($P197&lt;=$G197,"Có","Không"))</f>
        <v/>
      </c>
      <c r="AC197" s="34" t="str">
        <f aca="false">IF(OR($P197="",$E197=""),"",$P197-$E197)</f>
        <v/>
      </c>
      <c r="AD197" s="35" t="str">
        <f aca="false">IF($A197="","",COUNTIF(CASE!$B$3:$B$202,$A197))</f>
        <v/>
      </c>
      <c r="AE197" s="34" t="str">
        <f aca="false">IF(OR($I197="",$E197=""),"",$I197-$E197)</f>
        <v/>
      </c>
      <c r="AF197" s="34" t="str">
        <f aca="false">IF(OR($K197="",$I197=""),"",$K197-$I197)</f>
        <v/>
      </c>
      <c r="AG197" s="34" t="str">
        <f aca="false">IF(OR($L197="",$K197=""),"",$L197-$K197)</f>
        <v/>
      </c>
      <c r="AH197" s="34" t="str">
        <f aca="false">IF(OR($M197="",$L197=""),"",$M197-$L197)</f>
        <v/>
      </c>
      <c r="AI197" s="34" t="str">
        <f aca="false">IF(OR($P197="",$M197=""),"",$P197-$M197)</f>
        <v/>
      </c>
    </row>
    <row r="198" customFormat="false" ht="15" hidden="false" customHeight="false" outlineLevel="0" collapsed="false">
      <c r="A198" s="29"/>
      <c r="B198" s="29"/>
      <c r="C198" s="29"/>
      <c r="D198" s="30"/>
      <c r="E198" s="31"/>
      <c r="F198" s="32" t="str">
        <f aca="false">IF($E198="","",$E198+7*IFERROR(VLOOKUP($B198,DS!$K$2:$M$4,2,FALSE()),12))</f>
        <v/>
      </c>
      <c r="G198" s="32" t="str">
        <f aca="false">IF($E198="","",$E198+7*IFERROR(VLOOKUP($B198,DS!$K$2:$M$4,3,FALSE()),12))</f>
        <v/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3" t="str">
        <f aca="false">IF($A198="","",IF($R198&lt;&gt;"","95 Hủy/hoàn",IF($Q198&lt;&gt;"","99 Đóng",IF($P198&lt;&gt;"","90 Đã giao",IF($O198&lt;&gt;"","80 Đang giao",IF($N198&lt;&gt;"","70 Thông quan",IF($M198&lt;&gt;"","60 Đã xuất",IF($L198&lt;&gt;"","50 QC đạt",IF($K198&lt;&gt;"","40 NCC đã gửi",IF($I198&lt;&gt;"","30 Đã đặt NCC",IF($H198&lt;&gt;"","20 Đã xác nhận","10 Mới")))))))))))</f>
        <v/>
      </c>
      <c r="U198" s="33" t="str">
        <f aca="false">IF($T198="","",IFERROR(VLOOKUP($T198,DS!$A$2:$B$12,2,FALSE()),""))</f>
        <v/>
      </c>
      <c r="V198" s="34" t="str">
        <f aca="true">IF(OR($T198="",LEFT($T198,2)="99",LEFT($T198,2)="95"),"",TODAY()-MAX($E198,$H198:$P198))</f>
        <v/>
      </c>
      <c r="W198" s="34" t="str">
        <f aca="true">IF(AND($E198&lt;&gt;"",$I198="",$R198=""),IF(TODAY()-$E198&gt;1,"⚑",""),"")</f>
        <v/>
      </c>
      <c r="X198" s="34" t="str">
        <f aca="true">IF(AND($J198&lt;&gt;"",$K198="",$R198=""),IF(TODAY()-$J198&gt;2,"⚑",""),"")</f>
        <v/>
      </c>
      <c r="Y198" s="34" t="str">
        <f aca="true">IF(AND($G198&lt;&gt;"",$M198="",$R198=""),IF(AND($G198-TODAY()&lt;=14,$G198&gt;=TODAY()),"⚑",""),"")</f>
        <v/>
      </c>
      <c r="Z198" s="34" t="str">
        <f aca="true">IF(AND($G198&lt;&gt;"",$P198="",$R198=""),IF(TODAY()&gt;$G198,"⚑",""),"")</f>
        <v/>
      </c>
      <c r="AA198" s="34" t="str">
        <f aca="true">IF(AND($E198&lt;&gt;"",$P198="",$R198=""),IF(TODAY()-MAX($E198,$H198,$M198,$S198)&gt;7,"⚑",""),"")</f>
        <v/>
      </c>
      <c r="AB198" s="34" t="str">
        <f aca="false">IF(OR($P198="",$G198=""),"",IF($P198&lt;=$G198,"Có","Không"))</f>
        <v/>
      </c>
      <c r="AC198" s="34" t="str">
        <f aca="false">IF(OR($P198="",$E198=""),"",$P198-$E198)</f>
        <v/>
      </c>
      <c r="AD198" s="35" t="str">
        <f aca="false">IF($A198="","",COUNTIF(CASE!$B$3:$B$202,$A198))</f>
        <v/>
      </c>
      <c r="AE198" s="34" t="str">
        <f aca="false">IF(OR($I198="",$E198=""),"",$I198-$E198)</f>
        <v/>
      </c>
      <c r="AF198" s="34" t="str">
        <f aca="false">IF(OR($K198="",$I198=""),"",$K198-$I198)</f>
        <v/>
      </c>
      <c r="AG198" s="34" t="str">
        <f aca="false">IF(OR($L198="",$K198=""),"",$L198-$K198)</f>
        <v/>
      </c>
      <c r="AH198" s="34" t="str">
        <f aca="false">IF(OR($M198="",$L198=""),"",$M198-$L198)</f>
        <v/>
      </c>
      <c r="AI198" s="34" t="str">
        <f aca="false">IF(OR($P198="",$M198=""),"",$P198-$M198)</f>
        <v/>
      </c>
    </row>
    <row r="199" customFormat="false" ht="15" hidden="false" customHeight="false" outlineLevel="0" collapsed="false">
      <c r="A199" s="29"/>
      <c r="B199" s="29"/>
      <c r="C199" s="29"/>
      <c r="D199" s="30"/>
      <c r="E199" s="31"/>
      <c r="F199" s="32" t="str">
        <f aca="false">IF($E199="","",$E199+7*IFERROR(VLOOKUP($B199,DS!$K$2:$M$4,2,FALSE()),12))</f>
        <v/>
      </c>
      <c r="G199" s="32" t="str">
        <f aca="false">IF($E199="","",$E199+7*IFERROR(VLOOKUP($B199,DS!$K$2:$M$4,3,FALSE()),12))</f>
        <v/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3" t="str">
        <f aca="false">IF($A199="","",IF($R199&lt;&gt;"","95 Hủy/hoàn",IF($Q199&lt;&gt;"","99 Đóng",IF($P199&lt;&gt;"","90 Đã giao",IF($O199&lt;&gt;"","80 Đang giao",IF($N199&lt;&gt;"","70 Thông quan",IF($M199&lt;&gt;"","60 Đã xuất",IF($L199&lt;&gt;"","50 QC đạt",IF($K199&lt;&gt;"","40 NCC đã gửi",IF($I199&lt;&gt;"","30 Đã đặt NCC",IF($H199&lt;&gt;"","20 Đã xác nhận","10 Mới")))))))))))</f>
        <v/>
      </c>
      <c r="U199" s="33" t="str">
        <f aca="false">IF($T199="","",IFERROR(VLOOKUP($T199,DS!$A$2:$B$12,2,FALSE()),""))</f>
        <v/>
      </c>
      <c r="V199" s="34" t="str">
        <f aca="true">IF(OR($T199="",LEFT($T199,2)="99",LEFT($T199,2)="95"),"",TODAY()-MAX($E199,$H199:$P199))</f>
        <v/>
      </c>
      <c r="W199" s="34" t="str">
        <f aca="true">IF(AND($E199&lt;&gt;"",$I199="",$R199=""),IF(TODAY()-$E199&gt;1,"⚑",""),"")</f>
        <v/>
      </c>
      <c r="X199" s="34" t="str">
        <f aca="true">IF(AND($J199&lt;&gt;"",$K199="",$R199=""),IF(TODAY()-$J199&gt;2,"⚑",""),"")</f>
        <v/>
      </c>
      <c r="Y199" s="34" t="str">
        <f aca="true">IF(AND($G199&lt;&gt;"",$M199="",$R199=""),IF(AND($G199-TODAY()&lt;=14,$G199&gt;=TODAY()),"⚑",""),"")</f>
        <v/>
      </c>
      <c r="Z199" s="34" t="str">
        <f aca="true">IF(AND($G199&lt;&gt;"",$P199="",$R199=""),IF(TODAY()&gt;$G199,"⚑",""),"")</f>
        <v/>
      </c>
      <c r="AA199" s="34" t="str">
        <f aca="true">IF(AND($E199&lt;&gt;"",$P199="",$R199=""),IF(TODAY()-MAX($E199,$H199,$M199,$S199)&gt;7,"⚑",""),"")</f>
        <v/>
      </c>
      <c r="AB199" s="34" t="str">
        <f aca="false">IF(OR($P199="",$G199=""),"",IF($P199&lt;=$G199,"Có","Không"))</f>
        <v/>
      </c>
      <c r="AC199" s="34" t="str">
        <f aca="false">IF(OR($P199="",$E199=""),"",$P199-$E199)</f>
        <v/>
      </c>
      <c r="AD199" s="35" t="str">
        <f aca="false">IF($A199="","",COUNTIF(CASE!$B$3:$B$202,$A199))</f>
        <v/>
      </c>
      <c r="AE199" s="34" t="str">
        <f aca="false">IF(OR($I199="",$E199=""),"",$I199-$E199)</f>
        <v/>
      </c>
      <c r="AF199" s="34" t="str">
        <f aca="false">IF(OR($K199="",$I199=""),"",$K199-$I199)</f>
        <v/>
      </c>
      <c r="AG199" s="34" t="str">
        <f aca="false">IF(OR($L199="",$K199=""),"",$L199-$K199)</f>
        <v/>
      </c>
      <c r="AH199" s="34" t="str">
        <f aca="false">IF(OR($M199="",$L199=""),"",$M199-$L199)</f>
        <v/>
      </c>
      <c r="AI199" s="34" t="str">
        <f aca="false">IF(OR($P199="",$M199=""),"",$P199-$M199)</f>
        <v/>
      </c>
    </row>
    <row r="200" customFormat="false" ht="15" hidden="false" customHeight="false" outlineLevel="0" collapsed="false">
      <c r="A200" s="29"/>
      <c r="B200" s="29"/>
      <c r="C200" s="29"/>
      <c r="D200" s="30"/>
      <c r="E200" s="31"/>
      <c r="F200" s="32" t="str">
        <f aca="false">IF($E200="","",$E200+7*IFERROR(VLOOKUP($B200,DS!$K$2:$M$4,2,FALSE()),12))</f>
        <v/>
      </c>
      <c r="G200" s="32" t="str">
        <f aca="false">IF($E200="","",$E200+7*IFERROR(VLOOKUP($B200,DS!$K$2:$M$4,3,FALSE()),12))</f>
        <v/>
      </c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3" t="str">
        <f aca="false">IF($A200="","",IF($R200&lt;&gt;"","95 Hủy/hoàn",IF($Q200&lt;&gt;"","99 Đóng",IF($P200&lt;&gt;"","90 Đã giao",IF($O200&lt;&gt;"","80 Đang giao",IF($N200&lt;&gt;"","70 Thông quan",IF($M200&lt;&gt;"","60 Đã xuất",IF($L200&lt;&gt;"","50 QC đạt",IF($K200&lt;&gt;"","40 NCC đã gửi",IF($I200&lt;&gt;"","30 Đã đặt NCC",IF($H200&lt;&gt;"","20 Đã xác nhận","10 Mới")))))))))))</f>
        <v/>
      </c>
      <c r="U200" s="33" t="str">
        <f aca="false">IF($T200="","",IFERROR(VLOOKUP($T200,DS!$A$2:$B$12,2,FALSE()),""))</f>
        <v/>
      </c>
      <c r="V200" s="34" t="str">
        <f aca="true">IF(OR($T200="",LEFT($T200,2)="99",LEFT($T200,2)="95"),"",TODAY()-MAX($E200,$H200:$P200))</f>
        <v/>
      </c>
      <c r="W200" s="34" t="str">
        <f aca="true">IF(AND($E200&lt;&gt;"",$I200="",$R200=""),IF(TODAY()-$E200&gt;1,"⚑",""),"")</f>
        <v/>
      </c>
      <c r="X200" s="34" t="str">
        <f aca="true">IF(AND($J200&lt;&gt;"",$K200="",$R200=""),IF(TODAY()-$J200&gt;2,"⚑",""),"")</f>
        <v/>
      </c>
      <c r="Y200" s="34" t="str">
        <f aca="true">IF(AND($G200&lt;&gt;"",$M200="",$R200=""),IF(AND($G200-TODAY()&lt;=14,$G200&gt;=TODAY()),"⚑",""),"")</f>
        <v/>
      </c>
      <c r="Z200" s="34" t="str">
        <f aca="true">IF(AND($G200&lt;&gt;"",$P200="",$R200=""),IF(TODAY()&gt;$G200,"⚑",""),"")</f>
        <v/>
      </c>
      <c r="AA200" s="34" t="str">
        <f aca="true">IF(AND($E200&lt;&gt;"",$P200="",$R200=""),IF(TODAY()-MAX($E200,$H200,$M200,$S200)&gt;7,"⚑",""),"")</f>
        <v/>
      </c>
      <c r="AB200" s="34" t="str">
        <f aca="false">IF(OR($P200="",$G200=""),"",IF($P200&lt;=$G200,"Có","Không"))</f>
        <v/>
      </c>
      <c r="AC200" s="34" t="str">
        <f aca="false">IF(OR($P200="",$E200=""),"",$P200-$E200)</f>
        <v/>
      </c>
      <c r="AD200" s="35" t="str">
        <f aca="false">IF($A200="","",COUNTIF(CASE!$B$3:$B$202,$A200))</f>
        <v/>
      </c>
      <c r="AE200" s="34" t="str">
        <f aca="false">IF(OR($I200="",$E200=""),"",$I200-$E200)</f>
        <v/>
      </c>
      <c r="AF200" s="34" t="str">
        <f aca="false">IF(OR($K200="",$I200=""),"",$K200-$I200)</f>
        <v/>
      </c>
      <c r="AG200" s="34" t="str">
        <f aca="false">IF(OR($L200="",$K200=""),"",$L200-$K200)</f>
        <v/>
      </c>
      <c r="AH200" s="34" t="str">
        <f aca="false">IF(OR($M200="",$L200=""),"",$M200-$L200)</f>
        <v/>
      </c>
      <c r="AI200" s="34" t="str">
        <f aca="false">IF(OR($P200="",$M200=""),"",$P200-$M200)</f>
        <v/>
      </c>
    </row>
    <row r="201" customFormat="false" ht="15" hidden="false" customHeight="false" outlineLevel="0" collapsed="false">
      <c r="A201" s="29"/>
      <c r="B201" s="29"/>
      <c r="C201" s="29"/>
      <c r="D201" s="30"/>
      <c r="E201" s="31"/>
      <c r="F201" s="32" t="str">
        <f aca="false">IF($E201="","",$E201+7*IFERROR(VLOOKUP($B201,DS!$K$2:$M$4,2,FALSE()),12))</f>
        <v/>
      </c>
      <c r="G201" s="32" t="str">
        <f aca="false">IF($E201="","",$E201+7*IFERROR(VLOOKUP($B201,DS!$K$2:$M$4,3,FALSE()),12))</f>
        <v/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3" t="str">
        <f aca="false">IF($A201="","",IF($R201&lt;&gt;"","95 Hủy/hoàn",IF($Q201&lt;&gt;"","99 Đóng",IF($P201&lt;&gt;"","90 Đã giao",IF($O201&lt;&gt;"","80 Đang giao",IF($N201&lt;&gt;"","70 Thông quan",IF($M201&lt;&gt;"","60 Đã xuất",IF($L201&lt;&gt;"","50 QC đạt",IF($K201&lt;&gt;"","40 NCC đã gửi",IF($I201&lt;&gt;"","30 Đã đặt NCC",IF($H201&lt;&gt;"","20 Đã xác nhận","10 Mới")))))))))))</f>
        <v/>
      </c>
      <c r="U201" s="33" t="str">
        <f aca="false">IF($T201="","",IFERROR(VLOOKUP($T201,DS!$A$2:$B$12,2,FALSE()),""))</f>
        <v/>
      </c>
      <c r="V201" s="34" t="str">
        <f aca="true">IF(OR($T201="",LEFT($T201,2)="99",LEFT($T201,2)="95"),"",TODAY()-MAX($E201,$H201:$P201))</f>
        <v/>
      </c>
      <c r="W201" s="34" t="str">
        <f aca="true">IF(AND($E201&lt;&gt;"",$I201="",$R201=""),IF(TODAY()-$E201&gt;1,"⚑",""),"")</f>
        <v/>
      </c>
      <c r="X201" s="34" t="str">
        <f aca="true">IF(AND($J201&lt;&gt;"",$K201="",$R201=""),IF(TODAY()-$J201&gt;2,"⚑",""),"")</f>
        <v/>
      </c>
      <c r="Y201" s="34" t="str">
        <f aca="true">IF(AND($G201&lt;&gt;"",$M201="",$R201=""),IF(AND($G201-TODAY()&lt;=14,$G201&gt;=TODAY()),"⚑",""),"")</f>
        <v/>
      </c>
      <c r="Z201" s="34" t="str">
        <f aca="true">IF(AND($G201&lt;&gt;"",$P201="",$R201=""),IF(TODAY()&gt;$G201,"⚑",""),"")</f>
        <v/>
      </c>
      <c r="AA201" s="34" t="str">
        <f aca="true">IF(AND($E201&lt;&gt;"",$P201="",$R201=""),IF(TODAY()-MAX($E201,$H201,$M201,$S201)&gt;7,"⚑",""),"")</f>
        <v/>
      </c>
      <c r="AB201" s="34" t="str">
        <f aca="false">IF(OR($P201="",$G201=""),"",IF($P201&lt;=$G201,"Có","Không"))</f>
        <v/>
      </c>
      <c r="AC201" s="34" t="str">
        <f aca="false">IF(OR($P201="",$E201=""),"",$P201-$E201)</f>
        <v/>
      </c>
      <c r="AD201" s="35" t="str">
        <f aca="false">IF($A201="","",COUNTIF(CASE!$B$3:$B$202,$A201))</f>
        <v/>
      </c>
      <c r="AE201" s="34" t="str">
        <f aca="false">IF(OR($I201="",$E201=""),"",$I201-$E201)</f>
        <v/>
      </c>
      <c r="AF201" s="34" t="str">
        <f aca="false">IF(OR($K201="",$I201=""),"",$K201-$I201)</f>
        <v/>
      </c>
      <c r="AG201" s="34" t="str">
        <f aca="false">IF(OR($L201="",$K201=""),"",$L201-$K201)</f>
        <v/>
      </c>
      <c r="AH201" s="34" t="str">
        <f aca="false">IF(OR($M201="",$L201=""),"",$M201-$L201)</f>
        <v/>
      </c>
      <c r="AI201" s="34" t="str">
        <f aca="false">IF(OR($P201="",$M201=""),"",$P201-$M201)</f>
        <v/>
      </c>
    </row>
    <row r="202" customFormat="false" ht="15" hidden="false" customHeight="false" outlineLevel="0" collapsed="false">
      <c r="A202" s="29"/>
      <c r="B202" s="29"/>
      <c r="C202" s="29"/>
      <c r="D202" s="30"/>
      <c r="E202" s="31"/>
      <c r="F202" s="32" t="str">
        <f aca="false">IF($E202="","",$E202+7*IFERROR(VLOOKUP($B202,DS!$K$2:$M$4,2,FALSE()),12))</f>
        <v/>
      </c>
      <c r="G202" s="32" t="str">
        <f aca="false">IF($E202="","",$E202+7*IFERROR(VLOOKUP($B202,DS!$K$2:$M$4,3,FALSE()),12))</f>
        <v/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3" t="str">
        <f aca="false">IF($A202="","",IF($R202&lt;&gt;"","95 Hủy/hoàn",IF($Q202&lt;&gt;"","99 Đóng",IF($P202&lt;&gt;"","90 Đã giao",IF($O202&lt;&gt;"","80 Đang giao",IF($N202&lt;&gt;"","70 Thông quan",IF($M202&lt;&gt;"","60 Đã xuất",IF($L202&lt;&gt;"","50 QC đạt",IF($K202&lt;&gt;"","40 NCC đã gửi",IF($I202&lt;&gt;"","30 Đã đặt NCC",IF($H202&lt;&gt;"","20 Đã xác nhận","10 Mới")))))))))))</f>
        <v/>
      </c>
      <c r="U202" s="33" t="str">
        <f aca="false">IF($T202="","",IFERROR(VLOOKUP($T202,DS!$A$2:$B$12,2,FALSE()),""))</f>
        <v/>
      </c>
      <c r="V202" s="34" t="str">
        <f aca="true">IF(OR($T202="",LEFT($T202,2)="99",LEFT($T202,2)="95"),"",TODAY()-MAX($E202,$H202:$P202))</f>
        <v/>
      </c>
      <c r="W202" s="34" t="str">
        <f aca="true">IF(AND($E202&lt;&gt;"",$I202="",$R202=""),IF(TODAY()-$E202&gt;1,"⚑",""),"")</f>
        <v/>
      </c>
      <c r="X202" s="34" t="str">
        <f aca="true">IF(AND($J202&lt;&gt;"",$K202="",$R202=""),IF(TODAY()-$J202&gt;2,"⚑",""),"")</f>
        <v/>
      </c>
      <c r="Y202" s="34" t="str">
        <f aca="true">IF(AND($G202&lt;&gt;"",$M202="",$R202=""),IF(AND($G202-TODAY()&lt;=14,$G202&gt;=TODAY()),"⚑",""),"")</f>
        <v/>
      </c>
      <c r="Z202" s="34" t="str">
        <f aca="true">IF(AND($G202&lt;&gt;"",$P202="",$R202=""),IF(TODAY()&gt;$G202,"⚑",""),"")</f>
        <v/>
      </c>
      <c r="AA202" s="34" t="str">
        <f aca="true">IF(AND($E202&lt;&gt;"",$P202="",$R202=""),IF(TODAY()-MAX($E202,$H202,$M202,$S202)&gt;7,"⚑",""),"")</f>
        <v/>
      </c>
      <c r="AB202" s="34" t="str">
        <f aca="false">IF(OR($P202="",$G202=""),"",IF($P202&lt;=$G202,"Có","Không"))</f>
        <v/>
      </c>
      <c r="AC202" s="34" t="str">
        <f aca="false">IF(OR($P202="",$E202=""),"",$P202-$E202)</f>
        <v/>
      </c>
      <c r="AD202" s="35" t="str">
        <f aca="false">IF($A202="","",COUNTIF(CASE!$B$3:$B$202,$A202))</f>
        <v/>
      </c>
      <c r="AE202" s="34" t="str">
        <f aca="false">IF(OR($I202="",$E202=""),"",$I202-$E202)</f>
        <v/>
      </c>
      <c r="AF202" s="34" t="str">
        <f aca="false">IF(OR($K202="",$I202=""),"",$K202-$I202)</f>
        <v/>
      </c>
      <c r="AG202" s="34" t="str">
        <f aca="false">IF(OR($L202="",$K202=""),"",$L202-$K202)</f>
        <v/>
      </c>
      <c r="AH202" s="34" t="str">
        <f aca="false">IF(OR($M202="",$L202=""),"",$M202-$L202)</f>
        <v/>
      </c>
      <c r="AI202" s="34" t="str">
        <f aca="false">IF(OR($P202="",$M202=""),"",$P202-$M202)</f>
        <v/>
      </c>
    </row>
    <row r="203" customFormat="false" ht="15" hidden="false" customHeight="false" outlineLevel="0" collapsed="false">
      <c r="A203" s="29"/>
      <c r="B203" s="29"/>
      <c r="C203" s="29"/>
      <c r="D203" s="30"/>
      <c r="E203" s="31"/>
      <c r="F203" s="32" t="str">
        <f aca="false">IF($E203="","",$E203+7*IFERROR(VLOOKUP($B203,DS!$K$2:$M$4,2,FALSE()),12))</f>
        <v/>
      </c>
      <c r="G203" s="32" t="str">
        <f aca="false">IF($E203="","",$E203+7*IFERROR(VLOOKUP($B203,DS!$K$2:$M$4,3,FALSE()),12))</f>
        <v/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3" t="str">
        <f aca="false">IF($A203="","",IF($R203&lt;&gt;"","95 Hủy/hoàn",IF($Q203&lt;&gt;"","99 Đóng",IF($P203&lt;&gt;"","90 Đã giao",IF($O203&lt;&gt;"","80 Đang giao",IF($N203&lt;&gt;"","70 Thông quan",IF($M203&lt;&gt;"","60 Đã xuất",IF($L203&lt;&gt;"","50 QC đạt",IF($K203&lt;&gt;"","40 NCC đã gửi",IF($I203&lt;&gt;"","30 Đã đặt NCC",IF($H203&lt;&gt;"","20 Đã xác nhận","10 Mới")))))))))))</f>
        <v/>
      </c>
      <c r="U203" s="33" t="str">
        <f aca="false">IF($T203="","",IFERROR(VLOOKUP($T203,DS!$A$2:$B$12,2,FALSE()),""))</f>
        <v/>
      </c>
      <c r="V203" s="34" t="str">
        <f aca="true">IF(OR($T203="",LEFT($T203,2)="99",LEFT($T203,2)="95"),"",TODAY()-MAX($E203,$H203:$P203))</f>
        <v/>
      </c>
      <c r="W203" s="34" t="str">
        <f aca="true">IF(AND($E203&lt;&gt;"",$I203="",$R203=""),IF(TODAY()-$E203&gt;1,"⚑",""),"")</f>
        <v/>
      </c>
      <c r="X203" s="34" t="str">
        <f aca="true">IF(AND($J203&lt;&gt;"",$K203="",$R203=""),IF(TODAY()-$J203&gt;2,"⚑",""),"")</f>
        <v/>
      </c>
      <c r="Y203" s="34" t="str">
        <f aca="true">IF(AND($G203&lt;&gt;"",$M203="",$R203=""),IF(AND($G203-TODAY()&lt;=14,$G203&gt;=TODAY()),"⚑",""),"")</f>
        <v/>
      </c>
      <c r="Z203" s="34" t="str">
        <f aca="true">IF(AND($G203&lt;&gt;"",$P203="",$R203=""),IF(TODAY()&gt;$G203,"⚑",""),"")</f>
        <v/>
      </c>
      <c r="AA203" s="34" t="str">
        <f aca="true">IF(AND($E203&lt;&gt;"",$P203="",$R203=""),IF(TODAY()-MAX($E203,$H203,$M203,$S203)&gt;7,"⚑",""),"")</f>
        <v/>
      </c>
      <c r="AB203" s="34" t="str">
        <f aca="false">IF(OR($P203="",$G203=""),"",IF($P203&lt;=$G203,"Có","Không"))</f>
        <v/>
      </c>
      <c r="AC203" s="34" t="str">
        <f aca="false">IF(OR($P203="",$E203=""),"",$P203-$E203)</f>
        <v/>
      </c>
      <c r="AD203" s="35" t="str">
        <f aca="false">IF($A203="","",COUNTIF(CASE!$B$3:$B$202,$A203))</f>
        <v/>
      </c>
      <c r="AE203" s="34" t="str">
        <f aca="false">IF(OR($I203="",$E203=""),"",$I203-$E203)</f>
        <v/>
      </c>
      <c r="AF203" s="34" t="str">
        <f aca="false">IF(OR($K203="",$I203=""),"",$K203-$I203)</f>
        <v/>
      </c>
      <c r="AG203" s="34" t="str">
        <f aca="false">IF(OR($L203="",$K203=""),"",$L203-$K203)</f>
        <v/>
      </c>
      <c r="AH203" s="34" t="str">
        <f aca="false">IF(OR($M203="",$L203=""),"",$M203-$L203)</f>
        <v/>
      </c>
      <c r="AI203" s="34" t="str">
        <f aca="false">IF(OR($P203="",$M203=""),"",$P203-$M203)</f>
        <v/>
      </c>
    </row>
    <row r="204" customFormat="false" ht="15" hidden="false" customHeight="false" outlineLevel="0" collapsed="false">
      <c r="A204" s="29"/>
      <c r="B204" s="29"/>
      <c r="C204" s="29"/>
      <c r="D204" s="30"/>
      <c r="E204" s="31"/>
      <c r="F204" s="32" t="str">
        <f aca="false">IF($E204="","",$E204+7*IFERROR(VLOOKUP($B204,DS!$K$2:$M$4,2,FALSE()),12))</f>
        <v/>
      </c>
      <c r="G204" s="32" t="str">
        <f aca="false">IF($E204="","",$E204+7*IFERROR(VLOOKUP($B204,DS!$K$2:$M$4,3,FALSE()),12))</f>
        <v/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3" t="str">
        <f aca="false">IF($A204="","",IF($R204&lt;&gt;"","95 Hủy/hoàn",IF($Q204&lt;&gt;"","99 Đóng",IF($P204&lt;&gt;"","90 Đã giao",IF($O204&lt;&gt;"","80 Đang giao",IF($N204&lt;&gt;"","70 Thông quan",IF($M204&lt;&gt;"","60 Đã xuất",IF($L204&lt;&gt;"","50 QC đạt",IF($K204&lt;&gt;"","40 NCC đã gửi",IF($I204&lt;&gt;"","30 Đã đặt NCC",IF($H204&lt;&gt;"","20 Đã xác nhận","10 Mới")))))))))))</f>
        <v/>
      </c>
      <c r="U204" s="33" t="str">
        <f aca="false">IF($T204="","",IFERROR(VLOOKUP($T204,DS!$A$2:$B$12,2,FALSE()),""))</f>
        <v/>
      </c>
      <c r="V204" s="34" t="str">
        <f aca="true">IF(OR($T204="",LEFT($T204,2)="99",LEFT($T204,2)="95"),"",TODAY()-MAX($E204,$H204:$P204))</f>
        <v/>
      </c>
      <c r="W204" s="34" t="str">
        <f aca="true">IF(AND($E204&lt;&gt;"",$I204="",$R204=""),IF(TODAY()-$E204&gt;1,"⚑",""),"")</f>
        <v/>
      </c>
      <c r="X204" s="34" t="str">
        <f aca="true">IF(AND($J204&lt;&gt;"",$K204="",$R204=""),IF(TODAY()-$J204&gt;2,"⚑",""),"")</f>
        <v/>
      </c>
      <c r="Y204" s="34" t="str">
        <f aca="true">IF(AND($G204&lt;&gt;"",$M204="",$R204=""),IF(AND($G204-TODAY()&lt;=14,$G204&gt;=TODAY()),"⚑",""),"")</f>
        <v/>
      </c>
      <c r="Z204" s="34" t="str">
        <f aca="true">IF(AND($G204&lt;&gt;"",$P204="",$R204=""),IF(TODAY()&gt;$G204,"⚑",""),"")</f>
        <v/>
      </c>
      <c r="AA204" s="34" t="str">
        <f aca="true">IF(AND($E204&lt;&gt;"",$P204="",$R204=""),IF(TODAY()-MAX($E204,$H204,$M204,$S204)&gt;7,"⚑",""),"")</f>
        <v/>
      </c>
      <c r="AB204" s="34" t="str">
        <f aca="false">IF(OR($P204="",$G204=""),"",IF($P204&lt;=$G204,"Có","Không"))</f>
        <v/>
      </c>
      <c r="AC204" s="34" t="str">
        <f aca="false">IF(OR($P204="",$E204=""),"",$P204-$E204)</f>
        <v/>
      </c>
      <c r="AD204" s="35" t="str">
        <f aca="false">IF($A204="","",COUNTIF(CASE!$B$3:$B$202,$A204))</f>
        <v/>
      </c>
      <c r="AE204" s="34" t="str">
        <f aca="false">IF(OR($I204="",$E204=""),"",$I204-$E204)</f>
        <v/>
      </c>
      <c r="AF204" s="34" t="str">
        <f aca="false">IF(OR($K204="",$I204=""),"",$K204-$I204)</f>
        <v/>
      </c>
      <c r="AG204" s="34" t="str">
        <f aca="false">IF(OR($L204="",$K204=""),"",$L204-$K204)</f>
        <v/>
      </c>
      <c r="AH204" s="34" t="str">
        <f aca="false">IF(OR($M204="",$L204=""),"",$M204-$L204)</f>
        <v/>
      </c>
      <c r="AI204" s="34" t="str">
        <f aca="false">IF(OR($P204="",$M204=""),"",$P204-$M204)</f>
        <v/>
      </c>
    </row>
    <row r="205" customFormat="false" ht="15" hidden="false" customHeight="false" outlineLevel="0" collapsed="false">
      <c r="A205" s="29"/>
      <c r="B205" s="29"/>
      <c r="C205" s="29"/>
      <c r="D205" s="30"/>
      <c r="E205" s="31"/>
      <c r="F205" s="32" t="str">
        <f aca="false">IF($E205="","",$E205+7*IFERROR(VLOOKUP($B205,DS!$K$2:$M$4,2,FALSE()),12))</f>
        <v/>
      </c>
      <c r="G205" s="32" t="str">
        <f aca="false">IF($E205="","",$E205+7*IFERROR(VLOOKUP($B205,DS!$K$2:$M$4,3,FALSE()),12))</f>
        <v/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3" t="str">
        <f aca="false">IF($A205="","",IF($R205&lt;&gt;"","95 Hủy/hoàn",IF($Q205&lt;&gt;"","99 Đóng",IF($P205&lt;&gt;"","90 Đã giao",IF($O205&lt;&gt;"","80 Đang giao",IF($N205&lt;&gt;"","70 Thông quan",IF($M205&lt;&gt;"","60 Đã xuất",IF($L205&lt;&gt;"","50 QC đạt",IF($K205&lt;&gt;"","40 NCC đã gửi",IF($I205&lt;&gt;"","30 Đã đặt NCC",IF($H205&lt;&gt;"","20 Đã xác nhận","10 Mới")))))))))))</f>
        <v/>
      </c>
      <c r="U205" s="33" t="str">
        <f aca="false">IF($T205="","",IFERROR(VLOOKUP($T205,DS!$A$2:$B$12,2,FALSE()),""))</f>
        <v/>
      </c>
      <c r="V205" s="34" t="str">
        <f aca="true">IF(OR($T205="",LEFT($T205,2)="99",LEFT($T205,2)="95"),"",TODAY()-MAX($E205,$H205:$P205))</f>
        <v/>
      </c>
      <c r="W205" s="34" t="str">
        <f aca="true">IF(AND($E205&lt;&gt;"",$I205="",$R205=""),IF(TODAY()-$E205&gt;1,"⚑",""),"")</f>
        <v/>
      </c>
      <c r="X205" s="34" t="str">
        <f aca="true">IF(AND($J205&lt;&gt;"",$K205="",$R205=""),IF(TODAY()-$J205&gt;2,"⚑",""),"")</f>
        <v/>
      </c>
      <c r="Y205" s="34" t="str">
        <f aca="true">IF(AND($G205&lt;&gt;"",$M205="",$R205=""),IF(AND($G205-TODAY()&lt;=14,$G205&gt;=TODAY()),"⚑",""),"")</f>
        <v/>
      </c>
      <c r="Z205" s="34" t="str">
        <f aca="true">IF(AND($G205&lt;&gt;"",$P205="",$R205=""),IF(TODAY()&gt;$G205,"⚑",""),"")</f>
        <v/>
      </c>
      <c r="AA205" s="34" t="str">
        <f aca="true">IF(AND($E205&lt;&gt;"",$P205="",$R205=""),IF(TODAY()-MAX($E205,$H205,$M205,$S205)&gt;7,"⚑",""),"")</f>
        <v/>
      </c>
      <c r="AB205" s="34" t="str">
        <f aca="false">IF(OR($P205="",$G205=""),"",IF($P205&lt;=$G205,"Có","Không"))</f>
        <v/>
      </c>
      <c r="AC205" s="34" t="str">
        <f aca="false">IF(OR($P205="",$E205=""),"",$P205-$E205)</f>
        <v/>
      </c>
      <c r="AD205" s="35" t="str">
        <f aca="false">IF($A205="","",COUNTIF(CASE!$B$3:$B$202,$A205))</f>
        <v/>
      </c>
      <c r="AE205" s="34" t="str">
        <f aca="false">IF(OR($I205="",$E205=""),"",$I205-$E205)</f>
        <v/>
      </c>
      <c r="AF205" s="34" t="str">
        <f aca="false">IF(OR($K205="",$I205=""),"",$K205-$I205)</f>
        <v/>
      </c>
      <c r="AG205" s="34" t="str">
        <f aca="false">IF(OR($L205="",$K205=""),"",$L205-$K205)</f>
        <v/>
      </c>
      <c r="AH205" s="34" t="str">
        <f aca="false">IF(OR($M205="",$L205=""),"",$M205-$L205)</f>
        <v/>
      </c>
      <c r="AI205" s="34" t="str">
        <f aca="false">IF(OR($P205="",$M205=""),"",$P205-$M205)</f>
        <v/>
      </c>
    </row>
    <row r="206" customFormat="false" ht="15" hidden="false" customHeight="false" outlineLevel="0" collapsed="false">
      <c r="A206" s="29"/>
      <c r="B206" s="29"/>
      <c r="C206" s="29"/>
      <c r="D206" s="30"/>
      <c r="E206" s="31"/>
      <c r="F206" s="32" t="str">
        <f aca="false">IF($E206="","",$E206+7*IFERROR(VLOOKUP($B206,DS!$K$2:$M$4,2,FALSE()),12))</f>
        <v/>
      </c>
      <c r="G206" s="32" t="str">
        <f aca="false">IF($E206="","",$E206+7*IFERROR(VLOOKUP($B206,DS!$K$2:$M$4,3,FALSE()),12))</f>
        <v/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3" t="str">
        <f aca="false">IF($A206="","",IF($R206&lt;&gt;"","95 Hủy/hoàn",IF($Q206&lt;&gt;"","99 Đóng",IF($P206&lt;&gt;"","90 Đã giao",IF($O206&lt;&gt;"","80 Đang giao",IF($N206&lt;&gt;"","70 Thông quan",IF($M206&lt;&gt;"","60 Đã xuất",IF($L206&lt;&gt;"","50 QC đạt",IF($K206&lt;&gt;"","40 NCC đã gửi",IF($I206&lt;&gt;"","30 Đã đặt NCC",IF($H206&lt;&gt;"","20 Đã xác nhận","10 Mới")))))))))))</f>
        <v/>
      </c>
      <c r="U206" s="33" t="str">
        <f aca="false">IF($T206="","",IFERROR(VLOOKUP($T206,DS!$A$2:$B$12,2,FALSE()),""))</f>
        <v/>
      </c>
      <c r="V206" s="34" t="str">
        <f aca="true">IF(OR($T206="",LEFT($T206,2)="99",LEFT($T206,2)="95"),"",TODAY()-MAX($E206,$H206:$P206))</f>
        <v/>
      </c>
      <c r="W206" s="34" t="str">
        <f aca="true">IF(AND($E206&lt;&gt;"",$I206="",$R206=""),IF(TODAY()-$E206&gt;1,"⚑",""),"")</f>
        <v/>
      </c>
      <c r="X206" s="34" t="str">
        <f aca="true">IF(AND($J206&lt;&gt;"",$K206="",$R206=""),IF(TODAY()-$J206&gt;2,"⚑",""),"")</f>
        <v/>
      </c>
      <c r="Y206" s="34" t="str">
        <f aca="true">IF(AND($G206&lt;&gt;"",$M206="",$R206=""),IF(AND($G206-TODAY()&lt;=14,$G206&gt;=TODAY()),"⚑",""),"")</f>
        <v/>
      </c>
      <c r="Z206" s="34" t="str">
        <f aca="true">IF(AND($G206&lt;&gt;"",$P206="",$R206=""),IF(TODAY()&gt;$G206,"⚑",""),"")</f>
        <v/>
      </c>
      <c r="AA206" s="34" t="str">
        <f aca="true">IF(AND($E206&lt;&gt;"",$P206="",$R206=""),IF(TODAY()-MAX($E206,$H206,$M206,$S206)&gt;7,"⚑",""),"")</f>
        <v/>
      </c>
      <c r="AB206" s="34" t="str">
        <f aca="false">IF(OR($P206="",$G206=""),"",IF($P206&lt;=$G206,"Có","Không"))</f>
        <v/>
      </c>
      <c r="AC206" s="34" t="str">
        <f aca="false">IF(OR($P206="",$E206=""),"",$P206-$E206)</f>
        <v/>
      </c>
      <c r="AD206" s="35" t="str">
        <f aca="false">IF($A206="","",COUNTIF(CASE!$B$3:$B$202,$A206))</f>
        <v/>
      </c>
      <c r="AE206" s="34" t="str">
        <f aca="false">IF(OR($I206="",$E206=""),"",$I206-$E206)</f>
        <v/>
      </c>
      <c r="AF206" s="34" t="str">
        <f aca="false">IF(OR($K206="",$I206=""),"",$K206-$I206)</f>
        <v/>
      </c>
      <c r="AG206" s="34" t="str">
        <f aca="false">IF(OR($L206="",$K206=""),"",$L206-$K206)</f>
        <v/>
      </c>
      <c r="AH206" s="34" t="str">
        <f aca="false">IF(OR($M206="",$L206=""),"",$M206-$L206)</f>
        <v/>
      </c>
      <c r="AI206" s="34" t="str">
        <f aca="false">IF(OR($P206="",$M206=""),"",$P206-$M206)</f>
        <v/>
      </c>
    </row>
    <row r="207" customFormat="false" ht="15" hidden="false" customHeight="false" outlineLevel="0" collapsed="false">
      <c r="A207" s="29"/>
      <c r="B207" s="29"/>
      <c r="C207" s="29"/>
      <c r="D207" s="30"/>
      <c r="E207" s="31"/>
      <c r="F207" s="32" t="str">
        <f aca="false">IF($E207="","",$E207+7*IFERROR(VLOOKUP($B207,DS!$K$2:$M$4,2,FALSE()),12))</f>
        <v/>
      </c>
      <c r="G207" s="32" t="str">
        <f aca="false">IF($E207="","",$E207+7*IFERROR(VLOOKUP($B207,DS!$K$2:$M$4,3,FALSE()),12))</f>
        <v/>
      </c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3" t="str">
        <f aca="false">IF($A207="","",IF($R207&lt;&gt;"","95 Hủy/hoàn",IF($Q207&lt;&gt;"","99 Đóng",IF($P207&lt;&gt;"","90 Đã giao",IF($O207&lt;&gt;"","80 Đang giao",IF($N207&lt;&gt;"","70 Thông quan",IF($M207&lt;&gt;"","60 Đã xuất",IF($L207&lt;&gt;"","50 QC đạt",IF($K207&lt;&gt;"","40 NCC đã gửi",IF($I207&lt;&gt;"","30 Đã đặt NCC",IF($H207&lt;&gt;"","20 Đã xác nhận","10 Mới")))))))))))</f>
        <v/>
      </c>
      <c r="U207" s="33" t="str">
        <f aca="false">IF($T207="","",IFERROR(VLOOKUP($T207,DS!$A$2:$B$12,2,FALSE()),""))</f>
        <v/>
      </c>
      <c r="V207" s="34" t="str">
        <f aca="true">IF(OR($T207="",LEFT($T207,2)="99",LEFT($T207,2)="95"),"",TODAY()-MAX($E207,$H207:$P207))</f>
        <v/>
      </c>
      <c r="W207" s="34" t="str">
        <f aca="true">IF(AND($E207&lt;&gt;"",$I207="",$R207=""),IF(TODAY()-$E207&gt;1,"⚑",""),"")</f>
        <v/>
      </c>
      <c r="X207" s="34" t="str">
        <f aca="true">IF(AND($J207&lt;&gt;"",$K207="",$R207=""),IF(TODAY()-$J207&gt;2,"⚑",""),"")</f>
        <v/>
      </c>
      <c r="Y207" s="34" t="str">
        <f aca="true">IF(AND($G207&lt;&gt;"",$M207="",$R207=""),IF(AND($G207-TODAY()&lt;=14,$G207&gt;=TODAY()),"⚑",""),"")</f>
        <v/>
      </c>
      <c r="Z207" s="34" t="str">
        <f aca="true">IF(AND($G207&lt;&gt;"",$P207="",$R207=""),IF(TODAY()&gt;$G207,"⚑",""),"")</f>
        <v/>
      </c>
      <c r="AA207" s="34" t="str">
        <f aca="true">IF(AND($E207&lt;&gt;"",$P207="",$R207=""),IF(TODAY()-MAX($E207,$H207,$M207,$S207)&gt;7,"⚑",""),"")</f>
        <v/>
      </c>
      <c r="AB207" s="34" t="str">
        <f aca="false">IF(OR($P207="",$G207=""),"",IF($P207&lt;=$G207,"Có","Không"))</f>
        <v/>
      </c>
      <c r="AC207" s="34" t="str">
        <f aca="false">IF(OR($P207="",$E207=""),"",$P207-$E207)</f>
        <v/>
      </c>
      <c r="AD207" s="35" t="str">
        <f aca="false">IF($A207="","",COUNTIF(CASE!$B$3:$B$202,$A207))</f>
        <v/>
      </c>
      <c r="AE207" s="34" t="str">
        <f aca="false">IF(OR($I207="",$E207=""),"",$I207-$E207)</f>
        <v/>
      </c>
      <c r="AF207" s="34" t="str">
        <f aca="false">IF(OR($K207="",$I207=""),"",$K207-$I207)</f>
        <v/>
      </c>
      <c r="AG207" s="34" t="str">
        <f aca="false">IF(OR($L207="",$K207=""),"",$L207-$K207)</f>
        <v/>
      </c>
      <c r="AH207" s="34" t="str">
        <f aca="false">IF(OR($M207="",$L207=""),"",$M207-$L207)</f>
        <v/>
      </c>
      <c r="AI207" s="34" t="str">
        <f aca="false">IF(OR($P207="",$M207=""),"",$P207-$M207)</f>
        <v/>
      </c>
    </row>
    <row r="208" customFormat="false" ht="15" hidden="false" customHeight="false" outlineLevel="0" collapsed="false">
      <c r="A208" s="29"/>
      <c r="B208" s="29"/>
      <c r="C208" s="29"/>
      <c r="D208" s="30"/>
      <c r="E208" s="31"/>
      <c r="F208" s="32" t="str">
        <f aca="false">IF($E208="","",$E208+7*IFERROR(VLOOKUP($B208,DS!$K$2:$M$4,2,FALSE()),12))</f>
        <v/>
      </c>
      <c r="G208" s="32" t="str">
        <f aca="false">IF($E208="","",$E208+7*IFERROR(VLOOKUP($B208,DS!$K$2:$M$4,3,FALSE()),12))</f>
        <v/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3" t="str">
        <f aca="false">IF($A208="","",IF($R208&lt;&gt;"","95 Hủy/hoàn",IF($Q208&lt;&gt;"","99 Đóng",IF($P208&lt;&gt;"","90 Đã giao",IF($O208&lt;&gt;"","80 Đang giao",IF($N208&lt;&gt;"","70 Thông quan",IF($M208&lt;&gt;"","60 Đã xuất",IF($L208&lt;&gt;"","50 QC đạt",IF($K208&lt;&gt;"","40 NCC đã gửi",IF($I208&lt;&gt;"","30 Đã đặt NCC",IF($H208&lt;&gt;"","20 Đã xác nhận","10 Mới")))))))))))</f>
        <v/>
      </c>
      <c r="U208" s="33" t="str">
        <f aca="false">IF($T208="","",IFERROR(VLOOKUP($T208,DS!$A$2:$B$12,2,FALSE()),""))</f>
        <v/>
      </c>
      <c r="V208" s="34" t="str">
        <f aca="true">IF(OR($T208="",LEFT($T208,2)="99",LEFT($T208,2)="95"),"",TODAY()-MAX($E208,$H208:$P208))</f>
        <v/>
      </c>
      <c r="W208" s="34" t="str">
        <f aca="true">IF(AND($E208&lt;&gt;"",$I208="",$R208=""),IF(TODAY()-$E208&gt;1,"⚑",""),"")</f>
        <v/>
      </c>
      <c r="X208" s="34" t="str">
        <f aca="true">IF(AND($J208&lt;&gt;"",$K208="",$R208=""),IF(TODAY()-$J208&gt;2,"⚑",""),"")</f>
        <v/>
      </c>
      <c r="Y208" s="34" t="str">
        <f aca="true">IF(AND($G208&lt;&gt;"",$M208="",$R208=""),IF(AND($G208-TODAY()&lt;=14,$G208&gt;=TODAY()),"⚑",""),"")</f>
        <v/>
      </c>
      <c r="Z208" s="34" t="str">
        <f aca="true">IF(AND($G208&lt;&gt;"",$P208="",$R208=""),IF(TODAY()&gt;$G208,"⚑",""),"")</f>
        <v/>
      </c>
      <c r="AA208" s="34" t="str">
        <f aca="true">IF(AND($E208&lt;&gt;"",$P208="",$R208=""),IF(TODAY()-MAX($E208,$H208,$M208,$S208)&gt;7,"⚑",""),"")</f>
        <v/>
      </c>
      <c r="AB208" s="34" t="str">
        <f aca="false">IF(OR($P208="",$G208=""),"",IF($P208&lt;=$G208,"Có","Không"))</f>
        <v/>
      </c>
      <c r="AC208" s="34" t="str">
        <f aca="false">IF(OR($P208="",$E208=""),"",$P208-$E208)</f>
        <v/>
      </c>
      <c r="AD208" s="35" t="str">
        <f aca="false">IF($A208="","",COUNTIF(CASE!$B$3:$B$202,$A208))</f>
        <v/>
      </c>
      <c r="AE208" s="34" t="str">
        <f aca="false">IF(OR($I208="",$E208=""),"",$I208-$E208)</f>
        <v/>
      </c>
      <c r="AF208" s="34" t="str">
        <f aca="false">IF(OR($K208="",$I208=""),"",$K208-$I208)</f>
        <v/>
      </c>
      <c r="AG208" s="34" t="str">
        <f aca="false">IF(OR($L208="",$K208=""),"",$L208-$K208)</f>
        <v/>
      </c>
      <c r="AH208" s="34" t="str">
        <f aca="false">IF(OR($M208="",$L208=""),"",$M208-$L208)</f>
        <v/>
      </c>
      <c r="AI208" s="34" t="str">
        <f aca="false">IF(OR($P208="",$M208=""),"",$P208-$M208)</f>
        <v/>
      </c>
    </row>
    <row r="209" customFormat="false" ht="15" hidden="false" customHeight="false" outlineLevel="0" collapsed="false">
      <c r="A209" s="29"/>
      <c r="B209" s="29"/>
      <c r="C209" s="29"/>
      <c r="D209" s="30"/>
      <c r="E209" s="31"/>
      <c r="F209" s="32" t="str">
        <f aca="false">IF($E209="","",$E209+7*IFERROR(VLOOKUP($B209,DS!$K$2:$M$4,2,FALSE()),12))</f>
        <v/>
      </c>
      <c r="G209" s="32" t="str">
        <f aca="false">IF($E209="","",$E209+7*IFERROR(VLOOKUP($B209,DS!$K$2:$M$4,3,FALSE()),12))</f>
        <v/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3" t="str">
        <f aca="false">IF($A209="","",IF($R209&lt;&gt;"","95 Hủy/hoàn",IF($Q209&lt;&gt;"","99 Đóng",IF($P209&lt;&gt;"","90 Đã giao",IF($O209&lt;&gt;"","80 Đang giao",IF($N209&lt;&gt;"","70 Thông quan",IF($M209&lt;&gt;"","60 Đã xuất",IF($L209&lt;&gt;"","50 QC đạt",IF($K209&lt;&gt;"","40 NCC đã gửi",IF($I209&lt;&gt;"","30 Đã đặt NCC",IF($H209&lt;&gt;"","20 Đã xác nhận","10 Mới")))))))))))</f>
        <v/>
      </c>
      <c r="U209" s="33" t="str">
        <f aca="false">IF($T209="","",IFERROR(VLOOKUP($T209,DS!$A$2:$B$12,2,FALSE()),""))</f>
        <v/>
      </c>
      <c r="V209" s="34" t="str">
        <f aca="true">IF(OR($T209="",LEFT($T209,2)="99",LEFT($T209,2)="95"),"",TODAY()-MAX($E209,$H209:$P209))</f>
        <v/>
      </c>
      <c r="W209" s="34" t="str">
        <f aca="true">IF(AND($E209&lt;&gt;"",$I209="",$R209=""),IF(TODAY()-$E209&gt;1,"⚑",""),"")</f>
        <v/>
      </c>
      <c r="X209" s="34" t="str">
        <f aca="true">IF(AND($J209&lt;&gt;"",$K209="",$R209=""),IF(TODAY()-$J209&gt;2,"⚑",""),"")</f>
        <v/>
      </c>
      <c r="Y209" s="34" t="str">
        <f aca="true">IF(AND($G209&lt;&gt;"",$M209="",$R209=""),IF(AND($G209-TODAY()&lt;=14,$G209&gt;=TODAY()),"⚑",""),"")</f>
        <v/>
      </c>
      <c r="Z209" s="34" t="str">
        <f aca="true">IF(AND($G209&lt;&gt;"",$P209="",$R209=""),IF(TODAY()&gt;$G209,"⚑",""),"")</f>
        <v/>
      </c>
      <c r="AA209" s="34" t="str">
        <f aca="true">IF(AND($E209&lt;&gt;"",$P209="",$R209=""),IF(TODAY()-MAX($E209,$H209,$M209,$S209)&gt;7,"⚑",""),"")</f>
        <v/>
      </c>
      <c r="AB209" s="34" t="str">
        <f aca="false">IF(OR($P209="",$G209=""),"",IF($P209&lt;=$G209,"Có","Không"))</f>
        <v/>
      </c>
      <c r="AC209" s="34" t="str">
        <f aca="false">IF(OR($P209="",$E209=""),"",$P209-$E209)</f>
        <v/>
      </c>
      <c r="AD209" s="35" t="str">
        <f aca="false">IF($A209="","",COUNTIF(CASE!$B$3:$B$202,$A209))</f>
        <v/>
      </c>
      <c r="AE209" s="34" t="str">
        <f aca="false">IF(OR($I209="",$E209=""),"",$I209-$E209)</f>
        <v/>
      </c>
      <c r="AF209" s="34" t="str">
        <f aca="false">IF(OR($K209="",$I209=""),"",$K209-$I209)</f>
        <v/>
      </c>
      <c r="AG209" s="34" t="str">
        <f aca="false">IF(OR($L209="",$K209=""),"",$L209-$K209)</f>
        <v/>
      </c>
      <c r="AH209" s="34" t="str">
        <f aca="false">IF(OR($M209="",$L209=""),"",$M209-$L209)</f>
        <v/>
      </c>
      <c r="AI209" s="34" t="str">
        <f aca="false">IF(OR($P209="",$M209=""),"",$P209-$M209)</f>
        <v/>
      </c>
    </row>
    <row r="210" customFormat="false" ht="15" hidden="false" customHeight="false" outlineLevel="0" collapsed="false">
      <c r="A210" s="29"/>
      <c r="B210" s="29"/>
      <c r="C210" s="29"/>
      <c r="D210" s="30"/>
      <c r="E210" s="31"/>
      <c r="F210" s="32" t="str">
        <f aca="false">IF($E210="","",$E210+7*IFERROR(VLOOKUP($B210,DS!$K$2:$M$4,2,FALSE()),12))</f>
        <v/>
      </c>
      <c r="G210" s="32" t="str">
        <f aca="false">IF($E210="","",$E210+7*IFERROR(VLOOKUP($B210,DS!$K$2:$M$4,3,FALSE()),12))</f>
        <v/>
      </c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3" t="str">
        <f aca="false">IF($A210="","",IF($R210&lt;&gt;"","95 Hủy/hoàn",IF($Q210&lt;&gt;"","99 Đóng",IF($P210&lt;&gt;"","90 Đã giao",IF($O210&lt;&gt;"","80 Đang giao",IF($N210&lt;&gt;"","70 Thông quan",IF($M210&lt;&gt;"","60 Đã xuất",IF($L210&lt;&gt;"","50 QC đạt",IF($K210&lt;&gt;"","40 NCC đã gửi",IF($I210&lt;&gt;"","30 Đã đặt NCC",IF($H210&lt;&gt;"","20 Đã xác nhận","10 Mới")))))))))))</f>
        <v/>
      </c>
      <c r="U210" s="33" t="str">
        <f aca="false">IF($T210="","",IFERROR(VLOOKUP($T210,DS!$A$2:$B$12,2,FALSE()),""))</f>
        <v/>
      </c>
      <c r="V210" s="34" t="str">
        <f aca="true">IF(OR($T210="",LEFT($T210,2)="99",LEFT($T210,2)="95"),"",TODAY()-MAX($E210,$H210:$P210))</f>
        <v/>
      </c>
      <c r="W210" s="34" t="str">
        <f aca="true">IF(AND($E210&lt;&gt;"",$I210="",$R210=""),IF(TODAY()-$E210&gt;1,"⚑",""),"")</f>
        <v/>
      </c>
      <c r="X210" s="34" t="str">
        <f aca="true">IF(AND($J210&lt;&gt;"",$K210="",$R210=""),IF(TODAY()-$J210&gt;2,"⚑",""),"")</f>
        <v/>
      </c>
      <c r="Y210" s="34" t="str">
        <f aca="true">IF(AND($G210&lt;&gt;"",$M210="",$R210=""),IF(AND($G210-TODAY()&lt;=14,$G210&gt;=TODAY()),"⚑",""),"")</f>
        <v/>
      </c>
      <c r="Z210" s="34" t="str">
        <f aca="true">IF(AND($G210&lt;&gt;"",$P210="",$R210=""),IF(TODAY()&gt;$G210,"⚑",""),"")</f>
        <v/>
      </c>
      <c r="AA210" s="34" t="str">
        <f aca="true">IF(AND($E210&lt;&gt;"",$P210="",$R210=""),IF(TODAY()-MAX($E210,$H210,$M210,$S210)&gt;7,"⚑",""),"")</f>
        <v/>
      </c>
      <c r="AB210" s="34" t="str">
        <f aca="false">IF(OR($P210="",$G210=""),"",IF($P210&lt;=$G210,"Có","Không"))</f>
        <v/>
      </c>
      <c r="AC210" s="34" t="str">
        <f aca="false">IF(OR($P210="",$E210=""),"",$P210-$E210)</f>
        <v/>
      </c>
      <c r="AD210" s="35" t="str">
        <f aca="false">IF($A210="","",COUNTIF(CASE!$B$3:$B$202,$A210))</f>
        <v/>
      </c>
      <c r="AE210" s="34" t="str">
        <f aca="false">IF(OR($I210="",$E210=""),"",$I210-$E210)</f>
        <v/>
      </c>
      <c r="AF210" s="34" t="str">
        <f aca="false">IF(OR($K210="",$I210=""),"",$K210-$I210)</f>
        <v/>
      </c>
      <c r="AG210" s="34" t="str">
        <f aca="false">IF(OR($L210="",$K210=""),"",$L210-$K210)</f>
        <v/>
      </c>
      <c r="AH210" s="34" t="str">
        <f aca="false">IF(OR($M210="",$L210=""),"",$M210-$L210)</f>
        <v/>
      </c>
      <c r="AI210" s="34" t="str">
        <f aca="false">IF(OR($P210="",$M210=""),"",$P210-$M210)</f>
        <v/>
      </c>
    </row>
    <row r="211" customFormat="false" ht="15" hidden="false" customHeight="false" outlineLevel="0" collapsed="false">
      <c r="A211" s="29"/>
      <c r="B211" s="29"/>
      <c r="C211" s="29"/>
      <c r="D211" s="30"/>
      <c r="E211" s="31"/>
      <c r="F211" s="32" t="str">
        <f aca="false">IF($E211="","",$E211+7*IFERROR(VLOOKUP($B211,DS!$K$2:$M$4,2,FALSE()),12))</f>
        <v/>
      </c>
      <c r="G211" s="32" t="str">
        <f aca="false">IF($E211="","",$E211+7*IFERROR(VLOOKUP($B211,DS!$K$2:$M$4,3,FALSE()),12))</f>
        <v/>
      </c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3" t="str">
        <f aca="false">IF($A211="","",IF($R211&lt;&gt;"","95 Hủy/hoàn",IF($Q211&lt;&gt;"","99 Đóng",IF($P211&lt;&gt;"","90 Đã giao",IF($O211&lt;&gt;"","80 Đang giao",IF($N211&lt;&gt;"","70 Thông quan",IF($M211&lt;&gt;"","60 Đã xuất",IF($L211&lt;&gt;"","50 QC đạt",IF($K211&lt;&gt;"","40 NCC đã gửi",IF($I211&lt;&gt;"","30 Đã đặt NCC",IF($H211&lt;&gt;"","20 Đã xác nhận","10 Mới")))))))))))</f>
        <v/>
      </c>
      <c r="U211" s="33" t="str">
        <f aca="false">IF($T211="","",IFERROR(VLOOKUP($T211,DS!$A$2:$B$12,2,FALSE()),""))</f>
        <v/>
      </c>
      <c r="V211" s="34" t="str">
        <f aca="true">IF(OR($T211="",LEFT($T211,2)="99",LEFT($T211,2)="95"),"",TODAY()-MAX($E211,$H211:$P211))</f>
        <v/>
      </c>
      <c r="W211" s="34" t="str">
        <f aca="true">IF(AND($E211&lt;&gt;"",$I211="",$R211=""),IF(TODAY()-$E211&gt;1,"⚑",""),"")</f>
        <v/>
      </c>
      <c r="X211" s="34" t="str">
        <f aca="true">IF(AND($J211&lt;&gt;"",$K211="",$R211=""),IF(TODAY()-$J211&gt;2,"⚑",""),"")</f>
        <v/>
      </c>
      <c r="Y211" s="34" t="str">
        <f aca="true">IF(AND($G211&lt;&gt;"",$M211="",$R211=""),IF(AND($G211-TODAY()&lt;=14,$G211&gt;=TODAY()),"⚑",""),"")</f>
        <v/>
      </c>
      <c r="Z211" s="34" t="str">
        <f aca="true">IF(AND($G211&lt;&gt;"",$P211="",$R211=""),IF(TODAY()&gt;$G211,"⚑",""),"")</f>
        <v/>
      </c>
      <c r="AA211" s="34" t="str">
        <f aca="true">IF(AND($E211&lt;&gt;"",$P211="",$R211=""),IF(TODAY()-MAX($E211,$H211,$M211,$S211)&gt;7,"⚑",""),"")</f>
        <v/>
      </c>
      <c r="AB211" s="34" t="str">
        <f aca="false">IF(OR($P211="",$G211=""),"",IF($P211&lt;=$G211,"Có","Không"))</f>
        <v/>
      </c>
      <c r="AC211" s="34" t="str">
        <f aca="false">IF(OR($P211="",$E211=""),"",$P211-$E211)</f>
        <v/>
      </c>
      <c r="AD211" s="35" t="str">
        <f aca="false">IF($A211="","",COUNTIF(CASE!$B$3:$B$202,$A211))</f>
        <v/>
      </c>
      <c r="AE211" s="34" t="str">
        <f aca="false">IF(OR($I211="",$E211=""),"",$I211-$E211)</f>
        <v/>
      </c>
      <c r="AF211" s="34" t="str">
        <f aca="false">IF(OR($K211="",$I211=""),"",$K211-$I211)</f>
        <v/>
      </c>
      <c r="AG211" s="34" t="str">
        <f aca="false">IF(OR($L211="",$K211=""),"",$L211-$K211)</f>
        <v/>
      </c>
      <c r="AH211" s="34" t="str">
        <f aca="false">IF(OR($M211="",$L211=""),"",$M211-$L211)</f>
        <v/>
      </c>
      <c r="AI211" s="34" t="str">
        <f aca="false">IF(OR($P211="",$M211=""),"",$P211-$M211)</f>
        <v/>
      </c>
    </row>
    <row r="212" customFormat="false" ht="15" hidden="false" customHeight="false" outlineLevel="0" collapsed="false">
      <c r="A212" s="29"/>
      <c r="B212" s="29"/>
      <c r="C212" s="29"/>
      <c r="D212" s="30"/>
      <c r="E212" s="31"/>
      <c r="F212" s="32" t="str">
        <f aca="false">IF($E212="","",$E212+7*IFERROR(VLOOKUP($B212,DS!$K$2:$M$4,2,FALSE()),12))</f>
        <v/>
      </c>
      <c r="G212" s="32" t="str">
        <f aca="false">IF($E212="","",$E212+7*IFERROR(VLOOKUP($B212,DS!$K$2:$M$4,3,FALSE()),12))</f>
        <v/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3" t="str">
        <f aca="false">IF($A212="","",IF($R212&lt;&gt;"","95 Hủy/hoàn",IF($Q212&lt;&gt;"","99 Đóng",IF($P212&lt;&gt;"","90 Đã giao",IF($O212&lt;&gt;"","80 Đang giao",IF($N212&lt;&gt;"","70 Thông quan",IF($M212&lt;&gt;"","60 Đã xuất",IF($L212&lt;&gt;"","50 QC đạt",IF($K212&lt;&gt;"","40 NCC đã gửi",IF($I212&lt;&gt;"","30 Đã đặt NCC",IF($H212&lt;&gt;"","20 Đã xác nhận","10 Mới")))))))))))</f>
        <v/>
      </c>
      <c r="U212" s="33" t="str">
        <f aca="false">IF($T212="","",IFERROR(VLOOKUP($T212,DS!$A$2:$B$12,2,FALSE()),""))</f>
        <v/>
      </c>
      <c r="V212" s="34" t="str">
        <f aca="true">IF(OR($T212="",LEFT($T212,2)="99",LEFT($T212,2)="95"),"",TODAY()-MAX($E212,$H212:$P212))</f>
        <v/>
      </c>
      <c r="W212" s="34" t="str">
        <f aca="true">IF(AND($E212&lt;&gt;"",$I212="",$R212=""),IF(TODAY()-$E212&gt;1,"⚑",""),"")</f>
        <v/>
      </c>
      <c r="X212" s="34" t="str">
        <f aca="true">IF(AND($J212&lt;&gt;"",$K212="",$R212=""),IF(TODAY()-$J212&gt;2,"⚑",""),"")</f>
        <v/>
      </c>
      <c r="Y212" s="34" t="str">
        <f aca="true">IF(AND($G212&lt;&gt;"",$M212="",$R212=""),IF(AND($G212-TODAY()&lt;=14,$G212&gt;=TODAY()),"⚑",""),"")</f>
        <v/>
      </c>
      <c r="Z212" s="34" t="str">
        <f aca="true">IF(AND($G212&lt;&gt;"",$P212="",$R212=""),IF(TODAY()&gt;$G212,"⚑",""),"")</f>
        <v/>
      </c>
      <c r="AA212" s="34" t="str">
        <f aca="true">IF(AND($E212&lt;&gt;"",$P212="",$R212=""),IF(TODAY()-MAX($E212,$H212,$M212,$S212)&gt;7,"⚑",""),"")</f>
        <v/>
      </c>
      <c r="AB212" s="34" t="str">
        <f aca="false">IF(OR($P212="",$G212=""),"",IF($P212&lt;=$G212,"Có","Không"))</f>
        <v/>
      </c>
      <c r="AC212" s="34" t="str">
        <f aca="false">IF(OR($P212="",$E212=""),"",$P212-$E212)</f>
        <v/>
      </c>
      <c r="AD212" s="35" t="str">
        <f aca="false">IF($A212="","",COUNTIF(CASE!$B$3:$B$202,$A212))</f>
        <v/>
      </c>
      <c r="AE212" s="34" t="str">
        <f aca="false">IF(OR($I212="",$E212=""),"",$I212-$E212)</f>
        <v/>
      </c>
      <c r="AF212" s="34" t="str">
        <f aca="false">IF(OR($K212="",$I212=""),"",$K212-$I212)</f>
        <v/>
      </c>
      <c r="AG212" s="34" t="str">
        <f aca="false">IF(OR($L212="",$K212=""),"",$L212-$K212)</f>
        <v/>
      </c>
      <c r="AH212" s="34" t="str">
        <f aca="false">IF(OR($M212="",$L212=""),"",$M212-$L212)</f>
        <v/>
      </c>
      <c r="AI212" s="34" t="str">
        <f aca="false">IF(OR($P212="",$M212=""),"",$P212-$M212)</f>
        <v/>
      </c>
    </row>
    <row r="213" customFormat="false" ht="15" hidden="false" customHeight="false" outlineLevel="0" collapsed="false">
      <c r="A213" s="29"/>
      <c r="B213" s="29"/>
      <c r="C213" s="29"/>
      <c r="D213" s="30"/>
      <c r="E213" s="31"/>
      <c r="F213" s="32" t="str">
        <f aca="false">IF($E213="","",$E213+7*IFERROR(VLOOKUP($B213,DS!$K$2:$M$4,2,FALSE()),12))</f>
        <v/>
      </c>
      <c r="G213" s="32" t="str">
        <f aca="false">IF($E213="","",$E213+7*IFERROR(VLOOKUP($B213,DS!$K$2:$M$4,3,FALSE()),12))</f>
        <v/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3" t="str">
        <f aca="false">IF($A213="","",IF($R213&lt;&gt;"","95 Hủy/hoàn",IF($Q213&lt;&gt;"","99 Đóng",IF($P213&lt;&gt;"","90 Đã giao",IF($O213&lt;&gt;"","80 Đang giao",IF($N213&lt;&gt;"","70 Thông quan",IF($M213&lt;&gt;"","60 Đã xuất",IF($L213&lt;&gt;"","50 QC đạt",IF($K213&lt;&gt;"","40 NCC đã gửi",IF($I213&lt;&gt;"","30 Đã đặt NCC",IF($H213&lt;&gt;"","20 Đã xác nhận","10 Mới")))))))))))</f>
        <v/>
      </c>
      <c r="U213" s="33" t="str">
        <f aca="false">IF($T213="","",IFERROR(VLOOKUP($T213,DS!$A$2:$B$12,2,FALSE()),""))</f>
        <v/>
      </c>
      <c r="V213" s="34" t="str">
        <f aca="true">IF(OR($T213="",LEFT($T213,2)="99",LEFT($T213,2)="95"),"",TODAY()-MAX($E213,$H213:$P213))</f>
        <v/>
      </c>
      <c r="W213" s="34" t="str">
        <f aca="true">IF(AND($E213&lt;&gt;"",$I213="",$R213=""),IF(TODAY()-$E213&gt;1,"⚑",""),"")</f>
        <v/>
      </c>
      <c r="X213" s="34" t="str">
        <f aca="true">IF(AND($J213&lt;&gt;"",$K213="",$R213=""),IF(TODAY()-$J213&gt;2,"⚑",""),"")</f>
        <v/>
      </c>
      <c r="Y213" s="34" t="str">
        <f aca="true">IF(AND($G213&lt;&gt;"",$M213="",$R213=""),IF(AND($G213-TODAY()&lt;=14,$G213&gt;=TODAY()),"⚑",""),"")</f>
        <v/>
      </c>
      <c r="Z213" s="34" t="str">
        <f aca="true">IF(AND($G213&lt;&gt;"",$P213="",$R213=""),IF(TODAY()&gt;$G213,"⚑",""),"")</f>
        <v/>
      </c>
      <c r="AA213" s="34" t="str">
        <f aca="true">IF(AND($E213&lt;&gt;"",$P213="",$R213=""),IF(TODAY()-MAX($E213,$H213,$M213,$S213)&gt;7,"⚑",""),"")</f>
        <v/>
      </c>
      <c r="AB213" s="34" t="str">
        <f aca="false">IF(OR($P213="",$G213=""),"",IF($P213&lt;=$G213,"Có","Không"))</f>
        <v/>
      </c>
      <c r="AC213" s="34" t="str">
        <f aca="false">IF(OR($P213="",$E213=""),"",$P213-$E213)</f>
        <v/>
      </c>
      <c r="AD213" s="35" t="str">
        <f aca="false">IF($A213="","",COUNTIF(CASE!$B$3:$B$202,$A213))</f>
        <v/>
      </c>
      <c r="AE213" s="34" t="str">
        <f aca="false">IF(OR($I213="",$E213=""),"",$I213-$E213)</f>
        <v/>
      </c>
      <c r="AF213" s="34" t="str">
        <f aca="false">IF(OR($K213="",$I213=""),"",$K213-$I213)</f>
        <v/>
      </c>
      <c r="AG213" s="34" t="str">
        <f aca="false">IF(OR($L213="",$K213=""),"",$L213-$K213)</f>
        <v/>
      </c>
      <c r="AH213" s="34" t="str">
        <f aca="false">IF(OR($M213="",$L213=""),"",$M213-$L213)</f>
        <v/>
      </c>
      <c r="AI213" s="34" t="str">
        <f aca="false">IF(OR($P213="",$M213=""),"",$P213-$M213)</f>
        <v/>
      </c>
    </row>
    <row r="214" customFormat="false" ht="15" hidden="false" customHeight="false" outlineLevel="0" collapsed="false">
      <c r="A214" s="29"/>
      <c r="B214" s="29"/>
      <c r="C214" s="29"/>
      <c r="D214" s="30"/>
      <c r="E214" s="31"/>
      <c r="F214" s="32" t="str">
        <f aca="false">IF($E214="","",$E214+7*IFERROR(VLOOKUP($B214,DS!$K$2:$M$4,2,FALSE()),12))</f>
        <v/>
      </c>
      <c r="G214" s="32" t="str">
        <f aca="false">IF($E214="","",$E214+7*IFERROR(VLOOKUP($B214,DS!$K$2:$M$4,3,FALSE()),12))</f>
        <v/>
      </c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3" t="str">
        <f aca="false">IF($A214="","",IF($R214&lt;&gt;"","95 Hủy/hoàn",IF($Q214&lt;&gt;"","99 Đóng",IF($P214&lt;&gt;"","90 Đã giao",IF($O214&lt;&gt;"","80 Đang giao",IF($N214&lt;&gt;"","70 Thông quan",IF($M214&lt;&gt;"","60 Đã xuất",IF($L214&lt;&gt;"","50 QC đạt",IF($K214&lt;&gt;"","40 NCC đã gửi",IF($I214&lt;&gt;"","30 Đã đặt NCC",IF($H214&lt;&gt;"","20 Đã xác nhận","10 Mới")))))))))))</f>
        <v/>
      </c>
      <c r="U214" s="33" t="str">
        <f aca="false">IF($T214="","",IFERROR(VLOOKUP($T214,DS!$A$2:$B$12,2,FALSE()),""))</f>
        <v/>
      </c>
      <c r="V214" s="34" t="str">
        <f aca="true">IF(OR($T214="",LEFT($T214,2)="99",LEFT($T214,2)="95"),"",TODAY()-MAX($E214,$H214:$P214))</f>
        <v/>
      </c>
      <c r="W214" s="34" t="str">
        <f aca="true">IF(AND($E214&lt;&gt;"",$I214="",$R214=""),IF(TODAY()-$E214&gt;1,"⚑",""),"")</f>
        <v/>
      </c>
      <c r="X214" s="34" t="str">
        <f aca="true">IF(AND($J214&lt;&gt;"",$K214="",$R214=""),IF(TODAY()-$J214&gt;2,"⚑",""),"")</f>
        <v/>
      </c>
      <c r="Y214" s="34" t="str">
        <f aca="true">IF(AND($G214&lt;&gt;"",$M214="",$R214=""),IF(AND($G214-TODAY()&lt;=14,$G214&gt;=TODAY()),"⚑",""),"")</f>
        <v/>
      </c>
      <c r="Z214" s="34" t="str">
        <f aca="true">IF(AND($G214&lt;&gt;"",$P214="",$R214=""),IF(TODAY()&gt;$G214,"⚑",""),"")</f>
        <v/>
      </c>
      <c r="AA214" s="34" t="str">
        <f aca="true">IF(AND($E214&lt;&gt;"",$P214="",$R214=""),IF(TODAY()-MAX($E214,$H214,$M214,$S214)&gt;7,"⚑",""),"")</f>
        <v/>
      </c>
      <c r="AB214" s="34" t="str">
        <f aca="false">IF(OR($P214="",$G214=""),"",IF($P214&lt;=$G214,"Có","Không"))</f>
        <v/>
      </c>
      <c r="AC214" s="34" t="str">
        <f aca="false">IF(OR($P214="",$E214=""),"",$P214-$E214)</f>
        <v/>
      </c>
      <c r="AD214" s="35" t="str">
        <f aca="false">IF($A214="","",COUNTIF(CASE!$B$3:$B$202,$A214))</f>
        <v/>
      </c>
      <c r="AE214" s="34" t="str">
        <f aca="false">IF(OR($I214="",$E214=""),"",$I214-$E214)</f>
        <v/>
      </c>
      <c r="AF214" s="34" t="str">
        <f aca="false">IF(OR($K214="",$I214=""),"",$K214-$I214)</f>
        <v/>
      </c>
      <c r="AG214" s="34" t="str">
        <f aca="false">IF(OR($L214="",$K214=""),"",$L214-$K214)</f>
        <v/>
      </c>
      <c r="AH214" s="34" t="str">
        <f aca="false">IF(OR($M214="",$L214=""),"",$M214-$L214)</f>
        <v/>
      </c>
      <c r="AI214" s="34" t="str">
        <f aca="false">IF(OR($P214="",$M214=""),"",$P214-$M214)</f>
        <v/>
      </c>
    </row>
    <row r="215" customFormat="false" ht="15" hidden="false" customHeight="false" outlineLevel="0" collapsed="false">
      <c r="A215" s="29"/>
      <c r="B215" s="29"/>
      <c r="C215" s="29"/>
      <c r="D215" s="30"/>
      <c r="E215" s="31"/>
      <c r="F215" s="32" t="str">
        <f aca="false">IF($E215="","",$E215+7*IFERROR(VLOOKUP($B215,DS!$K$2:$M$4,2,FALSE()),12))</f>
        <v/>
      </c>
      <c r="G215" s="32" t="str">
        <f aca="false">IF($E215="","",$E215+7*IFERROR(VLOOKUP($B215,DS!$K$2:$M$4,3,FALSE()),12))</f>
        <v/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3" t="str">
        <f aca="false">IF($A215="","",IF($R215&lt;&gt;"","95 Hủy/hoàn",IF($Q215&lt;&gt;"","99 Đóng",IF($P215&lt;&gt;"","90 Đã giao",IF($O215&lt;&gt;"","80 Đang giao",IF($N215&lt;&gt;"","70 Thông quan",IF($M215&lt;&gt;"","60 Đã xuất",IF($L215&lt;&gt;"","50 QC đạt",IF($K215&lt;&gt;"","40 NCC đã gửi",IF($I215&lt;&gt;"","30 Đã đặt NCC",IF($H215&lt;&gt;"","20 Đã xác nhận","10 Mới")))))))))))</f>
        <v/>
      </c>
      <c r="U215" s="33" t="str">
        <f aca="false">IF($T215="","",IFERROR(VLOOKUP($T215,DS!$A$2:$B$12,2,FALSE()),""))</f>
        <v/>
      </c>
      <c r="V215" s="34" t="str">
        <f aca="true">IF(OR($T215="",LEFT($T215,2)="99",LEFT($T215,2)="95"),"",TODAY()-MAX($E215,$H215:$P215))</f>
        <v/>
      </c>
      <c r="W215" s="34" t="str">
        <f aca="true">IF(AND($E215&lt;&gt;"",$I215="",$R215=""),IF(TODAY()-$E215&gt;1,"⚑",""),"")</f>
        <v/>
      </c>
      <c r="X215" s="34" t="str">
        <f aca="true">IF(AND($J215&lt;&gt;"",$K215="",$R215=""),IF(TODAY()-$J215&gt;2,"⚑",""),"")</f>
        <v/>
      </c>
      <c r="Y215" s="34" t="str">
        <f aca="true">IF(AND($G215&lt;&gt;"",$M215="",$R215=""),IF(AND($G215-TODAY()&lt;=14,$G215&gt;=TODAY()),"⚑",""),"")</f>
        <v/>
      </c>
      <c r="Z215" s="34" t="str">
        <f aca="true">IF(AND($G215&lt;&gt;"",$P215="",$R215=""),IF(TODAY()&gt;$G215,"⚑",""),"")</f>
        <v/>
      </c>
      <c r="AA215" s="34" t="str">
        <f aca="true">IF(AND($E215&lt;&gt;"",$P215="",$R215=""),IF(TODAY()-MAX($E215,$H215,$M215,$S215)&gt;7,"⚑",""),"")</f>
        <v/>
      </c>
      <c r="AB215" s="34" t="str">
        <f aca="false">IF(OR($P215="",$G215=""),"",IF($P215&lt;=$G215,"Có","Không"))</f>
        <v/>
      </c>
      <c r="AC215" s="34" t="str">
        <f aca="false">IF(OR($P215="",$E215=""),"",$P215-$E215)</f>
        <v/>
      </c>
      <c r="AD215" s="35" t="str">
        <f aca="false">IF($A215="","",COUNTIF(CASE!$B$3:$B$202,$A215))</f>
        <v/>
      </c>
      <c r="AE215" s="34" t="str">
        <f aca="false">IF(OR($I215="",$E215=""),"",$I215-$E215)</f>
        <v/>
      </c>
      <c r="AF215" s="34" t="str">
        <f aca="false">IF(OR($K215="",$I215=""),"",$K215-$I215)</f>
        <v/>
      </c>
      <c r="AG215" s="34" t="str">
        <f aca="false">IF(OR($L215="",$K215=""),"",$L215-$K215)</f>
        <v/>
      </c>
      <c r="AH215" s="34" t="str">
        <f aca="false">IF(OR($M215="",$L215=""),"",$M215-$L215)</f>
        <v/>
      </c>
      <c r="AI215" s="34" t="str">
        <f aca="false">IF(OR($P215="",$M215=""),"",$P215-$M215)</f>
        <v/>
      </c>
    </row>
    <row r="216" customFormat="false" ht="15" hidden="false" customHeight="false" outlineLevel="0" collapsed="false">
      <c r="A216" s="29"/>
      <c r="B216" s="29"/>
      <c r="C216" s="29"/>
      <c r="D216" s="30"/>
      <c r="E216" s="31"/>
      <c r="F216" s="32" t="str">
        <f aca="false">IF($E216="","",$E216+7*IFERROR(VLOOKUP($B216,DS!$K$2:$M$4,2,FALSE()),12))</f>
        <v/>
      </c>
      <c r="G216" s="32" t="str">
        <f aca="false">IF($E216="","",$E216+7*IFERROR(VLOOKUP($B216,DS!$K$2:$M$4,3,FALSE()),12))</f>
        <v/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3" t="str">
        <f aca="false">IF($A216="","",IF($R216&lt;&gt;"","95 Hủy/hoàn",IF($Q216&lt;&gt;"","99 Đóng",IF($P216&lt;&gt;"","90 Đã giao",IF($O216&lt;&gt;"","80 Đang giao",IF($N216&lt;&gt;"","70 Thông quan",IF($M216&lt;&gt;"","60 Đã xuất",IF($L216&lt;&gt;"","50 QC đạt",IF($K216&lt;&gt;"","40 NCC đã gửi",IF($I216&lt;&gt;"","30 Đã đặt NCC",IF($H216&lt;&gt;"","20 Đã xác nhận","10 Mới")))))))))))</f>
        <v/>
      </c>
      <c r="U216" s="33" t="str">
        <f aca="false">IF($T216="","",IFERROR(VLOOKUP($T216,DS!$A$2:$B$12,2,FALSE()),""))</f>
        <v/>
      </c>
      <c r="V216" s="34" t="str">
        <f aca="true">IF(OR($T216="",LEFT($T216,2)="99",LEFT($T216,2)="95"),"",TODAY()-MAX($E216,$H216:$P216))</f>
        <v/>
      </c>
      <c r="W216" s="34" t="str">
        <f aca="true">IF(AND($E216&lt;&gt;"",$I216="",$R216=""),IF(TODAY()-$E216&gt;1,"⚑",""),"")</f>
        <v/>
      </c>
      <c r="X216" s="34" t="str">
        <f aca="true">IF(AND($J216&lt;&gt;"",$K216="",$R216=""),IF(TODAY()-$J216&gt;2,"⚑",""),"")</f>
        <v/>
      </c>
      <c r="Y216" s="34" t="str">
        <f aca="true">IF(AND($G216&lt;&gt;"",$M216="",$R216=""),IF(AND($G216-TODAY()&lt;=14,$G216&gt;=TODAY()),"⚑",""),"")</f>
        <v/>
      </c>
      <c r="Z216" s="34" t="str">
        <f aca="true">IF(AND($G216&lt;&gt;"",$P216="",$R216=""),IF(TODAY()&gt;$G216,"⚑",""),"")</f>
        <v/>
      </c>
      <c r="AA216" s="34" t="str">
        <f aca="true">IF(AND($E216&lt;&gt;"",$P216="",$R216=""),IF(TODAY()-MAX($E216,$H216,$M216,$S216)&gt;7,"⚑",""),"")</f>
        <v/>
      </c>
      <c r="AB216" s="34" t="str">
        <f aca="false">IF(OR($P216="",$G216=""),"",IF($P216&lt;=$G216,"Có","Không"))</f>
        <v/>
      </c>
      <c r="AC216" s="34" t="str">
        <f aca="false">IF(OR($P216="",$E216=""),"",$P216-$E216)</f>
        <v/>
      </c>
      <c r="AD216" s="35" t="str">
        <f aca="false">IF($A216="","",COUNTIF(CASE!$B$3:$B$202,$A216))</f>
        <v/>
      </c>
      <c r="AE216" s="34" t="str">
        <f aca="false">IF(OR($I216="",$E216=""),"",$I216-$E216)</f>
        <v/>
      </c>
      <c r="AF216" s="34" t="str">
        <f aca="false">IF(OR($K216="",$I216=""),"",$K216-$I216)</f>
        <v/>
      </c>
      <c r="AG216" s="34" t="str">
        <f aca="false">IF(OR($L216="",$K216=""),"",$L216-$K216)</f>
        <v/>
      </c>
      <c r="AH216" s="34" t="str">
        <f aca="false">IF(OR($M216="",$L216=""),"",$M216-$L216)</f>
        <v/>
      </c>
      <c r="AI216" s="34" t="str">
        <f aca="false">IF(OR($P216="",$M216=""),"",$P216-$M216)</f>
        <v/>
      </c>
    </row>
    <row r="217" customFormat="false" ht="15" hidden="false" customHeight="false" outlineLevel="0" collapsed="false">
      <c r="A217" s="29"/>
      <c r="B217" s="29"/>
      <c r="C217" s="29"/>
      <c r="D217" s="30"/>
      <c r="E217" s="31"/>
      <c r="F217" s="32" t="str">
        <f aca="false">IF($E217="","",$E217+7*IFERROR(VLOOKUP($B217,DS!$K$2:$M$4,2,FALSE()),12))</f>
        <v/>
      </c>
      <c r="G217" s="32" t="str">
        <f aca="false">IF($E217="","",$E217+7*IFERROR(VLOOKUP($B217,DS!$K$2:$M$4,3,FALSE()),12))</f>
        <v/>
      </c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3" t="str">
        <f aca="false">IF($A217="","",IF($R217&lt;&gt;"","95 Hủy/hoàn",IF($Q217&lt;&gt;"","99 Đóng",IF($P217&lt;&gt;"","90 Đã giao",IF($O217&lt;&gt;"","80 Đang giao",IF($N217&lt;&gt;"","70 Thông quan",IF($M217&lt;&gt;"","60 Đã xuất",IF($L217&lt;&gt;"","50 QC đạt",IF($K217&lt;&gt;"","40 NCC đã gửi",IF($I217&lt;&gt;"","30 Đã đặt NCC",IF($H217&lt;&gt;"","20 Đã xác nhận","10 Mới")))))))))))</f>
        <v/>
      </c>
      <c r="U217" s="33" t="str">
        <f aca="false">IF($T217="","",IFERROR(VLOOKUP($T217,DS!$A$2:$B$12,2,FALSE()),""))</f>
        <v/>
      </c>
      <c r="V217" s="34" t="str">
        <f aca="true">IF(OR($T217="",LEFT($T217,2)="99",LEFT($T217,2)="95"),"",TODAY()-MAX($E217,$H217:$P217))</f>
        <v/>
      </c>
      <c r="W217" s="34" t="str">
        <f aca="true">IF(AND($E217&lt;&gt;"",$I217="",$R217=""),IF(TODAY()-$E217&gt;1,"⚑",""),"")</f>
        <v/>
      </c>
      <c r="X217" s="34" t="str">
        <f aca="true">IF(AND($J217&lt;&gt;"",$K217="",$R217=""),IF(TODAY()-$J217&gt;2,"⚑",""),"")</f>
        <v/>
      </c>
      <c r="Y217" s="34" t="str">
        <f aca="true">IF(AND($G217&lt;&gt;"",$M217="",$R217=""),IF(AND($G217-TODAY()&lt;=14,$G217&gt;=TODAY()),"⚑",""),"")</f>
        <v/>
      </c>
      <c r="Z217" s="34" t="str">
        <f aca="true">IF(AND($G217&lt;&gt;"",$P217="",$R217=""),IF(TODAY()&gt;$G217,"⚑",""),"")</f>
        <v/>
      </c>
      <c r="AA217" s="34" t="str">
        <f aca="true">IF(AND($E217&lt;&gt;"",$P217="",$R217=""),IF(TODAY()-MAX($E217,$H217,$M217,$S217)&gt;7,"⚑",""),"")</f>
        <v/>
      </c>
      <c r="AB217" s="34" t="str">
        <f aca="false">IF(OR($P217="",$G217=""),"",IF($P217&lt;=$G217,"Có","Không"))</f>
        <v/>
      </c>
      <c r="AC217" s="34" t="str">
        <f aca="false">IF(OR($P217="",$E217=""),"",$P217-$E217)</f>
        <v/>
      </c>
      <c r="AD217" s="35" t="str">
        <f aca="false">IF($A217="","",COUNTIF(CASE!$B$3:$B$202,$A217))</f>
        <v/>
      </c>
      <c r="AE217" s="34" t="str">
        <f aca="false">IF(OR($I217="",$E217=""),"",$I217-$E217)</f>
        <v/>
      </c>
      <c r="AF217" s="34" t="str">
        <f aca="false">IF(OR($K217="",$I217=""),"",$K217-$I217)</f>
        <v/>
      </c>
      <c r="AG217" s="34" t="str">
        <f aca="false">IF(OR($L217="",$K217=""),"",$L217-$K217)</f>
        <v/>
      </c>
      <c r="AH217" s="34" t="str">
        <f aca="false">IF(OR($M217="",$L217=""),"",$M217-$L217)</f>
        <v/>
      </c>
      <c r="AI217" s="34" t="str">
        <f aca="false">IF(OR($P217="",$M217=""),"",$P217-$M217)</f>
        <v/>
      </c>
    </row>
    <row r="218" customFormat="false" ht="15" hidden="false" customHeight="false" outlineLevel="0" collapsed="false">
      <c r="A218" s="29"/>
      <c r="B218" s="29"/>
      <c r="C218" s="29"/>
      <c r="D218" s="30"/>
      <c r="E218" s="31"/>
      <c r="F218" s="32" t="str">
        <f aca="false">IF($E218="","",$E218+7*IFERROR(VLOOKUP($B218,DS!$K$2:$M$4,2,FALSE()),12))</f>
        <v/>
      </c>
      <c r="G218" s="32" t="str">
        <f aca="false">IF($E218="","",$E218+7*IFERROR(VLOOKUP($B218,DS!$K$2:$M$4,3,FALSE()),12))</f>
        <v/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3" t="str">
        <f aca="false">IF($A218="","",IF($R218&lt;&gt;"","95 Hủy/hoàn",IF($Q218&lt;&gt;"","99 Đóng",IF($P218&lt;&gt;"","90 Đã giao",IF($O218&lt;&gt;"","80 Đang giao",IF($N218&lt;&gt;"","70 Thông quan",IF($M218&lt;&gt;"","60 Đã xuất",IF($L218&lt;&gt;"","50 QC đạt",IF($K218&lt;&gt;"","40 NCC đã gửi",IF($I218&lt;&gt;"","30 Đã đặt NCC",IF($H218&lt;&gt;"","20 Đã xác nhận","10 Mới")))))))))))</f>
        <v/>
      </c>
      <c r="U218" s="33" t="str">
        <f aca="false">IF($T218="","",IFERROR(VLOOKUP($T218,DS!$A$2:$B$12,2,FALSE()),""))</f>
        <v/>
      </c>
      <c r="V218" s="34" t="str">
        <f aca="true">IF(OR($T218="",LEFT($T218,2)="99",LEFT($T218,2)="95"),"",TODAY()-MAX($E218,$H218:$P218))</f>
        <v/>
      </c>
      <c r="W218" s="34" t="str">
        <f aca="true">IF(AND($E218&lt;&gt;"",$I218="",$R218=""),IF(TODAY()-$E218&gt;1,"⚑",""),"")</f>
        <v/>
      </c>
      <c r="X218" s="34" t="str">
        <f aca="true">IF(AND($J218&lt;&gt;"",$K218="",$R218=""),IF(TODAY()-$J218&gt;2,"⚑",""),"")</f>
        <v/>
      </c>
      <c r="Y218" s="34" t="str">
        <f aca="true">IF(AND($G218&lt;&gt;"",$M218="",$R218=""),IF(AND($G218-TODAY()&lt;=14,$G218&gt;=TODAY()),"⚑",""),"")</f>
        <v/>
      </c>
      <c r="Z218" s="34" t="str">
        <f aca="true">IF(AND($G218&lt;&gt;"",$P218="",$R218=""),IF(TODAY()&gt;$G218,"⚑",""),"")</f>
        <v/>
      </c>
      <c r="AA218" s="34" t="str">
        <f aca="true">IF(AND($E218&lt;&gt;"",$P218="",$R218=""),IF(TODAY()-MAX($E218,$H218,$M218,$S218)&gt;7,"⚑",""),"")</f>
        <v/>
      </c>
      <c r="AB218" s="34" t="str">
        <f aca="false">IF(OR($P218="",$G218=""),"",IF($P218&lt;=$G218,"Có","Không"))</f>
        <v/>
      </c>
      <c r="AC218" s="34" t="str">
        <f aca="false">IF(OR($P218="",$E218=""),"",$P218-$E218)</f>
        <v/>
      </c>
      <c r="AD218" s="35" t="str">
        <f aca="false">IF($A218="","",COUNTIF(CASE!$B$3:$B$202,$A218))</f>
        <v/>
      </c>
      <c r="AE218" s="34" t="str">
        <f aca="false">IF(OR($I218="",$E218=""),"",$I218-$E218)</f>
        <v/>
      </c>
      <c r="AF218" s="34" t="str">
        <f aca="false">IF(OR($K218="",$I218=""),"",$K218-$I218)</f>
        <v/>
      </c>
      <c r="AG218" s="34" t="str">
        <f aca="false">IF(OR($L218="",$K218=""),"",$L218-$K218)</f>
        <v/>
      </c>
      <c r="AH218" s="34" t="str">
        <f aca="false">IF(OR($M218="",$L218=""),"",$M218-$L218)</f>
        <v/>
      </c>
      <c r="AI218" s="34" t="str">
        <f aca="false">IF(OR($P218="",$M218=""),"",$P218-$M218)</f>
        <v/>
      </c>
    </row>
    <row r="219" customFormat="false" ht="15" hidden="false" customHeight="false" outlineLevel="0" collapsed="false">
      <c r="A219" s="29"/>
      <c r="B219" s="29"/>
      <c r="C219" s="29"/>
      <c r="D219" s="30"/>
      <c r="E219" s="31"/>
      <c r="F219" s="32" t="str">
        <f aca="false">IF($E219="","",$E219+7*IFERROR(VLOOKUP($B219,DS!$K$2:$M$4,2,FALSE()),12))</f>
        <v/>
      </c>
      <c r="G219" s="32" t="str">
        <f aca="false">IF($E219="","",$E219+7*IFERROR(VLOOKUP($B219,DS!$K$2:$M$4,3,FALSE()),12))</f>
        <v/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3" t="str">
        <f aca="false">IF($A219="","",IF($R219&lt;&gt;"","95 Hủy/hoàn",IF($Q219&lt;&gt;"","99 Đóng",IF($P219&lt;&gt;"","90 Đã giao",IF($O219&lt;&gt;"","80 Đang giao",IF($N219&lt;&gt;"","70 Thông quan",IF($M219&lt;&gt;"","60 Đã xuất",IF($L219&lt;&gt;"","50 QC đạt",IF($K219&lt;&gt;"","40 NCC đã gửi",IF($I219&lt;&gt;"","30 Đã đặt NCC",IF($H219&lt;&gt;"","20 Đã xác nhận","10 Mới")))))))))))</f>
        <v/>
      </c>
      <c r="U219" s="33" t="str">
        <f aca="false">IF($T219="","",IFERROR(VLOOKUP($T219,DS!$A$2:$B$12,2,FALSE()),""))</f>
        <v/>
      </c>
      <c r="V219" s="34" t="str">
        <f aca="true">IF(OR($T219="",LEFT($T219,2)="99",LEFT($T219,2)="95"),"",TODAY()-MAX($E219,$H219:$P219))</f>
        <v/>
      </c>
      <c r="W219" s="34" t="str">
        <f aca="true">IF(AND($E219&lt;&gt;"",$I219="",$R219=""),IF(TODAY()-$E219&gt;1,"⚑",""),"")</f>
        <v/>
      </c>
      <c r="X219" s="34" t="str">
        <f aca="true">IF(AND($J219&lt;&gt;"",$K219="",$R219=""),IF(TODAY()-$J219&gt;2,"⚑",""),"")</f>
        <v/>
      </c>
      <c r="Y219" s="34" t="str">
        <f aca="true">IF(AND($G219&lt;&gt;"",$M219="",$R219=""),IF(AND($G219-TODAY()&lt;=14,$G219&gt;=TODAY()),"⚑",""),"")</f>
        <v/>
      </c>
      <c r="Z219" s="34" t="str">
        <f aca="true">IF(AND($G219&lt;&gt;"",$P219="",$R219=""),IF(TODAY()&gt;$G219,"⚑",""),"")</f>
        <v/>
      </c>
      <c r="AA219" s="34" t="str">
        <f aca="true">IF(AND($E219&lt;&gt;"",$P219="",$R219=""),IF(TODAY()-MAX($E219,$H219,$M219,$S219)&gt;7,"⚑",""),"")</f>
        <v/>
      </c>
      <c r="AB219" s="34" t="str">
        <f aca="false">IF(OR($P219="",$G219=""),"",IF($P219&lt;=$G219,"Có","Không"))</f>
        <v/>
      </c>
      <c r="AC219" s="34" t="str">
        <f aca="false">IF(OR($P219="",$E219=""),"",$P219-$E219)</f>
        <v/>
      </c>
      <c r="AD219" s="35" t="str">
        <f aca="false">IF($A219="","",COUNTIF(CASE!$B$3:$B$202,$A219))</f>
        <v/>
      </c>
      <c r="AE219" s="34" t="str">
        <f aca="false">IF(OR($I219="",$E219=""),"",$I219-$E219)</f>
        <v/>
      </c>
      <c r="AF219" s="34" t="str">
        <f aca="false">IF(OR($K219="",$I219=""),"",$K219-$I219)</f>
        <v/>
      </c>
      <c r="AG219" s="34" t="str">
        <f aca="false">IF(OR($L219="",$K219=""),"",$L219-$K219)</f>
        <v/>
      </c>
      <c r="AH219" s="34" t="str">
        <f aca="false">IF(OR($M219="",$L219=""),"",$M219-$L219)</f>
        <v/>
      </c>
      <c r="AI219" s="34" t="str">
        <f aca="false">IF(OR($P219="",$M219=""),"",$P219-$M219)</f>
        <v/>
      </c>
    </row>
    <row r="220" customFormat="false" ht="15" hidden="false" customHeight="false" outlineLevel="0" collapsed="false">
      <c r="A220" s="29"/>
      <c r="B220" s="29"/>
      <c r="C220" s="29"/>
      <c r="D220" s="30"/>
      <c r="E220" s="31"/>
      <c r="F220" s="32" t="str">
        <f aca="false">IF($E220="","",$E220+7*IFERROR(VLOOKUP($B220,DS!$K$2:$M$4,2,FALSE()),12))</f>
        <v/>
      </c>
      <c r="G220" s="32" t="str">
        <f aca="false">IF($E220="","",$E220+7*IFERROR(VLOOKUP($B220,DS!$K$2:$M$4,3,FALSE()),12))</f>
        <v/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3" t="str">
        <f aca="false">IF($A220="","",IF($R220&lt;&gt;"","95 Hủy/hoàn",IF($Q220&lt;&gt;"","99 Đóng",IF($P220&lt;&gt;"","90 Đã giao",IF($O220&lt;&gt;"","80 Đang giao",IF($N220&lt;&gt;"","70 Thông quan",IF($M220&lt;&gt;"","60 Đã xuất",IF($L220&lt;&gt;"","50 QC đạt",IF($K220&lt;&gt;"","40 NCC đã gửi",IF($I220&lt;&gt;"","30 Đã đặt NCC",IF($H220&lt;&gt;"","20 Đã xác nhận","10 Mới")))))))))))</f>
        <v/>
      </c>
      <c r="U220" s="33" t="str">
        <f aca="false">IF($T220="","",IFERROR(VLOOKUP($T220,DS!$A$2:$B$12,2,FALSE()),""))</f>
        <v/>
      </c>
      <c r="V220" s="34" t="str">
        <f aca="true">IF(OR($T220="",LEFT($T220,2)="99",LEFT($T220,2)="95"),"",TODAY()-MAX($E220,$H220:$P220))</f>
        <v/>
      </c>
      <c r="W220" s="34" t="str">
        <f aca="true">IF(AND($E220&lt;&gt;"",$I220="",$R220=""),IF(TODAY()-$E220&gt;1,"⚑",""),"")</f>
        <v/>
      </c>
      <c r="X220" s="34" t="str">
        <f aca="true">IF(AND($J220&lt;&gt;"",$K220="",$R220=""),IF(TODAY()-$J220&gt;2,"⚑",""),"")</f>
        <v/>
      </c>
      <c r="Y220" s="34" t="str">
        <f aca="true">IF(AND($G220&lt;&gt;"",$M220="",$R220=""),IF(AND($G220-TODAY()&lt;=14,$G220&gt;=TODAY()),"⚑",""),"")</f>
        <v/>
      </c>
      <c r="Z220" s="34" t="str">
        <f aca="true">IF(AND($G220&lt;&gt;"",$P220="",$R220=""),IF(TODAY()&gt;$G220,"⚑",""),"")</f>
        <v/>
      </c>
      <c r="AA220" s="34" t="str">
        <f aca="true">IF(AND($E220&lt;&gt;"",$P220="",$R220=""),IF(TODAY()-MAX($E220,$H220,$M220,$S220)&gt;7,"⚑",""),"")</f>
        <v/>
      </c>
      <c r="AB220" s="34" t="str">
        <f aca="false">IF(OR($P220="",$G220=""),"",IF($P220&lt;=$G220,"Có","Không"))</f>
        <v/>
      </c>
      <c r="AC220" s="34" t="str">
        <f aca="false">IF(OR($P220="",$E220=""),"",$P220-$E220)</f>
        <v/>
      </c>
      <c r="AD220" s="35" t="str">
        <f aca="false">IF($A220="","",COUNTIF(CASE!$B$3:$B$202,$A220))</f>
        <v/>
      </c>
      <c r="AE220" s="34" t="str">
        <f aca="false">IF(OR($I220="",$E220=""),"",$I220-$E220)</f>
        <v/>
      </c>
      <c r="AF220" s="34" t="str">
        <f aca="false">IF(OR($K220="",$I220=""),"",$K220-$I220)</f>
        <v/>
      </c>
      <c r="AG220" s="34" t="str">
        <f aca="false">IF(OR($L220="",$K220=""),"",$L220-$K220)</f>
        <v/>
      </c>
      <c r="AH220" s="34" t="str">
        <f aca="false">IF(OR($M220="",$L220=""),"",$M220-$L220)</f>
        <v/>
      </c>
      <c r="AI220" s="34" t="str">
        <f aca="false">IF(OR($P220="",$M220=""),"",$P220-$M220)</f>
        <v/>
      </c>
    </row>
    <row r="221" customFormat="false" ht="15" hidden="false" customHeight="false" outlineLevel="0" collapsed="false">
      <c r="A221" s="29"/>
      <c r="B221" s="29"/>
      <c r="C221" s="29"/>
      <c r="D221" s="30"/>
      <c r="E221" s="31"/>
      <c r="F221" s="32" t="str">
        <f aca="false">IF($E221="","",$E221+7*IFERROR(VLOOKUP($B221,DS!$K$2:$M$4,2,FALSE()),12))</f>
        <v/>
      </c>
      <c r="G221" s="32" t="str">
        <f aca="false">IF($E221="","",$E221+7*IFERROR(VLOOKUP($B221,DS!$K$2:$M$4,3,FALSE()),12))</f>
        <v/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3" t="str">
        <f aca="false">IF($A221="","",IF($R221&lt;&gt;"","95 Hủy/hoàn",IF($Q221&lt;&gt;"","99 Đóng",IF($P221&lt;&gt;"","90 Đã giao",IF($O221&lt;&gt;"","80 Đang giao",IF($N221&lt;&gt;"","70 Thông quan",IF($M221&lt;&gt;"","60 Đã xuất",IF($L221&lt;&gt;"","50 QC đạt",IF($K221&lt;&gt;"","40 NCC đã gửi",IF($I221&lt;&gt;"","30 Đã đặt NCC",IF($H221&lt;&gt;"","20 Đã xác nhận","10 Mới")))))))))))</f>
        <v/>
      </c>
      <c r="U221" s="33" t="str">
        <f aca="false">IF($T221="","",IFERROR(VLOOKUP($T221,DS!$A$2:$B$12,2,FALSE()),""))</f>
        <v/>
      </c>
      <c r="V221" s="34" t="str">
        <f aca="true">IF(OR($T221="",LEFT($T221,2)="99",LEFT($T221,2)="95"),"",TODAY()-MAX($E221,$H221:$P221))</f>
        <v/>
      </c>
      <c r="W221" s="34" t="str">
        <f aca="true">IF(AND($E221&lt;&gt;"",$I221="",$R221=""),IF(TODAY()-$E221&gt;1,"⚑",""),"")</f>
        <v/>
      </c>
      <c r="X221" s="34" t="str">
        <f aca="true">IF(AND($J221&lt;&gt;"",$K221="",$R221=""),IF(TODAY()-$J221&gt;2,"⚑",""),"")</f>
        <v/>
      </c>
      <c r="Y221" s="34" t="str">
        <f aca="true">IF(AND($G221&lt;&gt;"",$M221="",$R221=""),IF(AND($G221-TODAY()&lt;=14,$G221&gt;=TODAY()),"⚑",""),"")</f>
        <v/>
      </c>
      <c r="Z221" s="34" t="str">
        <f aca="true">IF(AND($G221&lt;&gt;"",$P221="",$R221=""),IF(TODAY()&gt;$G221,"⚑",""),"")</f>
        <v/>
      </c>
      <c r="AA221" s="34" t="str">
        <f aca="true">IF(AND($E221&lt;&gt;"",$P221="",$R221=""),IF(TODAY()-MAX($E221,$H221,$M221,$S221)&gt;7,"⚑",""),"")</f>
        <v/>
      </c>
      <c r="AB221" s="34" t="str">
        <f aca="false">IF(OR($P221="",$G221=""),"",IF($P221&lt;=$G221,"Có","Không"))</f>
        <v/>
      </c>
      <c r="AC221" s="34" t="str">
        <f aca="false">IF(OR($P221="",$E221=""),"",$P221-$E221)</f>
        <v/>
      </c>
      <c r="AD221" s="35" t="str">
        <f aca="false">IF($A221="","",COUNTIF(CASE!$B$3:$B$202,$A221))</f>
        <v/>
      </c>
      <c r="AE221" s="34" t="str">
        <f aca="false">IF(OR($I221="",$E221=""),"",$I221-$E221)</f>
        <v/>
      </c>
      <c r="AF221" s="34" t="str">
        <f aca="false">IF(OR($K221="",$I221=""),"",$K221-$I221)</f>
        <v/>
      </c>
      <c r="AG221" s="34" t="str">
        <f aca="false">IF(OR($L221="",$K221=""),"",$L221-$K221)</f>
        <v/>
      </c>
      <c r="AH221" s="34" t="str">
        <f aca="false">IF(OR($M221="",$L221=""),"",$M221-$L221)</f>
        <v/>
      </c>
      <c r="AI221" s="34" t="str">
        <f aca="false">IF(OR($P221="",$M221=""),"",$P221-$M221)</f>
        <v/>
      </c>
    </row>
    <row r="222" customFormat="false" ht="15" hidden="false" customHeight="false" outlineLevel="0" collapsed="false">
      <c r="A222" s="29"/>
      <c r="B222" s="29"/>
      <c r="C222" s="29"/>
      <c r="D222" s="30"/>
      <c r="E222" s="31"/>
      <c r="F222" s="32" t="str">
        <f aca="false">IF($E222="","",$E222+7*IFERROR(VLOOKUP($B222,DS!$K$2:$M$4,2,FALSE()),12))</f>
        <v/>
      </c>
      <c r="G222" s="32" t="str">
        <f aca="false">IF($E222="","",$E222+7*IFERROR(VLOOKUP($B222,DS!$K$2:$M$4,3,FALSE()),12))</f>
        <v/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3" t="str">
        <f aca="false">IF($A222="","",IF($R222&lt;&gt;"","95 Hủy/hoàn",IF($Q222&lt;&gt;"","99 Đóng",IF($P222&lt;&gt;"","90 Đã giao",IF($O222&lt;&gt;"","80 Đang giao",IF($N222&lt;&gt;"","70 Thông quan",IF($M222&lt;&gt;"","60 Đã xuất",IF($L222&lt;&gt;"","50 QC đạt",IF($K222&lt;&gt;"","40 NCC đã gửi",IF($I222&lt;&gt;"","30 Đã đặt NCC",IF($H222&lt;&gt;"","20 Đã xác nhận","10 Mới")))))))))))</f>
        <v/>
      </c>
      <c r="U222" s="33" t="str">
        <f aca="false">IF($T222="","",IFERROR(VLOOKUP($T222,DS!$A$2:$B$12,2,FALSE()),""))</f>
        <v/>
      </c>
      <c r="V222" s="34" t="str">
        <f aca="true">IF(OR($T222="",LEFT($T222,2)="99",LEFT($T222,2)="95"),"",TODAY()-MAX($E222,$H222:$P222))</f>
        <v/>
      </c>
      <c r="W222" s="34" t="str">
        <f aca="true">IF(AND($E222&lt;&gt;"",$I222="",$R222=""),IF(TODAY()-$E222&gt;1,"⚑",""),"")</f>
        <v/>
      </c>
      <c r="X222" s="34" t="str">
        <f aca="true">IF(AND($J222&lt;&gt;"",$K222="",$R222=""),IF(TODAY()-$J222&gt;2,"⚑",""),"")</f>
        <v/>
      </c>
      <c r="Y222" s="34" t="str">
        <f aca="true">IF(AND($G222&lt;&gt;"",$M222="",$R222=""),IF(AND($G222-TODAY()&lt;=14,$G222&gt;=TODAY()),"⚑",""),"")</f>
        <v/>
      </c>
      <c r="Z222" s="34" t="str">
        <f aca="true">IF(AND($G222&lt;&gt;"",$P222="",$R222=""),IF(TODAY()&gt;$G222,"⚑",""),"")</f>
        <v/>
      </c>
      <c r="AA222" s="34" t="str">
        <f aca="true">IF(AND($E222&lt;&gt;"",$P222="",$R222=""),IF(TODAY()-MAX($E222,$H222,$M222,$S222)&gt;7,"⚑",""),"")</f>
        <v/>
      </c>
      <c r="AB222" s="34" t="str">
        <f aca="false">IF(OR($P222="",$G222=""),"",IF($P222&lt;=$G222,"Có","Không"))</f>
        <v/>
      </c>
      <c r="AC222" s="34" t="str">
        <f aca="false">IF(OR($P222="",$E222=""),"",$P222-$E222)</f>
        <v/>
      </c>
      <c r="AD222" s="35" t="str">
        <f aca="false">IF($A222="","",COUNTIF(CASE!$B$3:$B$202,$A222))</f>
        <v/>
      </c>
      <c r="AE222" s="34" t="str">
        <f aca="false">IF(OR($I222="",$E222=""),"",$I222-$E222)</f>
        <v/>
      </c>
      <c r="AF222" s="34" t="str">
        <f aca="false">IF(OR($K222="",$I222=""),"",$K222-$I222)</f>
        <v/>
      </c>
      <c r="AG222" s="34" t="str">
        <f aca="false">IF(OR($L222="",$K222=""),"",$L222-$K222)</f>
        <v/>
      </c>
      <c r="AH222" s="34" t="str">
        <f aca="false">IF(OR($M222="",$L222=""),"",$M222-$L222)</f>
        <v/>
      </c>
      <c r="AI222" s="34" t="str">
        <f aca="false">IF(OR($P222="",$M222=""),"",$P222-$M222)</f>
        <v/>
      </c>
    </row>
    <row r="223" customFormat="false" ht="15" hidden="false" customHeight="false" outlineLevel="0" collapsed="false">
      <c r="A223" s="29"/>
      <c r="B223" s="29"/>
      <c r="C223" s="29"/>
      <c r="D223" s="30"/>
      <c r="E223" s="31"/>
      <c r="F223" s="32" t="str">
        <f aca="false">IF($E223="","",$E223+7*IFERROR(VLOOKUP($B223,DS!$K$2:$M$4,2,FALSE()),12))</f>
        <v/>
      </c>
      <c r="G223" s="32" t="str">
        <f aca="false">IF($E223="","",$E223+7*IFERROR(VLOOKUP($B223,DS!$K$2:$M$4,3,FALSE()),12))</f>
        <v/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3" t="str">
        <f aca="false">IF($A223="","",IF($R223&lt;&gt;"","95 Hủy/hoàn",IF($Q223&lt;&gt;"","99 Đóng",IF($P223&lt;&gt;"","90 Đã giao",IF($O223&lt;&gt;"","80 Đang giao",IF($N223&lt;&gt;"","70 Thông quan",IF($M223&lt;&gt;"","60 Đã xuất",IF($L223&lt;&gt;"","50 QC đạt",IF($K223&lt;&gt;"","40 NCC đã gửi",IF($I223&lt;&gt;"","30 Đã đặt NCC",IF($H223&lt;&gt;"","20 Đã xác nhận","10 Mới")))))))))))</f>
        <v/>
      </c>
      <c r="U223" s="33" t="str">
        <f aca="false">IF($T223="","",IFERROR(VLOOKUP($T223,DS!$A$2:$B$12,2,FALSE()),""))</f>
        <v/>
      </c>
      <c r="V223" s="34" t="str">
        <f aca="true">IF(OR($T223="",LEFT($T223,2)="99",LEFT($T223,2)="95"),"",TODAY()-MAX($E223,$H223:$P223))</f>
        <v/>
      </c>
      <c r="W223" s="34" t="str">
        <f aca="true">IF(AND($E223&lt;&gt;"",$I223="",$R223=""),IF(TODAY()-$E223&gt;1,"⚑",""),"")</f>
        <v/>
      </c>
      <c r="X223" s="34" t="str">
        <f aca="true">IF(AND($J223&lt;&gt;"",$K223="",$R223=""),IF(TODAY()-$J223&gt;2,"⚑",""),"")</f>
        <v/>
      </c>
      <c r="Y223" s="34" t="str">
        <f aca="true">IF(AND($G223&lt;&gt;"",$M223="",$R223=""),IF(AND($G223-TODAY()&lt;=14,$G223&gt;=TODAY()),"⚑",""),"")</f>
        <v/>
      </c>
      <c r="Z223" s="34" t="str">
        <f aca="true">IF(AND($G223&lt;&gt;"",$P223="",$R223=""),IF(TODAY()&gt;$G223,"⚑",""),"")</f>
        <v/>
      </c>
      <c r="AA223" s="34" t="str">
        <f aca="true">IF(AND($E223&lt;&gt;"",$P223="",$R223=""),IF(TODAY()-MAX($E223,$H223,$M223,$S223)&gt;7,"⚑",""),"")</f>
        <v/>
      </c>
      <c r="AB223" s="34" t="str">
        <f aca="false">IF(OR($P223="",$G223=""),"",IF($P223&lt;=$G223,"Có","Không"))</f>
        <v/>
      </c>
      <c r="AC223" s="34" t="str">
        <f aca="false">IF(OR($P223="",$E223=""),"",$P223-$E223)</f>
        <v/>
      </c>
      <c r="AD223" s="35" t="str">
        <f aca="false">IF($A223="","",COUNTIF(CASE!$B$3:$B$202,$A223))</f>
        <v/>
      </c>
      <c r="AE223" s="34" t="str">
        <f aca="false">IF(OR($I223="",$E223=""),"",$I223-$E223)</f>
        <v/>
      </c>
      <c r="AF223" s="34" t="str">
        <f aca="false">IF(OR($K223="",$I223=""),"",$K223-$I223)</f>
        <v/>
      </c>
      <c r="AG223" s="34" t="str">
        <f aca="false">IF(OR($L223="",$K223=""),"",$L223-$K223)</f>
        <v/>
      </c>
      <c r="AH223" s="34" t="str">
        <f aca="false">IF(OR($M223="",$L223=""),"",$M223-$L223)</f>
        <v/>
      </c>
      <c r="AI223" s="34" t="str">
        <f aca="false">IF(OR($P223="",$M223=""),"",$P223-$M223)</f>
        <v/>
      </c>
    </row>
    <row r="224" customFormat="false" ht="15" hidden="false" customHeight="false" outlineLevel="0" collapsed="false">
      <c r="A224" s="29"/>
      <c r="B224" s="29"/>
      <c r="C224" s="29"/>
      <c r="D224" s="30"/>
      <c r="E224" s="31"/>
      <c r="F224" s="32" t="str">
        <f aca="false">IF($E224="","",$E224+7*IFERROR(VLOOKUP($B224,DS!$K$2:$M$4,2,FALSE()),12))</f>
        <v/>
      </c>
      <c r="G224" s="32" t="str">
        <f aca="false">IF($E224="","",$E224+7*IFERROR(VLOOKUP($B224,DS!$K$2:$M$4,3,FALSE()),12))</f>
        <v/>
      </c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3" t="str">
        <f aca="false">IF($A224="","",IF($R224&lt;&gt;"","95 Hủy/hoàn",IF($Q224&lt;&gt;"","99 Đóng",IF($P224&lt;&gt;"","90 Đã giao",IF($O224&lt;&gt;"","80 Đang giao",IF($N224&lt;&gt;"","70 Thông quan",IF($M224&lt;&gt;"","60 Đã xuất",IF($L224&lt;&gt;"","50 QC đạt",IF($K224&lt;&gt;"","40 NCC đã gửi",IF($I224&lt;&gt;"","30 Đã đặt NCC",IF($H224&lt;&gt;"","20 Đã xác nhận","10 Mới")))))))))))</f>
        <v/>
      </c>
      <c r="U224" s="33" t="str">
        <f aca="false">IF($T224="","",IFERROR(VLOOKUP($T224,DS!$A$2:$B$12,2,FALSE()),""))</f>
        <v/>
      </c>
      <c r="V224" s="34" t="str">
        <f aca="true">IF(OR($T224="",LEFT($T224,2)="99",LEFT($T224,2)="95"),"",TODAY()-MAX($E224,$H224:$P224))</f>
        <v/>
      </c>
      <c r="W224" s="34" t="str">
        <f aca="true">IF(AND($E224&lt;&gt;"",$I224="",$R224=""),IF(TODAY()-$E224&gt;1,"⚑",""),"")</f>
        <v/>
      </c>
      <c r="X224" s="34" t="str">
        <f aca="true">IF(AND($J224&lt;&gt;"",$K224="",$R224=""),IF(TODAY()-$J224&gt;2,"⚑",""),"")</f>
        <v/>
      </c>
      <c r="Y224" s="34" t="str">
        <f aca="true">IF(AND($G224&lt;&gt;"",$M224="",$R224=""),IF(AND($G224-TODAY()&lt;=14,$G224&gt;=TODAY()),"⚑",""),"")</f>
        <v/>
      </c>
      <c r="Z224" s="34" t="str">
        <f aca="true">IF(AND($G224&lt;&gt;"",$P224="",$R224=""),IF(TODAY()&gt;$G224,"⚑",""),"")</f>
        <v/>
      </c>
      <c r="AA224" s="34" t="str">
        <f aca="true">IF(AND($E224&lt;&gt;"",$P224="",$R224=""),IF(TODAY()-MAX($E224,$H224,$M224,$S224)&gt;7,"⚑",""),"")</f>
        <v/>
      </c>
      <c r="AB224" s="34" t="str">
        <f aca="false">IF(OR($P224="",$G224=""),"",IF($P224&lt;=$G224,"Có","Không"))</f>
        <v/>
      </c>
      <c r="AC224" s="34" t="str">
        <f aca="false">IF(OR($P224="",$E224=""),"",$P224-$E224)</f>
        <v/>
      </c>
      <c r="AD224" s="35" t="str">
        <f aca="false">IF($A224="","",COUNTIF(CASE!$B$3:$B$202,$A224))</f>
        <v/>
      </c>
      <c r="AE224" s="34" t="str">
        <f aca="false">IF(OR($I224="",$E224=""),"",$I224-$E224)</f>
        <v/>
      </c>
      <c r="AF224" s="34" t="str">
        <f aca="false">IF(OR($K224="",$I224=""),"",$K224-$I224)</f>
        <v/>
      </c>
      <c r="AG224" s="34" t="str">
        <f aca="false">IF(OR($L224="",$K224=""),"",$L224-$K224)</f>
        <v/>
      </c>
      <c r="AH224" s="34" t="str">
        <f aca="false">IF(OR($M224="",$L224=""),"",$M224-$L224)</f>
        <v/>
      </c>
      <c r="AI224" s="34" t="str">
        <f aca="false">IF(OR($P224="",$M224=""),"",$P224-$M224)</f>
        <v/>
      </c>
    </row>
    <row r="225" customFormat="false" ht="15" hidden="false" customHeight="false" outlineLevel="0" collapsed="false">
      <c r="A225" s="29"/>
      <c r="B225" s="29"/>
      <c r="C225" s="29"/>
      <c r="D225" s="30"/>
      <c r="E225" s="31"/>
      <c r="F225" s="32" t="str">
        <f aca="false">IF($E225="","",$E225+7*IFERROR(VLOOKUP($B225,DS!$K$2:$M$4,2,FALSE()),12))</f>
        <v/>
      </c>
      <c r="G225" s="32" t="str">
        <f aca="false">IF($E225="","",$E225+7*IFERROR(VLOOKUP($B225,DS!$K$2:$M$4,3,FALSE()),12))</f>
        <v/>
      </c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3" t="str">
        <f aca="false">IF($A225="","",IF($R225&lt;&gt;"","95 Hủy/hoàn",IF($Q225&lt;&gt;"","99 Đóng",IF($P225&lt;&gt;"","90 Đã giao",IF($O225&lt;&gt;"","80 Đang giao",IF($N225&lt;&gt;"","70 Thông quan",IF($M225&lt;&gt;"","60 Đã xuất",IF($L225&lt;&gt;"","50 QC đạt",IF($K225&lt;&gt;"","40 NCC đã gửi",IF($I225&lt;&gt;"","30 Đã đặt NCC",IF($H225&lt;&gt;"","20 Đã xác nhận","10 Mới")))))))))))</f>
        <v/>
      </c>
      <c r="U225" s="33" t="str">
        <f aca="false">IF($T225="","",IFERROR(VLOOKUP($T225,DS!$A$2:$B$12,2,FALSE()),""))</f>
        <v/>
      </c>
      <c r="V225" s="34" t="str">
        <f aca="true">IF(OR($T225="",LEFT($T225,2)="99",LEFT($T225,2)="95"),"",TODAY()-MAX($E225,$H225:$P225))</f>
        <v/>
      </c>
      <c r="W225" s="34" t="str">
        <f aca="true">IF(AND($E225&lt;&gt;"",$I225="",$R225=""),IF(TODAY()-$E225&gt;1,"⚑",""),"")</f>
        <v/>
      </c>
      <c r="X225" s="34" t="str">
        <f aca="true">IF(AND($J225&lt;&gt;"",$K225="",$R225=""),IF(TODAY()-$J225&gt;2,"⚑",""),"")</f>
        <v/>
      </c>
      <c r="Y225" s="34" t="str">
        <f aca="true">IF(AND($G225&lt;&gt;"",$M225="",$R225=""),IF(AND($G225-TODAY()&lt;=14,$G225&gt;=TODAY()),"⚑",""),"")</f>
        <v/>
      </c>
      <c r="Z225" s="34" t="str">
        <f aca="true">IF(AND($G225&lt;&gt;"",$P225="",$R225=""),IF(TODAY()&gt;$G225,"⚑",""),"")</f>
        <v/>
      </c>
      <c r="AA225" s="34" t="str">
        <f aca="true">IF(AND($E225&lt;&gt;"",$P225="",$R225=""),IF(TODAY()-MAX($E225,$H225,$M225,$S225)&gt;7,"⚑",""),"")</f>
        <v/>
      </c>
      <c r="AB225" s="34" t="str">
        <f aca="false">IF(OR($P225="",$G225=""),"",IF($P225&lt;=$G225,"Có","Không"))</f>
        <v/>
      </c>
      <c r="AC225" s="34" t="str">
        <f aca="false">IF(OR($P225="",$E225=""),"",$P225-$E225)</f>
        <v/>
      </c>
      <c r="AD225" s="35" t="str">
        <f aca="false">IF($A225="","",COUNTIF(CASE!$B$3:$B$202,$A225))</f>
        <v/>
      </c>
      <c r="AE225" s="34" t="str">
        <f aca="false">IF(OR($I225="",$E225=""),"",$I225-$E225)</f>
        <v/>
      </c>
      <c r="AF225" s="34" t="str">
        <f aca="false">IF(OR($K225="",$I225=""),"",$K225-$I225)</f>
        <v/>
      </c>
      <c r="AG225" s="34" t="str">
        <f aca="false">IF(OR($L225="",$K225=""),"",$L225-$K225)</f>
        <v/>
      </c>
      <c r="AH225" s="34" t="str">
        <f aca="false">IF(OR($M225="",$L225=""),"",$M225-$L225)</f>
        <v/>
      </c>
      <c r="AI225" s="34" t="str">
        <f aca="false">IF(OR($P225="",$M225=""),"",$P225-$M225)</f>
        <v/>
      </c>
    </row>
    <row r="226" customFormat="false" ht="15" hidden="false" customHeight="false" outlineLevel="0" collapsed="false">
      <c r="A226" s="29"/>
      <c r="B226" s="29"/>
      <c r="C226" s="29"/>
      <c r="D226" s="30"/>
      <c r="E226" s="31"/>
      <c r="F226" s="32" t="str">
        <f aca="false">IF($E226="","",$E226+7*IFERROR(VLOOKUP($B226,DS!$K$2:$M$4,2,FALSE()),12))</f>
        <v/>
      </c>
      <c r="G226" s="32" t="str">
        <f aca="false">IF($E226="","",$E226+7*IFERROR(VLOOKUP($B226,DS!$K$2:$M$4,3,FALSE()),12))</f>
        <v/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3" t="str">
        <f aca="false">IF($A226="","",IF($R226&lt;&gt;"","95 Hủy/hoàn",IF($Q226&lt;&gt;"","99 Đóng",IF($P226&lt;&gt;"","90 Đã giao",IF($O226&lt;&gt;"","80 Đang giao",IF($N226&lt;&gt;"","70 Thông quan",IF($M226&lt;&gt;"","60 Đã xuất",IF($L226&lt;&gt;"","50 QC đạt",IF($K226&lt;&gt;"","40 NCC đã gửi",IF($I226&lt;&gt;"","30 Đã đặt NCC",IF($H226&lt;&gt;"","20 Đã xác nhận","10 Mới")))))))))))</f>
        <v/>
      </c>
      <c r="U226" s="33" t="str">
        <f aca="false">IF($T226="","",IFERROR(VLOOKUP($T226,DS!$A$2:$B$12,2,FALSE()),""))</f>
        <v/>
      </c>
      <c r="V226" s="34" t="str">
        <f aca="true">IF(OR($T226="",LEFT($T226,2)="99",LEFT($T226,2)="95"),"",TODAY()-MAX($E226,$H226:$P226))</f>
        <v/>
      </c>
      <c r="W226" s="34" t="str">
        <f aca="true">IF(AND($E226&lt;&gt;"",$I226="",$R226=""),IF(TODAY()-$E226&gt;1,"⚑",""),"")</f>
        <v/>
      </c>
      <c r="X226" s="34" t="str">
        <f aca="true">IF(AND($J226&lt;&gt;"",$K226="",$R226=""),IF(TODAY()-$J226&gt;2,"⚑",""),"")</f>
        <v/>
      </c>
      <c r="Y226" s="34" t="str">
        <f aca="true">IF(AND($G226&lt;&gt;"",$M226="",$R226=""),IF(AND($G226-TODAY()&lt;=14,$G226&gt;=TODAY()),"⚑",""),"")</f>
        <v/>
      </c>
      <c r="Z226" s="34" t="str">
        <f aca="true">IF(AND($G226&lt;&gt;"",$P226="",$R226=""),IF(TODAY()&gt;$G226,"⚑",""),"")</f>
        <v/>
      </c>
      <c r="AA226" s="34" t="str">
        <f aca="true">IF(AND($E226&lt;&gt;"",$P226="",$R226=""),IF(TODAY()-MAX($E226,$H226,$M226,$S226)&gt;7,"⚑",""),"")</f>
        <v/>
      </c>
      <c r="AB226" s="34" t="str">
        <f aca="false">IF(OR($P226="",$G226=""),"",IF($P226&lt;=$G226,"Có","Không"))</f>
        <v/>
      </c>
      <c r="AC226" s="34" t="str">
        <f aca="false">IF(OR($P226="",$E226=""),"",$P226-$E226)</f>
        <v/>
      </c>
      <c r="AD226" s="35" t="str">
        <f aca="false">IF($A226="","",COUNTIF(CASE!$B$3:$B$202,$A226))</f>
        <v/>
      </c>
      <c r="AE226" s="34" t="str">
        <f aca="false">IF(OR($I226="",$E226=""),"",$I226-$E226)</f>
        <v/>
      </c>
      <c r="AF226" s="34" t="str">
        <f aca="false">IF(OR($K226="",$I226=""),"",$K226-$I226)</f>
        <v/>
      </c>
      <c r="AG226" s="34" t="str">
        <f aca="false">IF(OR($L226="",$K226=""),"",$L226-$K226)</f>
        <v/>
      </c>
      <c r="AH226" s="34" t="str">
        <f aca="false">IF(OR($M226="",$L226=""),"",$M226-$L226)</f>
        <v/>
      </c>
      <c r="AI226" s="34" t="str">
        <f aca="false">IF(OR($P226="",$M226=""),"",$P226-$M226)</f>
        <v/>
      </c>
    </row>
    <row r="227" customFormat="false" ht="15" hidden="false" customHeight="false" outlineLevel="0" collapsed="false">
      <c r="A227" s="29"/>
      <c r="B227" s="29"/>
      <c r="C227" s="29"/>
      <c r="D227" s="30"/>
      <c r="E227" s="31"/>
      <c r="F227" s="32" t="str">
        <f aca="false">IF($E227="","",$E227+7*IFERROR(VLOOKUP($B227,DS!$K$2:$M$4,2,FALSE()),12))</f>
        <v/>
      </c>
      <c r="G227" s="32" t="str">
        <f aca="false">IF($E227="","",$E227+7*IFERROR(VLOOKUP($B227,DS!$K$2:$M$4,3,FALSE()),12))</f>
        <v/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3" t="str">
        <f aca="false">IF($A227="","",IF($R227&lt;&gt;"","95 Hủy/hoàn",IF($Q227&lt;&gt;"","99 Đóng",IF($P227&lt;&gt;"","90 Đã giao",IF($O227&lt;&gt;"","80 Đang giao",IF($N227&lt;&gt;"","70 Thông quan",IF($M227&lt;&gt;"","60 Đã xuất",IF($L227&lt;&gt;"","50 QC đạt",IF($K227&lt;&gt;"","40 NCC đã gửi",IF($I227&lt;&gt;"","30 Đã đặt NCC",IF($H227&lt;&gt;"","20 Đã xác nhận","10 Mới")))))))))))</f>
        <v/>
      </c>
      <c r="U227" s="33" t="str">
        <f aca="false">IF($T227="","",IFERROR(VLOOKUP($T227,DS!$A$2:$B$12,2,FALSE()),""))</f>
        <v/>
      </c>
      <c r="V227" s="34" t="str">
        <f aca="true">IF(OR($T227="",LEFT($T227,2)="99",LEFT($T227,2)="95"),"",TODAY()-MAX($E227,$H227:$P227))</f>
        <v/>
      </c>
      <c r="W227" s="34" t="str">
        <f aca="true">IF(AND($E227&lt;&gt;"",$I227="",$R227=""),IF(TODAY()-$E227&gt;1,"⚑",""),"")</f>
        <v/>
      </c>
      <c r="X227" s="34" t="str">
        <f aca="true">IF(AND($J227&lt;&gt;"",$K227="",$R227=""),IF(TODAY()-$J227&gt;2,"⚑",""),"")</f>
        <v/>
      </c>
      <c r="Y227" s="34" t="str">
        <f aca="true">IF(AND($G227&lt;&gt;"",$M227="",$R227=""),IF(AND($G227-TODAY()&lt;=14,$G227&gt;=TODAY()),"⚑",""),"")</f>
        <v/>
      </c>
      <c r="Z227" s="34" t="str">
        <f aca="true">IF(AND($G227&lt;&gt;"",$P227="",$R227=""),IF(TODAY()&gt;$G227,"⚑",""),"")</f>
        <v/>
      </c>
      <c r="AA227" s="34" t="str">
        <f aca="true">IF(AND($E227&lt;&gt;"",$P227="",$R227=""),IF(TODAY()-MAX($E227,$H227,$M227,$S227)&gt;7,"⚑",""),"")</f>
        <v/>
      </c>
      <c r="AB227" s="34" t="str">
        <f aca="false">IF(OR($P227="",$G227=""),"",IF($P227&lt;=$G227,"Có","Không"))</f>
        <v/>
      </c>
      <c r="AC227" s="34" t="str">
        <f aca="false">IF(OR($P227="",$E227=""),"",$P227-$E227)</f>
        <v/>
      </c>
      <c r="AD227" s="35" t="str">
        <f aca="false">IF($A227="","",COUNTIF(CASE!$B$3:$B$202,$A227))</f>
        <v/>
      </c>
      <c r="AE227" s="34" t="str">
        <f aca="false">IF(OR($I227="",$E227=""),"",$I227-$E227)</f>
        <v/>
      </c>
      <c r="AF227" s="34" t="str">
        <f aca="false">IF(OR($K227="",$I227=""),"",$K227-$I227)</f>
        <v/>
      </c>
      <c r="AG227" s="34" t="str">
        <f aca="false">IF(OR($L227="",$K227=""),"",$L227-$K227)</f>
        <v/>
      </c>
      <c r="AH227" s="34" t="str">
        <f aca="false">IF(OR($M227="",$L227=""),"",$M227-$L227)</f>
        <v/>
      </c>
      <c r="AI227" s="34" t="str">
        <f aca="false">IF(OR($P227="",$M227=""),"",$P227-$M227)</f>
        <v/>
      </c>
    </row>
    <row r="228" customFormat="false" ht="15" hidden="false" customHeight="false" outlineLevel="0" collapsed="false">
      <c r="A228" s="29"/>
      <c r="B228" s="29"/>
      <c r="C228" s="29"/>
      <c r="D228" s="30"/>
      <c r="E228" s="31"/>
      <c r="F228" s="32" t="str">
        <f aca="false">IF($E228="","",$E228+7*IFERROR(VLOOKUP($B228,DS!$K$2:$M$4,2,FALSE()),12))</f>
        <v/>
      </c>
      <c r="G228" s="32" t="str">
        <f aca="false">IF($E228="","",$E228+7*IFERROR(VLOOKUP($B228,DS!$K$2:$M$4,3,FALSE()),12))</f>
        <v/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3" t="str">
        <f aca="false">IF($A228="","",IF($R228&lt;&gt;"","95 Hủy/hoàn",IF($Q228&lt;&gt;"","99 Đóng",IF($P228&lt;&gt;"","90 Đã giao",IF($O228&lt;&gt;"","80 Đang giao",IF($N228&lt;&gt;"","70 Thông quan",IF($M228&lt;&gt;"","60 Đã xuất",IF($L228&lt;&gt;"","50 QC đạt",IF($K228&lt;&gt;"","40 NCC đã gửi",IF($I228&lt;&gt;"","30 Đã đặt NCC",IF($H228&lt;&gt;"","20 Đã xác nhận","10 Mới")))))))))))</f>
        <v/>
      </c>
      <c r="U228" s="33" t="str">
        <f aca="false">IF($T228="","",IFERROR(VLOOKUP($T228,DS!$A$2:$B$12,2,FALSE()),""))</f>
        <v/>
      </c>
      <c r="V228" s="34" t="str">
        <f aca="true">IF(OR($T228="",LEFT($T228,2)="99",LEFT($T228,2)="95"),"",TODAY()-MAX($E228,$H228:$P228))</f>
        <v/>
      </c>
      <c r="W228" s="34" t="str">
        <f aca="true">IF(AND($E228&lt;&gt;"",$I228="",$R228=""),IF(TODAY()-$E228&gt;1,"⚑",""),"")</f>
        <v/>
      </c>
      <c r="X228" s="34" t="str">
        <f aca="true">IF(AND($J228&lt;&gt;"",$K228="",$R228=""),IF(TODAY()-$J228&gt;2,"⚑",""),"")</f>
        <v/>
      </c>
      <c r="Y228" s="34" t="str">
        <f aca="true">IF(AND($G228&lt;&gt;"",$M228="",$R228=""),IF(AND($G228-TODAY()&lt;=14,$G228&gt;=TODAY()),"⚑",""),"")</f>
        <v/>
      </c>
      <c r="Z228" s="34" t="str">
        <f aca="true">IF(AND($G228&lt;&gt;"",$P228="",$R228=""),IF(TODAY()&gt;$G228,"⚑",""),"")</f>
        <v/>
      </c>
      <c r="AA228" s="34" t="str">
        <f aca="true">IF(AND($E228&lt;&gt;"",$P228="",$R228=""),IF(TODAY()-MAX($E228,$H228,$M228,$S228)&gt;7,"⚑",""),"")</f>
        <v/>
      </c>
      <c r="AB228" s="34" t="str">
        <f aca="false">IF(OR($P228="",$G228=""),"",IF($P228&lt;=$G228,"Có","Không"))</f>
        <v/>
      </c>
      <c r="AC228" s="34" t="str">
        <f aca="false">IF(OR($P228="",$E228=""),"",$P228-$E228)</f>
        <v/>
      </c>
      <c r="AD228" s="35" t="str">
        <f aca="false">IF($A228="","",COUNTIF(CASE!$B$3:$B$202,$A228))</f>
        <v/>
      </c>
      <c r="AE228" s="34" t="str">
        <f aca="false">IF(OR($I228="",$E228=""),"",$I228-$E228)</f>
        <v/>
      </c>
      <c r="AF228" s="34" t="str">
        <f aca="false">IF(OR($K228="",$I228=""),"",$K228-$I228)</f>
        <v/>
      </c>
      <c r="AG228" s="34" t="str">
        <f aca="false">IF(OR($L228="",$K228=""),"",$L228-$K228)</f>
        <v/>
      </c>
      <c r="AH228" s="34" t="str">
        <f aca="false">IF(OR($M228="",$L228=""),"",$M228-$L228)</f>
        <v/>
      </c>
      <c r="AI228" s="34" t="str">
        <f aca="false">IF(OR($P228="",$M228=""),"",$P228-$M228)</f>
        <v/>
      </c>
    </row>
    <row r="229" customFormat="false" ht="15" hidden="false" customHeight="false" outlineLevel="0" collapsed="false">
      <c r="A229" s="29"/>
      <c r="B229" s="29"/>
      <c r="C229" s="29"/>
      <c r="D229" s="30"/>
      <c r="E229" s="31"/>
      <c r="F229" s="32" t="str">
        <f aca="false">IF($E229="","",$E229+7*IFERROR(VLOOKUP($B229,DS!$K$2:$M$4,2,FALSE()),12))</f>
        <v/>
      </c>
      <c r="G229" s="32" t="str">
        <f aca="false">IF($E229="","",$E229+7*IFERROR(VLOOKUP($B229,DS!$K$2:$M$4,3,FALSE()),12))</f>
        <v/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3" t="str">
        <f aca="false">IF($A229="","",IF($R229&lt;&gt;"","95 Hủy/hoàn",IF($Q229&lt;&gt;"","99 Đóng",IF($P229&lt;&gt;"","90 Đã giao",IF($O229&lt;&gt;"","80 Đang giao",IF($N229&lt;&gt;"","70 Thông quan",IF($M229&lt;&gt;"","60 Đã xuất",IF($L229&lt;&gt;"","50 QC đạt",IF($K229&lt;&gt;"","40 NCC đã gửi",IF($I229&lt;&gt;"","30 Đã đặt NCC",IF($H229&lt;&gt;"","20 Đã xác nhận","10 Mới")))))))))))</f>
        <v/>
      </c>
      <c r="U229" s="33" t="str">
        <f aca="false">IF($T229="","",IFERROR(VLOOKUP($T229,DS!$A$2:$B$12,2,FALSE()),""))</f>
        <v/>
      </c>
      <c r="V229" s="34" t="str">
        <f aca="true">IF(OR($T229="",LEFT($T229,2)="99",LEFT($T229,2)="95"),"",TODAY()-MAX($E229,$H229:$P229))</f>
        <v/>
      </c>
      <c r="W229" s="34" t="str">
        <f aca="true">IF(AND($E229&lt;&gt;"",$I229="",$R229=""),IF(TODAY()-$E229&gt;1,"⚑",""),"")</f>
        <v/>
      </c>
      <c r="X229" s="34" t="str">
        <f aca="true">IF(AND($J229&lt;&gt;"",$K229="",$R229=""),IF(TODAY()-$J229&gt;2,"⚑",""),"")</f>
        <v/>
      </c>
      <c r="Y229" s="34" t="str">
        <f aca="true">IF(AND($G229&lt;&gt;"",$M229="",$R229=""),IF(AND($G229-TODAY()&lt;=14,$G229&gt;=TODAY()),"⚑",""),"")</f>
        <v/>
      </c>
      <c r="Z229" s="34" t="str">
        <f aca="true">IF(AND($G229&lt;&gt;"",$P229="",$R229=""),IF(TODAY()&gt;$G229,"⚑",""),"")</f>
        <v/>
      </c>
      <c r="AA229" s="34" t="str">
        <f aca="true">IF(AND($E229&lt;&gt;"",$P229="",$R229=""),IF(TODAY()-MAX($E229,$H229,$M229,$S229)&gt;7,"⚑",""),"")</f>
        <v/>
      </c>
      <c r="AB229" s="34" t="str">
        <f aca="false">IF(OR($P229="",$G229=""),"",IF($P229&lt;=$G229,"Có","Không"))</f>
        <v/>
      </c>
      <c r="AC229" s="34" t="str">
        <f aca="false">IF(OR($P229="",$E229=""),"",$P229-$E229)</f>
        <v/>
      </c>
      <c r="AD229" s="35" t="str">
        <f aca="false">IF($A229="","",COUNTIF(CASE!$B$3:$B$202,$A229))</f>
        <v/>
      </c>
      <c r="AE229" s="34" t="str">
        <f aca="false">IF(OR($I229="",$E229=""),"",$I229-$E229)</f>
        <v/>
      </c>
      <c r="AF229" s="34" t="str">
        <f aca="false">IF(OR($K229="",$I229=""),"",$K229-$I229)</f>
        <v/>
      </c>
      <c r="AG229" s="34" t="str">
        <f aca="false">IF(OR($L229="",$K229=""),"",$L229-$K229)</f>
        <v/>
      </c>
      <c r="AH229" s="34" t="str">
        <f aca="false">IF(OR($M229="",$L229=""),"",$M229-$L229)</f>
        <v/>
      </c>
      <c r="AI229" s="34" t="str">
        <f aca="false">IF(OR($P229="",$M229=""),"",$P229-$M229)</f>
        <v/>
      </c>
    </row>
    <row r="230" customFormat="false" ht="15" hidden="false" customHeight="false" outlineLevel="0" collapsed="false">
      <c r="A230" s="29"/>
      <c r="B230" s="29"/>
      <c r="C230" s="29"/>
      <c r="D230" s="30"/>
      <c r="E230" s="31"/>
      <c r="F230" s="32" t="str">
        <f aca="false">IF($E230="","",$E230+7*IFERROR(VLOOKUP($B230,DS!$K$2:$M$4,2,FALSE()),12))</f>
        <v/>
      </c>
      <c r="G230" s="32" t="str">
        <f aca="false">IF($E230="","",$E230+7*IFERROR(VLOOKUP($B230,DS!$K$2:$M$4,3,FALSE()),12))</f>
        <v/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3" t="str">
        <f aca="false">IF($A230="","",IF($R230&lt;&gt;"","95 Hủy/hoàn",IF($Q230&lt;&gt;"","99 Đóng",IF($P230&lt;&gt;"","90 Đã giao",IF($O230&lt;&gt;"","80 Đang giao",IF($N230&lt;&gt;"","70 Thông quan",IF($M230&lt;&gt;"","60 Đã xuất",IF($L230&lt;&gt;"","50 QC đạt",IF($K230&lt;&gt;"","40 NCC đã gửi",IF($I230&lt;&gt;"","30 Đã đặt NCC",IF($H230&lt;&gt;"","20 Đã xác nhận","10 Mới")))))))))))</f>
        <v/>
      </c>
      <c r="U230" s="33" t="str">
        <f aca="false">IF($T230="","",IFERROR(VLOOKUP($T230,DS!$A$2:$B$12,2,FALSE()),""))</f>
        <v/>
      </c>
      <c r="V230" s="34" t="str">
        <f aca="true">IF(OR($T230="",LEFT($T230,2)="99",LEFT($T230,2)="95"),"",TODAY()-MAX($E230,$H230:$P230))</f>
        <v/>
      </c>
      <c r="W230" s="34" t="str">
        <f aca="true">IF(AND($E230&lt;&gt;"",$I230="",$R230=""),IF(TODAY()-$E230&gt;1,"⚑",""),"")</f>
        <v/>
      </c>
      <c r="X230" s="34" t="str">
        <f aca="true">IF(AND($J230&lt;&gt;"",$K230="",$R230=""),IF(TODAY()-$J230&gt;2,"⚑",""),"")</f>
        <v/>
      </c>
      <c r="Y230" s="34" t="str">
        <f aca="true">IF(AND($G230&lt;&gt;"",$M230="",$R230=""),IF(AND($G230-TODAY()&lt;=14,$G230&gt;=TODAY()),"⚑",""),"")</f>
        <v/>
      </c>
      <c r="Z230" s="34" t="str">
        <f aca="true">IF(AND($G230&lt;&gt;"",$P230="",$R230=""),IF(TODAY()&gt;$G230,"⚑",""),"")</f>
        <v/>
      </c>
      <c r="AA230" s="34" t="str">
        <f aca="true">IF(AND($E230&lt;&gt;"",$P230="",$R230=""),IF(TODAY()-MAX($E230,$H230,$M230,$S230)&gt;7,"⚑",""),"")</f>
        <v/>
      </c>
      <c r="AB230" s="34" t="str">
        <f aca="false">IF(OR($P230="",$G230=""),"",IF($P230&lt;=$G230,"Có","Không"))</f>
        <v/>
      </c>
      <c r="AC230" s="34" t="str">
        <f aca="false">IF(OR($P230="",$E230=""),"",$P230-$E230)</f>
        <v/>
      </c>
      <c r="AD230" s="35" t="str">
        <f aca="false">IF($A230="","",COUNTIF(CASE!$B$3:$B$202,$A230))</f>
        <v/>
      </c>
      <c r="AE230" s="34" t="str">
        <f aca="false">IF(OR($I230="",$E230=""),"",$I230-$E230)</f>
        <v/>
      </c>
      <c r="AF230" s="34" t="str">
        <f aca="false">IF(OR($K230="",$I230=""),"",$K230-$I230)</f>
        <v/>
      </c>
      <c r="AG230" s="34" t="str">
        <f aca="false">IF(OR($L230="",$K230=""),"",$L230-$K230)</f>
        <v/>
      </c>
      <c r="AH230" s="34" t="str">
        <f aca="false">IF(OR($M230="",$L230=""),"",$M230-$L230)</f>
        <v/>
      </c>
      <c r="AI230" s="34" t="str">
        <f aca="false">IF(OR($P230="",$M230=""),"",$P230-$M230)</f>
        <v/>
      </c>
    </row>
    <row r="231" customFormat="false" ht="15" hidden="false" customHeight="false" outlineLevel="0" collapsed="false">
      <c r="A231" s="29"/>
      <c r="B231" s="29"/>
      <c r="C231" s="29"/>
      <c r="D231" s="30"/>
      <c r="E231" s="31"/>
      <c r="F231" s="32" t="str">
        <f aca="false">IF($E231="","",$E231+7*IFERROR(VLOOKUP($B231,DS!$K$2:$M$4,2,FALSE()),12))</f>
        <v/>
      </c>
      <c r="G231" s="32" t="str">
        <f aca="false">IF($E231="","",$E231+7*IFERROR(VLOOKUP($B231,DS!$K$2:$M$4,3,FALSE()),12))</f>
        <v/>
      </c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3" t="str">
        <f aca="false">IF($A231="","",IF($R231&lt;&gt;"","95 Hủy/hoàn",IF($Q231&lt;&gt;"","99 Đóng",IF($P231&lt;&gt;"","90 Đã giao",IF($O231&lt;&gt;"","80 Đang giao",IF($N231&lt;&gt;"","70 Thông quan",IF($M231&lt;&gt;"","60 Đã xuất",IF($L231&lt;&gt;"","50 QC đạt",IF($K231&lt;&gt;"","40 NCC đã gửi",IF($I231&lt;&gt;"","30 Đã đặt NCC",IF($H231&lt;&gt;"","20 Đã xác nhận","10 Mới")))))))))))</f>
        <v/>
      </c>
      <c r="U231" s="33" t="str">
        <f aca="false">IF($T231="","",IFERROR(VLOOKUP($T231,DS!$A$2:$B$12,2,FALSE()),""))</f>
        <v/>
      </c>
      <c r="V231" s="34" t="str">
        <f aca="true">IF(OR($T231="",LEFT($T231,2)="99",LEFT($T231,2)="95"),"",TODAY()-MAX($E231,$H231:$P231))</f>
        <v/>
      </c>
      <c r="W231" s="34" t="str">
        <f aca="true">IF(AND($E231&lt;&gt;"",$I231="",$R231=""),IF(TODAY()-$E231&gt;1,"⚑",""),"")</f>
        <v/>
      </c>
      <c r="X231" s="34" t="str">
        <f aca="true">IF(AND($J231&lt;&gt;"",$K231="",$R231=""),IF(TODAY()-$J231&gt;2,"⚑",""),"")</f>
        <v/>
      </c>
      <c r="Y231" s="34" t="str">
        <f aca="true">IF(AND($G231&lt;&gt;"",$M231="",$R231=""),IF(AND($G231-TODAY()&lt;=14,$G231&gt;=TODAY()),"⚑",""),"")</f>
        <v/>
      </c>
      <c r="Z231" s="34" t="str">
        <f aca="true">IF(AND($G231&lt;&gt;"",$P231="",$R231=""),IF(TODAY()&gt;$G231,"⚑",""),"")</f>
        <v/>
      </c>
      <c r="AA231" s="34" t="str">
        <f aca="true">IF(AND($E231&lt;&gt;"",$P231="",$R231=""),IF(TODAY()-MAX($E231,$H231,$M231,$S231)&gt;7,"⚑",""),"")</f>
        <v/>
      </c>
      <c r="AB231" s="34" t="str">
        <f aca="false">IF(OR($P231="",$G231=""),"",IF($P231&lt;=$G231,"Có","Không"))</f>
        <v/>
      </c>
      <c r="AC231" s="34" t="str">
        <f aca="false">IF(OR($P231="",$E231=""),"",$P231-$E231)</f>
        <v/>
      </c>
      <c r="AD231" s="35" t="str">
        <f aca="false">IF($A231="","",COUNTIF(CASE!$B$3:$B$202,$A231))</f>
        <v/>
      </c>
      <c r="AE231" s="34" t="str">
        <f aca="false">IF(OR($I231="",$E231=""),"",$I231-$E231)</f>
        <v/>
      </c>
      <c r="AF231" s="34" t="str">
        <f aca="false">IF(OR($K231="",$I231=""),"",$K231-$I231)</f>
        <v/>
      </c>
      <c r="AG231" s="34" t="str">
        <f aca="false">IF(OR($L231="",$K231=""),"",$L231-$K231)</f>
        <v/>
      </c>
      <c r="AH231" s="34" t="str">
        <f aca="false">IF(OR($M231="",$L231=""),"",$M231-$L231)</f>
        <v/>
      </c>
      <c r="AI231" s="34" t="str">
        <f aca="false">IF(OR($P231="",$M231=""),"",$P231-$M231)</f>
        <v/>
      </c>
    </row>
    <row r="232" customFormat="false" ht="15" hidden="false" customHeight="false" outlineLevel="0" collapsed="false">
      <c r="A232" s="29"/>
      <c r="B232" s="29"/>
      <c r="C232" s="29"/>
      <c r="D232" s="30"/>
      <c r="E232" s="31"/>
      <c r="F232" s="32" t="str">
        <f aca="false">IF($E232="","",$E232+7*IFERROR(VLOOKUP($B232,DS!$K$2:$M$4,2,FALSE()),12))</f>
        <v/>
      </c>
      <c r="G232" s="32" t="str">
        <f aca="false">IF($E232="","",$E232+7*IFERROR(VLOOKUP($B232,DS!$K$2:$M$4,3,FALSE()),12))</f>
        <v/>
      </c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3" t="str">
        <f aca="false">IF($A232="","",IF($R232&lt;&gt;"","95 Hủy/hoàn",IF($Q232&lt;&gt;"","99 Đóng",IF($P232&lt;&gt;"","90 Đã giao",IF($O232&lt;&gt;"","80 Đang giao",IF($N232&lt;&gt;"","70 Thông quan",IF($M232&lt;&gt;"","60 Đã xuất",IF($L232&lt;&gt;"","50 QC đạt",IF($K232&lt;&gt;"","40 NCC đã gửi",IF($I232&lt;&gt;"","30 Đã đặt NCC",IF($H232&lt;&gt;"","20 Đã xác nhận","10 Mới")))))))))))</f>
        <v/>
      </c>
      <c r="U232" s="33" t="str">
        <f aca="false">IF($T232="","",IFERROR(VLOOKUP($T232,DS!$A$2:$B$12,2,FALSE()),""))</f>
        <v/>
      </c>
      <c r="V232" s="34" t="str">
        <f aca="true">IF(OR($T232="",LEFT($T232,2)="99",LEFT($T232,2)="95"),"",TODAY()-MAX($E232,$H232:$P232))</f>
        <v/>
      </c>
      <c r="W232" s="34" t="str">
        <f aca="true">IF(AND($E232&lt;&gt;"",$I232="",$R232=""),IF(TODAY()-$E232&gt;1,"⚑",""),"")</f>
        <v/>
      </c>
      <c r="X232" s="34" t="str">
        <f aca="true">IF(AND($J232&lt;&gt;"",$K232="",$R232=""),IF(TODAY()-$J232&gt;2,"⚑",""),"")</f>
        <v/>
      </c>
      <c r="Y232" s="34" t="str">
        <f aca="true">IF(AND($G232&lt;&gt;"",$M232="",$R232=""),IF(AND($G232-TODAY()&lt;=14,$G232&gt;=TODAY()),"⚑",""),"")</f>
        <v/>
      </c>
      <c r="Z232" s="34" t="str">
        <f aca="true">IF(AND($G232&lt;&gt;"",$P232="",$R232=""),IF(TODAY()&gt;$G232,"⚑",""),"")</f>
        <v/>
      </c>
      <c r="AA232" s="34" t="str">
        <f aca="true">IF(AND($E232&lt;&gt;"",$P232="",$R232=""),IF(TODAY()-MAX($E232,$H232,$M232,$S232)&gt;7,"⚑",""),"")</f>
        <v/>
      </c>
      <c r="AB232" s="34" t="str">
        <f aca="false">IF(OR($P232="",$G232=""),"",IF($P232&lt;=$G232,"Có","Không"))</f>
        <v/>
      </c>
      <c r="AC232" s="34" t="str">
        <f aca="false">IF(OR($P232="",$E232=""),"",$P232-$E232)</f>
        <v/>
      </c>
      <c r="AD232" s="35" t="str">
        <f aca="false">IF($A232="","",COUNTIF(CASE!$B$3:$B$202,$A232))</f>
        <v/>
      </c>
      <c r="AE232" s="34" t="str">
        <f aca="false">IF(OR($I232="",$E232=""),"",$I232-$E232)</f>
        <v/>
      </c>
      <c r="AF232" s="34" t="str">
        <f aca="false">IF(OR($K232="",$I232=""),"",$K232-$I232)</f>
        <v/>
      </c>
      <c r="AG232" s="34" t="str">
        <f aca="false">IF(OR($L232="",$K232=""),"",$L232-$K232)</f>
        <v/>
      </c>
      <c r="AH232" s="34" t="str">
        <f aca="false">IF(OR($M232="",$L232=""),"",$M232-$L232)</f>
        <v/>
      </c>
      <c r="AI232" s="34" t="str">
        <f aca="false">IF(OR($P232="",$M232=""),"",$P232-$M232)</f>
        <v/>
      </c>
    </row>
    <row r="233" customFormat="false" ht="15" hidden="false" customHeight="false" outlineLevel="0" collapsed="false">
      <c r="A233" s="29"/>
      <c r="B233" s="29"/>
      <c r="C233" s="29"/>
      <c r="D233" s="30"/>
      <c r="E233" s="31"/>
      <c r="F233" s="32" t="str">
        <f aca="false">IF($E233="","",$E233+7*IFERROR(VLOOKUP($B233,DS!$K$2:$M$4,2,FALSE()),12))</f>
        <v/>
      </c>
      <c r="G233" s="32" t="str">
        <f aca="false">IF($E233="","",$E233+7*IFERROR(VLOOKUP($B233,DS!$K$2:$M$4,3,FALSE()),12))</f>
        <v/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3" t="str">
        <f aca="false">IF($A233="","",IF($R233&lt;&gt;"","95 Hủy/hoàn",IF($Q233&lt;&gt;"","99 Đóng",IF($P233&lt;&gt;"","90 Đã giao",IF($O233&lt;&gt;"","80 Đang giao",IF($N233&lt;&gt;"","70 Thông quan",IF($M233&lt;&gt;"","60 Đã xuất",IF($L233&lt;&gt;"","50 QC đạt",IF($K233&lt;&gt;"","40 NCC đã gửi",IF($I233&lt;&gt;"","30 Đã đặt NCC",IF($H233&lt;&gt;"","20 Đã xác nhận","10 Mới")))))))))))</f>
        <v/>
      </c>
      <c r="U233" s="33" t="str">
        <f aca="false">IF($T233="","",IFERROR(VLOOKUP($T233,DS!$A$2:$B$12,2,FALSE()),""))</f>
        <v/>
      </c>
      <c r="V233" s="34" t="str">
        <f aca="true">IF(OR($T233="",LEFT($T233,2)="99",LEFT($T233,2)="95"),"",TODAY()-MAX($E233,$H233:$P233))</f>
        <v/>
      </c>
      <c r="W233" s="34" t="str">
        <f aca="true">IF(AND($E233&lt;&gt;"",$I233="",$R233=""),IF(TODAY()-$E233&gt;1,"⚑",""),"")</f>
        <v/>
      </c>
      <c r="X233" s="34" t="str">
        <f aca="true">IF(AND($J233&lt;&gt;"",$K233="",$R233=""),IF(TODAY()-$J233&gt;2,"⚑",""),"")</f>
        <v/>
      </c>
      <c r="Y233" s="34" t="str">
        <f aca="true">IF(AND($G233&lt;&gt;"",$M233="",$R233=""),IF(AND($G233-TODAY()&lt;=14,$G233&gt;=TODAY()),"⚑",""),"")</f>
        <v/>
      </c>
      <c r="Z233" s="34" t="str">
        <f aca="true">IF(AND($G233&lt;&gt;"",$P233="",$R233=""),IF(TODAY()&gt;$G233,"⚑",""),"")</f>
        <v/>
      </c>
      <c r="AA233" s="34" t="str">
        <f aca="true">IF(AND($E233&lt;&gt;"",$P233="",$R233=""),IF(TODAY()-MAX($E233,$H233,$M233,$S233)&gt;7,"⚑",""),"")</f>
        <v/>
      </c>
      <c r="AB233" s="34" t="str">
        <f aca="false">IF(OR($P233="",$G233=""),"",IF($P233&lt;=$G233,"Có","Không"))</f>
        <v/>
      </c>
      <c r="AC233" s="34" t="str">
        <f aca="false">IF(OR($P233="",$E233=""),"",$P233-$E233)</f>
        <v/>
      </c>
      <c r="AD233" s="35" t="str">
        <f aca="false">IF($A233="","",COUNTIF(CASE!$B$3:$B$202,$A233))</f>
        <v/>
      </c>
      <c r="AE233" s="34" t="str">
        <f aca="false">IF(OR($I233="",$E233=""),"",$I233-$E233)</f>
        <v/>
      </c>
      <c r="AF233" s="34" t="str">
        <f aca="false">IF(OR($K233="",$I233=""),"",$K233-$I233)</f>
        <v/>
      </c>
      <c r="AG233" s="34" t="str">
        <f aca="false">IF(OR($L233="",$K233=""),"",$L233-$K233)</f>
        <v/>
      </c>
      <c r="AH233" s="34" t="str">
        <f aca="false">IF(OR($M233="",$L233=""),"",$M233-$L233)</f>
        <v/>
      </c>
      <c r="AI233" s="34" t="str">
        <f aca="false">IF(OR($P233="",$M233=""),"",$P233-$M233)</f>
        <v/>
      </c>
    </row>
    <row r="234" customFormat="false" ht="15" hidden="false" customHeight="false" outlineLevel="0" collapsed="false">
      <c r="A234" s="29"/>
      <c r="B234" s="29"/>
      <c r="C234" s="29"/>
      <c r="D234" s="30"/>
      <c r="E234" s="31"/>
      <c r="F234" s="32" t="str">
        <f aca="false">IF($E234="","",$E234+7*IFERROR(VLOOKUP($B234,DS!$K$2:$M$4,2,FALSE()),12))</f>
        <v/>
      </c>
      <c r="G234" s="32" t="str">
        <f aca="false">IF($E234="","",$E234+7*IFERROR(VLOOKUP($B234,DS!$K$2:$M$4,3,FALSE()),12))</f>
        <v/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3" t="str">
        <f aca="false">IF($A234="","",IF($R234&lt;&gt;"","95 Hủy/hoàn",IF($Q234&lt;&gt;"","99 Đóng",IF($P234&lt;&gt;"","90 Đã giao",IF($O234&lt;&gt;"","80 Đang giao",IF($N234&lt;&gt;"","70 Thông quan",IF($M234&lt;&gt;"","60 Đã xuất",IF($L234&lt;&gt;"","50 QC đạt",IF($K234&lt;&gt;"","40 NCC đã gửi",IF($I234&lt;&gt;"","30 Đã đặt NCC",IF($H234&lt;&gt;"","20 Đã xác nhận","10 Mới")))))))))))</f>
        <v/>
      </c>
      <c r="U234" s="33" t="str">
        <f aca="false">IF($T234="","",IFERROR(VLOOKUP($T234,DS!$A$2:$B$12,2,FALSE()),""))</f>
        <v/>
      </c>
      <c r="V234" s="34" t="str">
        <f aca="true">IF(OR($T234="",LEFT($T234,2)="99",LEFT($T234,2)="95"),"",TODAY()-MAX($E234,$H234:$P234))</f>
        <v/>
      </c>
      <c r="W234" s="34" t="str">
        <f aca="true">IF(AND($E234&lt;&gt;"",$I234="",$R234=""),IF(TODAY()-$E234&gt;1,"⚑",""),"")</f>
        <v/>
      </c>
      <c r="X234" s="34" t="str">
        <f aca="true">IF(AND($J234&lt;&gt;"",$K234="",$R234=""),IF(TODAY()-$J234&gt;2,"⚑",""),"")</f>
        <v/>
      </c>
      <c r="Y234" s="34" t="str">
        <f aca="true">IF(AND($G234&lt;&gt;"",$M234="",$R234=""),IF(AND($G234-TODAY()&lt;=14,$G234&gt;=TODAY()),"⚑",""),"")</f>
        <v/>
      </c>
      <c r="Z234" s="34" t="str">
        <f aca="true">IF(AND($G234&lt;&gt;"",$P234="",$R234=""),IF(TODAY()&gt;$G234,"⚑",""),"")</f>
        <v/>
      </c>
      <c r="AA234" s="34" t="str">
        <f aca="true">IF(AND($E234&lt;&gt;"",$P234="",$R234=""),IF(TODAY()-MAX($E234,$H234,$M234,$S234)&gt;7,"⚑",""),"")</f>
        <v/>
      </c>
      <c r="AB234" s="34" t="str">
        <f aca="false">IF(OR($P234="",$G234=""),"",IF($P234&lt;=$G234,"Có","Không"))</f>
        <v/>
      </c>
      <c r="AC234" s="34" t="str">
        <f aca="false">IF(OR($P234="",$E234=""),"",$P234-$E234)</f>
        <v/>
      </c>
      <c r="AD234" s="35" t="str">
        <f aca="false">IF($A234="","",COUNTIF(CASE!$B$3:$B$202,$A234))</f>
        <v/>
      </c>
      <c r="AE234" s="34" t="str">
        <f aca="false">IF(OR($I234="",$E234=""),"",$I234-$E234)</f>
        <v/>
      </c>
      <c r="AF234" s="34" t="str">
        <f aca="false">IF(OR($K234="",$I234=""),"",$K234-$I234)</f>
        <v/>
      </c>
      <c r="AG234" s="34" t="str">
        <f aca="false">IF(OR($L234="",$K234=""),"",$L234-$K234)</f>
        <v/>
      </c>
      <c r="AH234" s="34" t="str">
        <f aca="false">IF(OR($M234="",$L234=""),"",$M234-$L234)</f>
        <v/>
      </c>
      <c r="AI234" s="34" t="str">
        <f aca="false">IF(OR($P234="",$M234=""),"",$P234-$M234)</f>
        <v/>
      </c>
    </row>
    <row r="235" customFormat="false" ht="15" hidden="false" customHeight="false" outlineLevel="0" collapsed="false">
      <c r="A235" s="29"/>
      <c r="B235" s="29"/>
      <c r="C235" s="29"/>
      <c r="D235" s="30"/>
      <c r="E235" s="31"/>
      <c r="F235" s="32" t="str">
        <f aca="false">IF($E235="","",$E235+7*IFERROR(VLOOKUP($B235,DS!$K$2:$M$4,2,FALSE()),12))</f>
        <v/>
      </c>
      <c r="G235" s="32" t="str">
        <f aca="false">IF($E235="","",$E235+7*IFERROR(VLOOKUP($B235,DS!$K$2:$M$4,3,FALSE()),12))</f>
        <v/>
      </c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3" t="str">
        <f aca="false">IF($A235="","",IF($R235&lt;&gt;"","95 Hủy/hoàn",IF($Q235&lt;&gt;"","99 Đóng",IF($P235&lt;&gt;"","90 Đã giao",IF($O235&lt;&gt;"","80 Đang giao",IF($N235&lt;&gt;"","70 Thông quan",IF($M235&lt;&gt;"","60 Đã xuất",IF($L235&lt;&gt;"","50 QC đạt",IF($K235&lt;&gt;"","40 NCC đã gửi",IF($I235&lt;&gt;"","30 Đã đặt NCC",IF($H235&lt;&gt;"","20 Đã xác nhận","10 Mới")))))))))))</f>
        <v/>
      </c>
      <c r="U235" s="33" t="str">
        <f aca="false">IF($T235="","",IFERROR(VLOOKUP($T235,DS!$A$2:$B$12,2,FALSE()),""))</f>
        <v/>
      </c>
      <c r="V235" s="34" t="str">
        <f aca="true">IF(OR($T235="",LEFT($T235,2)="99",LEFT($T235,2)="95"),"",TODAY()-MAX($E235,$H235:$P235))</f>
        <v/>
      </c>
      <c r="W235" s="34" t="str">
        <f aca="true">IF(AND($E235&lt;&gt;"",$I235="",$R235=""),IF(TODAY()-$E235&gt;1,"⚑",""),"")</f>
        <v/>
      </c>
      <c r="X235" s="34" t="str">
        <f aca="true">IF(AND($J235&lt;&gt;"",$K235="",$R235=""),IF(TODAY()-$J235&gt;2,"⚑",""),"")</f>
        <v/>
      </c>
      <c r="Y235" s="34" t="str">
        <f aca="true">IF(AND($G235&lt;&gt;"",$M235="",$R235=""),IF(AND($G235-TODAY()&lt;=14,$G235&gt;=TODAY()),"⚑",""),"")</f>
        <v/>
      </c>
      <c r="Z235" s="34" t="str">
        <f aca="true">IF(AND($G235&lt;&gt;"",$P235="",$R235=""),IF(TODAY()&gt;$G235,"⚑",""),"")</f>
        <v/>
      </c>
      <c r="AA235" s="34" t="str">
        <f aca="true">IF(AND($E235&lt;&gt;"",$P235="",$R235=""),IF(TODAY()-MAX($E235,$H235,$M235,$S235)&gt;7,"⚑",""),"")</f>
        <v/>
      </c>
      <c r="AB235" s="34" t="str">
        <f aca="false">IF(OR($P235="",$G235=""),"",IF($P235&lt;=$G235,"Có","Không"))</f>
        <v/>
      </c>
      <c r="AC235" s="34" t="str">
        <f aca="false">IF(OR($P235="",$E235=""),"",$P235-$E235)</f>
        <v/>
      </c>
      <c r="AD235" s="35" t="str">
        <f aca="false">IF($A235="","",COUNTIF(CASE!$B$3:$B$202,$A235))</f>
        <v/>
      </c>
      <c r="AE235" s="34" t="str">
        <f aca="false">IF(OR($I235="",$E235=""),"",$I235-$E235)</f>
        <v/>
      </c>
      <c r="AF235" s="34" t="str">
        <f aca="false">IF(OR($K235="",$I235=""),"",$K235-$I235)</f>
        <v/>
      </c>
      <c r="AG235" s="34" t="str">
        <f aca="false">IF(OR($L235="",$K235=""),"",$L235-$K235)</f>
        <v/>
      </c>
      <c r="AH235" s="34" t="str">
        <f aca="false">IF(OR($M235="",$L235=""),"",$M235-$L235)</f>
        <v/>
      </c>
      <c r="AI235" s="34" t="str">
        <f aca="false">IF(OR($P235="",$M235=""),"",$P235-$M235)</f>
        <v/>
      </c>
    </row>
    <row r="236" customFormat="false" ht="15" hidden="false" customHeight="false" outlineLevel="0" collapsed="false">
      <c r="A236" s="29"/>
      <c r="B236" s="29"/>
      <c r="C236" s="29"/>
      <c r="D236" s="30"/>
      <c r="E236" s="31"/>
      <c r="F236" s="32" t="str">
        <f aca="false">IF($E236="","",$E236+7*IFERROR(VLOOKUP($B236,DS!$K$2:$M$4,2,FALSE()),12))</f>
        <v/>
      </c>
      <c r="G236" s="32" t="str">
        <f aca="false">IF($E236="","",$E236+7*IFERROR(VLOOKUP($B236,DS!$K$2:$M$4,3,FALSE()),12))</f>
        <v/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3" t="str">
        <f aca="false">IF($A236="","",IF($R236&lt;&gt;"","95 Hủy/hoàn",IF($Q236&lt;&gt;"","99 Đóng",IF($P236&lt;&gt;"","90 Đã giao",IF($O236&lt;&gt;"","80 Đang giao",IF($N236&lt;&gt;"","70 Thông quan",IF($M236&lt;&gt;"","60 Đã xuất",IF($L236&lt;&gt;"","50 QC đạt",IF($K236&lt;&gt;"","40 NCC đã gửi",IF($I236&lt;&gt;"","30 Đã đặt NCC",IF($H236&lt;&gt;"","20 Đã xác nhận","10 Mới")))))))))))</f>
        <v/>
      </c>
      <c r="U236" s="33" t="str">
        <f aca="false">IF($T236="","",IFERROR(VLOOKUP($T236,DS!$A$2:$B$12,2,FALSE()),""))</f>
        <v/>
      </c>
      <c r="V236" s="34" t="str">
        <f aca="true">IF(OR($T236="",LEFT($T236,2)="99",LEFT($T236,2)="95"),"",TODAY()-MAX($E236,$H236:$P236))</f>
        <v/>
      </c>
      <c r="W236" s="34" t="str">
        <f aca="true">IF(AND($E236&lt;&gt;"",$I236="",$R236=""),IF(TODAY()-$E236&gt;1,"⚑",""),"")</f>
        <v/>
      </c>
      <c r="X236" s="34" t="str">
        <f aca="true">IF(AND($J236&lt;&gt;"",$K236="",$R236=""),IF(TODAY()-$J236&gt;2,"⚑",""),"")</f>
        <v/>
      </c>
      <c r="Y236" s="34" t="str">
        <f aca="true">IF(AND($G236&lt;&gt;"",$M236="",$R236=""),IF(AND($G236-TODAY()&lt;=14,$G236&gt;=TODAY()),"⚑",""),"")</f>
        <v/>
      </c>
      <c r="Z236" s="34" t="str">
        <f aca="true">IF(AND($G236&lt;&gt;"",$P236="",$R236=""),IF(TODAY()&gt;$G236,"⚑",""),"")</f>
        <v/>
      </c>
      <c r="AA236" s="34" t="str">
        <f aca="true">IF(AND($E236&lt;&gt;"",$P236="",$R236=""),IF(TODAY()-MAX($E236,$H236,$M236,$S236)&gt;7,"⚑",""),"")</f>
        <v/>
      </c>
      <c r="AB236" s="34" t="str">
        <f aca="false">IF(OR($P236="",$G236=""),"",IF($P236&lt;=$G236,"Có","Không"))</f>
        <v/>
      </c>
      <c r="AC236" s="34" t="str">
        <f aca="false">IF(OR($P236="",$E236=""),"",$P236-$E236)</f>
        <v/>
      </c>
      <c r="AD236" s="35" t="str">
        <f aca="false">IF($A236="","",COUNTIF(CASE!$B$3:$B$202,$A236))</f>
        <v/>
      </c>
      <c r="AE236" s="34" t="str">
        <f aca="false">IF(OR($I236="",$E236=""),"",$I236-$E236)</f>
        <v/>
      </c>
      <c r="AF236" s="34" t="str">
        <f aca="false">IF(OR($K236="",$I236=""),"",$K236-$I236)</f>
        <v/>
      </c>
      <c r="AG236" s="34" t="str">
        <f aca="false">IF(OR($L236="",$K236=""),"",$L236-$K236)</f>
        <v/>
      </c>
      <c r="AH236" s="34" t="str">
        <f aca="false">IF(OR($M236="",$L236=""),"",$M236-$L236)</f>
        <v/>
      </c>
      <c r="AI236" s="34" t="str">
        <f aca="false">IF(OR($P236="",$M236=""),"",$P236-$M236)</f>
        <v/>
      </c>
    </row>
    <row r="237" customFormat="false" ht="15" hidden="false" customHeight="false" outlineLevel="0" collapsed="false">
      <c r="A237" s="29"/>
      <c r="B237" s="29"/>
      <c r="C237" s="29"/>
      <c r="D237" s="30"/>
      <c r="E237" s="31"/>
      <c r="F237" s="32" t="str">
        <f aca="false">IF($E237="","",$E237+7*IFERROR(VLOOKUP($B237,DS!$K$2:$M$4,2,FALSE()),12))</f>
        <v/>
      </c>
      <c r="G237" s="32" t="str">
        <f aca="false">IF($E237="","",$E237+7*IFERROR(VLOOKUP($B237,DS!$K$2:$M$4,3,FALSE()),12))</f>
        <v/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3" t="str">
        <f aca="false">IF($A237="","",IF($R237&lt;&gt;"","95 Hủy/hoàn",IF($Q237&lt;&gt;"","99 Đóng",IF($P237&lt;&gt;"","90 Đã giao",IF($O237&lt;&gt;"","80 Đang giao",IF($N237&lt;&gt;"","70 Thông quan",IF($M237&lt;&gt;"","60 Đã xuất",IF($L237&lt;&gt;"","50 QC đạt",IF($K237&lt;&gt;"","40 NCC đã gửi",IF($I237&lt;&gt;"","30 Đã đặt NCC",IF($H237&lt;&gt;"","20 Đã xác nhận","10 Mới")))))))))))</f>
        <v/>
      </c>
      <c r="U237" s="33" t="str">
        <f aca="false">IF($T237="","",IFERROR(VLOOKUP($T237,DS!$A$2:$B$12,2,FALSE()),""))</f>
        <v/>
      </c>
      <c r="V237" s="34" t="str">
        <f aca="true">IF(OR($T237="",LEFT($T237,2)="99",LEFT($T237,2)="95"),"",TODAY()-MAX($E237,$H237:$P237))</f>
        <v/>
      </c>
      <c r="W237" s="34" t="str">
        <f aca="true">IF(AND($E237&lt;&gt;"",$I237="",$R237=""),IF(TODAY()-$E237&gt;1,"⚑",""),"")</f>
        <v/>
      </c>
      <c r="X237" s="34" t="str">
        <f aca="true">IF(AND($J237&lt;&gt;"",$K237="",$R237=""),IF(TODAY()-$J237&gt;2,"⚑",""),"")</f>
        <v/>
      </c>
      <c r="Y237" s="34" t="str">
        <f aca="true">IF(AND($G237&lt;&gt;"",$M237="",$R237=""),IF(AND($G237-TODAY()&lt;=14,$G237&gt;=TODAY()),"⚑",""),"")</f>
        <v/>
      </c>
      <c r="Z237" s="34" t="str">
        <f aca="true">IF(AND($G237&lt;&gt;"",$P237="",$R237=""),IF(TODAY()&gt;$G237,"⚑",""),"")</f>
        <v/>
      </c>
      <c r="AA237" s="34" t="str">
        <f aca="true">IF(AND($E237&lt;&gt;"",$P237="",$R237=""),IF(TODAY()-MAX($E237,$H237,$M237,$S237)&gt;7,"⚑",""),"")</f>
        <v/>
      </c>
      <c r="AB237" s="34" t="str">
        <f aca="false">IF(OR($P237="",$G237=""),"",IF($P237&lt;=$G237,"Có","Không"))</f>
        <v/>
      </c>
      <c r="AC237" s="34" t="str">
        <f aca="false">IF(OR($P237="",$E237=""),"",$P237-$E237)</f>
        <v/>
      </c>
      <c r="AD237" s="35" t="str">
        <f aca="false">IF($A237="","",COUNTIF(CASE!$B$3:$B$202,$A237))</f>
        <v/>
      </c>
      <c r="AE237" s="34" t="str">
        <f aca="false">IF(OR($I237="",$E237=""),"",$I237-$E237)</f>
        <v/>
      </c>
      <c r="AF237" s="34" t="str">
        <f aca="false">IF(OR($K237="",$I237=""),"",$K237-$I237)</f>
        <v/>
      </c>
      <c r="AG237" s="34" t="str">
        <f aca="false">IF(OR($L237="",$K237=""),"",$L237-$K237)</f>
        <v/>
      </c>
      <c r="AH237" s="34" t="str">
        <f aca="false">IF(OR($M237="",$L237=""),"",$M237-$L237)</f>
        <v/>
      </c>
      <c r="AI237" s="34" t="str">
        <f aca="false">IF(OR($P237="",$M237=""),"",$P237-$M237)</f>
        <v/>
      </c>
    </row>
    <row r="238" customFormat="false" ht="15" hidden="false" customHeight="false" outlineLevel="0" collapsed="false">
      <c r="A238" s="29"/>
      <c r="B238" s="29"/>
      <c r="C238" s="29"/>
      <c r="D238" s="30"/>
      <c r="E238" s="31"/>
      <c r="F238" s="32" t="str">
        <f aca="false">IF($E238="","",$E238+7*IFERROR(VLOOKUP($B238,DS!$K$2:$M$4,2,FALSE()),12))</f>
        <v/>
      </c>
      <c r="G238" s="32" t="str">
        <f aca="false">IF($E238="","",$E238+7*IFERROR(VLOOKUP($B238,DS!$K$2:$M$4,3,FALSE()),12))</f>
        <v/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3" t="str">
        <f aca="false">IF($A238="","",IF($R238&lt;&gt;"","95 Hủy/hoàn",IF($Q238&lt;&gt;"","99 Đóng",IF($P238&lt;&gt;"","90 Đã giao",IF($O238&lt;&gt;"","80 Đang giao",IF($N238&lt;&gt;"","70 Thông quan",IF($M238&lt;&gt;"","60 Đã xuất",IF($L238&lt;&gt;"","50 QC đạt",IF($K238&lt;&gt;"","40 NCC đã gửi",IF($I238&lt;&gt;"","30 Đã đặt NCC",IF($H238&lt;&gt;"","20 Đã xác nhận","10 Mới")))))))))))</f>
        <v/>
      </c>
      <c r="U238" s="33" t="str">
        <f aca="false">IF($T238="","",IFERROR(VLOOKUP($T238,DS!$A$2:$B$12,2,FALSE()),""))</f>
        <v/>
      </c>
      <c r="V238" s="34" t="str">
        <f aca="true">IF(OR($T238="",LEFT($T238,2)="99",LEFT($T238,2)="95"),"",TODAY()-MAX($E238,$H238:$P238))</f>
        <v/>
      </c>
      <c r="W238" s="34" t="str">
        <f aca="true">IF(AND($E238&lt;&gt;"",$I238="",$R238=""),IF(TODAY()-$E238&gt;1,"⚑",""),"")</f>
        <v/>
      </c>
      <c r="X238" s="34" t="str">
        <f aca="true">IF(AND($J238&lt;&gt;"",$K238="",$R238=""),IF(TODAY()-$J238&gt;2,"⚑",""),"")</f>
        <v/>
      </c>
      <c r="Y238" s="34" t="str">
        <f aca="true">IF(AND($G238&lt;&gt;"",$M238="",$R238=""),IF(AND($G238-TODAY()&lt;=14,$G238&gt;=TODAY()),"⚑",""),"")</f>
        <v/>
      </c>
      <c r="Z238" s="34" t="str">
        <f aca="true">IF(AND($G238&lt;&gt;"",$P238="",$R238=""),IF(TODAY()&gt;$G238,"⚑",""),"")</f>
        <v/>
      </c>
      <c r="AA238" s="34" t="str">
        <f aca="true">IF(AND($E238&lt;&gt;"",$P238="",$R238=""),IF(TODAY()-MAX($E238,$H238,$M238,$S238)&gt;7,"⚑",""),"")</f>
        <v/>
      </c>
      <c r="AB238" s="34" t="str">
        <f aca="false">IF(OR($P238="",$G238=""),"",IF($P238&lt;=$G238,"Có","Không"))</f>
        <v/>
      </c>
      <c r="AC238" s="34" t="str">
        <f aca="false">IF(OR($P238="",$E238=""),"",$P238-$E238)</f>
        <v/>
      </c>
      <c r="AD238" s="35" t="str">
        <f aca="false">IF($A238="","",COUNTIF(CASE!$B$3:$B$202,$A238))</f>
        <v/>
      </c>
      <c r="AE238" s="34" t="str">
        <f aca="false">IF(OR($I238="",$E238=""),"",$I238-$E238)</f>
        <v/>
      </c>
      <c r="AF238" s="34" t="str">
        <f aca="false">IF(OR($K238="",$I238=""),"",$K238-$I238)</f>
        <v/>
      </c>
      <c r="AG238" s="34" t="str">
        <f aca="false">IF(OR($L238="",$K238=""),"",$L238-$K238)</f>
        <v/>
      </c>
      <c r="AH238" s="34" t="str">
        <f aca="false">IF(OR($M238="",$L238=""),"",$M238-$L238)</f>
        <v/>
      </c>
      <c r="AI238" s="34" t="str">
        <f aca="false">IF(OR($P238="",$M238=""),"",$P238-$M238)</f>
        <v/>
      </c>
    </row>
    <row r="239" customFormat="false" ht="15" hidden="false" customHeight="false" outlineLevel="0" collapsed="false">
      <c r="A239" s="29"/>
      <c r="B239" s="29"/>
      <c r="C239" s="29"/>
      <c r="D239" s="30"/>
      <c r="E239" s="31"/>
      <c r="F239" s="32" t="str">
        <f aca="false">IF($E239="","",$E239+7*IFERROR(VLOOKUP($B239,DS!$K$2:$M$4,2,FALSE()),12))</f>
        <v/>
      </c>
      <c r="G239" s="32" t="str">
        <f aca="false">IF($E239="","",$E239+7*IFERROR(VLOOKUP($B239,DS!$K$2:$M$4,3,FALSE()),12))</f>
        <v/>
      </c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3" t="str">
        <f aca="false">IF($A239="","",IF($R239&lt;&gt;"","95 Hủy/hoàn",IF($Q239&lt;&gt;"","99 Đóng",IF($P239&lt;&gt;"","90 Đã giao",IF($O239&lt;&gt;"","80 Đang giao",IF($N239&lt;&gt;"","70 Thông quan",IF($M239&lt;&gt;"","60 Đã xuất",IF($L239&lt;&gt;"","50 QC đạt",IF($K239&lt;&gt;"","40 NCC đã gửi",IF($I239&lt;&gt;"","30 Đã đặt NCC",IF($H239&lt;&gt;"","20 Đã xác nhận","10 Mới")))))))))))</f>
        <v/>
      </c>
      <c r="U239" s="33" t="str">
        <f aca="false">IF($T239="","",IFERROR(VLOOKUP($T239,DS!$A$2:$B$12,2,FALSE()),""))</f>
        <v/>
      </c>
      <c r="V239" s="34" t="str">
        <f aca="true">IF(OR($T239="",LEFT($T239,2)="99",LEFT($T239,2)="95"),"",TODAY()-MAX($E239,$H239:$P239))</f>
        <v/>
      </c>
      <c r="W239" s="34" t="str">
        <f aca="true">IF(AND($E239&lt;&gt;"",$I239="",$R239=""),IF(TODAY()-$E239&gt;1,"⚑",""),"")</f>
        <v/>
      </c>
      <c r="X239" s="34" t="str">
        <f aca="true">IF(AND($J239&lt;&gt;"",$K239="",$R239=""),IF(TODAY()-$J239&gt;2,"⚑",""),"")</f>
        <v/>
      </c>
      <c r="Y239" s="34" t="str">
        <f aca="true">IF(AND($G239&lt;&gt;"",$M239="",$R239=""),IF(AND($G239-TODAY()&lt;=14,$G239&gt;=TODAY()),"⚑",""),"")</f>
        <v/>
      </c>
      <c r="Z239" s="34" t="str">
        <f aca="true">IF(AND($G239&lt;&gt;"",$P239="",$R239=""),IF(TODAY()&gt;$G239,"⚑",""),"")</f>
        <v/>
      </c>
      <c r="AA239" s="34" t="str">
        <f aca="true">IF(AND($E239&lt;&gt;"",$P239="",$R239=""),IF(TODAY()-MAX($E239,$H239,$M239,$S239)&gt;7,"⚑",""),"")</f>
        <v/>
      </c>
      <c r="AB239" s="34" t="str">
        <f aca="false">IF(OR($P239="",$G239=""),"",IF($P239&lt;=$G239,"Có","Không"))</f>
        <v/>
      </c>
      <c r="AC239" s="34" t="str">
        <f aca="false">IF(OR($P239="",$E239=""),"",$P239-$E239)</f>
        <v/>
      </c>
      <c r="AD239" s="35" t="str">
        <f aca="false">IF($A239="","",COUNTIF(CASE!$B$3:$B$202,$A239))</f>
        <v/>
      </c>
      <c r="AE239" s="34" t="str">
        <f aca="false">IF(OR($I239="",$E239=""),"",$I239-$E239)</f>
        <v/>
      </c>
      <c r="AF239" s="34" t="str">
        <f aca="false">IF(OR($K239="",$I239=""),"",$K239-$I239)</f>
        <v/>
      </c>
      <c r="AG239" s="34" t="str">
        <f aca="false">IF(OR($L239="",$K239=""),"",$L239-$K239)</f>
        <v/>
      </c>
      <c r="AH239" s="34" t="str">
        <f aca="false">IF(OR($M239="",$L239=""),"",$M239-$L239)</f>
        <v/>
      </c>
      <c r="AI239" s="34" t="str">
        <f aca="false">IF(OR($P239="",$M239=""),"",$P239-$M239)</f>
        <v/>
      </c>
    </row>
    <row r="240" customFormat="false" ht="15" hidden="false" customHeight="false" outlineLevel="0" collapsed="false">
      <c r="A240" s="29"/>
      <c r="B240" s="29"/>
      <c r="C240" s="29"/>
      <c r="D240" s="30"/>
      <c r="E240" s="31"/>
      <c r="F240" s="32" t="str">
        <f aca="false">IF($E240="","",$E240+7*IFERROR(VLOOKUP($B240,DS!$K$2:$M$4,2,FALSE()),12))</f>
        <v/>
      </c>
      <c r="G240" s="32" t="str">
        <f aca="false">IF($E240="","",$E240+7*IFERROR(VLOOKUP($B240,DS!$K$2:$M$4,3,FALSE()),12))</f>
        <v/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3" t="str">
        <f aca="false">IF($A240="","",IF($R240&lt;&gt;"","95 Hủy/hoàn",IF($Q240&lt;&gt;"","99 Đóng",IF($P240&lt;&gt;"","90 Đã giao",IF($O240&lt;&gt;"","80 Đang giao",IF($N240&lt;&gt;"","70 Thông quan",IF($M240&lt;&gt;"","60 Đã xuất",IF($L240&lt;&gt;"","50 QC đạt",IF($K240&lt;&gt;"","40 NCC đã gửi",IF($I240&lt;&gt;"","30 Đã đặt NCC",IF($H240&lt;&gt;"","20 Đã xác nhận","10 Mới")))))))))))</f>
        <v/>
      </c>
      <c r="U240" s="33" t="str">
        <f aca="false">IF($T240="","",IFERROR(VLOOKUP($T240,DS!$A$2:$B$12,2,FALSE()),""))</f>
        <v/>
      </c>
      <c r="V240" s="34" t="str">
        <f aca="true">IF(OR($T240="",LEFT($T240,2)="99",LEFT($T240,2)="95"),"",TODAY()-MAX($E240,$H240:$P240))</f>
        <v/>
      </c>
      <c r="W240" s="34" t="str">
        <f aca="true">IF(AND($E240&lt;&gt;"",$I240="",$R240=""),IF(TODAY()-$E240&gt;1,"⚑",""),"")</f>
        <v/>
      </c>
      <c r="X240" s="34" t="str">
        <f aca="true">IF(AND($J240&lt;&gt;"",$K240="",$R240=""),IF(TODAY()-$J240&gt;2,"⚑",""),"")</f>
        <v/>
      </c>
      <c r="Y240" s="34" t="str">
        <f aca="true">IF(AND($G240&lt;&gt;"",$M240="",$R240=""),IF(AND($G240-TODAY()&lt;=14,$G240&gt;=TODAY()),"⚑",""),"")</f>
        <v/>
      </c>
      <c r="Z240" s="34" t="str">
        <f aca="true">IF(AND($G240&lt;&gt;"",$P240="",$R240=""),IF(TODAY()&gt;$G240,"⚑",""),"")</f>
        <v/>
      </c>
      <c r="AA240" s="34" t="str">
        <f aca="true">IF(AND($E240&lt;&gt;"",$P240="",$R240=""),IF(TODAY()-MAX($E240,$H240,$M240,$S240)&gt;7,"⚑",""),"")</f>
        <v/>
      </c>
      <c r="AB240" s="34" t="str">
        <f aca="false">IF(OR($P240="",$G240=""),"",IF($P240&lt;=$G240,"Có","Không"))</f>
        <v/>
      </c>
      <c r="AC240" s="34" t="str">
        <f aca="false">IF(OR($P240="",$E240=""),"",$P240-$E240)</f>
        <v/>
      </c>
      <c r="AD240" s="35" t="str">
        <f aca="false">IF($A240="","",COUNTIF(CASE!$B$3:$B$202,$A240))</f>
        <v/>
      </c>
      <c r="AE240" s="34" t="str">
        <f aca="false">IF(OR($I240="",$E240=""),"",$I240-$E240)</f>
        <v/>
      </c>
      <c r="AF240" s="34" t="str">
        <f aca="false">IF(OR($K240="",$I240=""),"",$K240-$I240)</f>
        <v/>
      </c>
      <c r="AG240" s="34" t="str">
        <f aca="false">IF(OR($L240="",$K240=""),"",$L240-$K240)</f>
        <v/>
      </c>
      <c r="AH240" s="34" t="str">
        <f aca="false">IF(OR($M240="",$L240=""),"",$M240-$L240)</f>
        <v/>
      </c>
      <c r="AI240" s="34" t="str">
        <f aca="false">IF(OR($P240="",$M240=""),"",$P240-$M240)</f>
        <v/>
      </c>
    </row>
    <row r="241" customFormat="false" ht="15" hidden="false" customHeight="false" outlineLevel="0" collapsed="false">
      <c r="A241" s="29"/>
      <c r="B241" s="29"/>
      <c r="C241" s="29"/>
      <c r="D241" s="30"/>
      <c r="E241" s="31"/>
      <c r="F241" s="32" t="str">
        <f aca="false">IF($E241="","",$E241+7*IFERROR(VLOOKUP($B241,DS!$K$2:$M$4,2,FALSE()),12))</f>
        <v/>
      </c>
      <c r="G241" s="32" t="str">
        <f aca="false">IF($E241="","",$E241+7*IFERROR(VLOOKUP($B241,DS!$K$2:$M$4,3,FALSE()),12))</f>
        <v/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3" t="str">
        <f aca="false">IF($A241="","",IF($R241&lt;&gt;"","95 Hủy/hoàn",IF($Q241&lt;&gt;"","99 Đóng",IF($P241&lt;&gt;"","90 Đã giao",IF($O241&lt;&gt;"","80 Đang giao",IF($N241&lt;&gt;"","70 Thông quan",IF($M241&lt;&gt;"","60 Đã xuất",IF($L241&lt;&gt;"","50 QC đạt",IF($K241&lt;&gt;"","40 NCC đã gửi",IF($I241&lt;&gt;"","30 Đã đặt NCC",IF($H241&lt;&gt;"","20 Đã xác nhận","10 Mới")))))))))))</f>
        <v/>
      </c>
      <c r="U241" s="33" t="str">
        <f aca="false">IF($T241="","",IFERROR(VLOOKUP($T241,DS!$A$2:$B$12,2,FALSE()),""))</f>
        <v/>
      </c>
      <c r="V241" s="34" t="str">
        <f aca="true">IF(OR($T241="",LEFT($T241,2)="99",LEFT($T241,2)="95"),"",TODAY()-MAX($E241,$H241:$P241))</f>
        <v/>
      </c>
      <c r="W241" s="34" t="str">
        <f aca="true">IF(AND($E241&lt;&gt;"",$I241="",$R241=""),IF(TODAY()-$E241&gt;1,"⚑",""),"")</f>
        <v/>
      </c>
      <c r="X241" s="34" t="str">
        <f aca="true">IF(AND($J241&lt;&gt;"",$K241="",$R241=""),IF(TODAY()-$J241&gt;2,"⚑",""),"")</f>
        <v/>
      </c>
      <c r="Y241" s="34" t="str">
        <f aca="true">IF(AND($G241&lt;&gt;"",$M241="",$R241=""),IF(AND($G241-TODAY()&lt;=14,$G241&gt;=TODAY()),"⚑",""),"")</f>
        <v/>
      </c>
      <c r="Z241" s="34" t="str">
        <f aca="true">IF(AND($G241&lt;&gt;"",$P241="",$R241=""),IF(TODAY()&gt;$G241,"⚑",""),"")</f>
        <v/>
      </c>
      <c r="AA241" s="34" t="str">
        <f aca="true">IF(AND($E241&lt;&gt;"",$P241="",$R241=""),IF(TODAY()-MAX($E241,$H241,$M241,$S241)&gt;7,"⚑",""),"")</f>
        <v/>
      </c>
      <c r="AB241" s="34" t="str">
        <f aca="false">IF(OR($P241="",$G241=""),"",IF($P241&lt;=$G241,"Có","Không"))</f>
        <v/>
      </c>
      <c r="AC241" s="34" t="str">
        <f aca="false">IF(OR($P241="",$E241=""),"",$P241-$E241)</f>
        <v/>
      </c>
      <c r="AD241" s="35" t="str">
        <f aca="false">IF($A241="","",COUNTIF(CASE!$B$3:$B$202,$A241))</f>
        <v/>
      </c>
      <c r="AE241" s="34" t="str">
        <f aca="false">IF(OR($I241="",$E241=""),"",$I241-$E241)</f>
        <v/>
      </c>
      <c r="AF241" s="34" t="str">
        <f aca="false">IF(OR($K241="",$I241=""),"",$K241-$I241)</f>
        <v/>
      </c>
      <c r="AG241" s="34" t="str">
        <f aca="false">IF(OR($L241="",$K241=""),"",$L241-$K241)</f>
        <v/>
      </c>
      <c r="AH241" s="34" t="str">
        <f aca="false">IF(OR($M241="",$L241=""),"",$M241-$L241)</f>
        <v/>
      </c>
      <c r="AI241" s="34" t="str">
        <f aca="false">IF(OR($P241="",$M241=""),"",$P241-$M241)</f>
        <v/>
      </c>
    </row>
    <row r="242" customFormat="false" ht="15" hidden="false" customHeight="false" outlineLevel="0" collapsed="false">
      <c r="A242" s="29"/>
      <c r="B242" s="29"/>
      <c r="C242" s="29"/>
      <c r="D242" s="30"/>
      <c r="E242" s="31"/>
      <c r="F242" s="32" t="str">
        <f aca="false">IF($E242="","",$E242+7*IFERROR(VLOOKUP($B242,DS!$K$2:$M$4,2,FALSE()),12))</f>
        <v/>
      </c>
      <c r="G242" s="32" t="str">
        <f aca="false">IF($E242="","",$E242+7*IFERROR(VLOOKUP($B242,DS!$K$2:$M$4,3,FALSE()),12))</f>
        <v/>
      </c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3" t="str">
        <f aca="false">IF($A242="","",IF($R242&lt;&gt;"","95 Hủy/hoàn",IF($Q242&lt;&gt;"","99 Đóng",IF($P242&lt;&gt;"","90 Đã giao",IF($O242&lt;&gt;"","80 Đang giao",IF($N242&lt;&gt;"","70 Thông quan",IF($M242&lt;&gt;"","60 Đã xuất",IF($L242&lt;&gt;"","50 QC đạt",IF($K242&lt;&gt;"","40 NCC đã gửi",IF($I242&lt;&gt;"","30 Đã đặt NCC",IF($H242&lt;&gt;"","20 Đã xác nhận","10 Mới")))))))))))</f>
        <v/>
      </c>
      <c r="U242" s="33" t="str">
        <f aca="false">IF($T242="","",IFERROR(VLOOKUP($T242,DS!$A$2:$B$12,2,FALSE()),""))</f>
        <v/>
      </c>
      <c r="V242" s="34" t="str">
        <f aca="true">IF(OR($T242="",LEFT($T242,2)="99",LEFT($T242,2)="95"),"",TODAY()-MAX($E242,$H242:$P242))</f>
        <v/>
      </c>
      <c r="W242" s="34" t="str">
        <f aca="true">IF(AND($E242&lt;&gt;"",$I242="",$R242=""),IF(TODAY()-$E242&gt;1,"⚑",""),"")</f>
        <v/>
      </c>
      <c r="X242" s="34" t="str">
        <f aca="true">IF(AND($J242&lt;&gt;"",$K242="",$R242=""),IF(TODAY()-$J242&gt;2,"⚑",""),"")</f>
        <v/>
      </c>
      <c r="Y242" s="34" t="str">
        <f aca="true">IF(AND($G242&lt;&gt;"",$M242="",$R242=""),IF(AND($G242-TODAY()&lt;=14,$G242&gt;=TODAY()),"⚑",""),"")</f>
        <v/>
      </c>
      <c r="Z242" s="34" t="str">
        <f aca="true">IF(AND($G242&lt;&gt;"",$P242="",$R242=""),IF(TODAY()&gt;$G242,"⚑",""),"")</f>
        <v/>
      </c>
      <c r="AA242" s="34" t="str">
        <f aca="true">IF(AND($E242&lt;&gt;"",$P242="",$R242=""),IF(TODAY()-MAX($E242,$H242,$M242,$S242)&gt;7,"⚑",""),"")</f>
        <v/>
      </c>
      <c r="AB242" s="34" t="str">
        <f aca="false">IF(OR($P242="",$G242=""),"",IF($P242&lt;=$G242,"Có","Không"))</f>
        <v/>
      </c>
      <c r="AC242" s="34" t="str">
        <f aca="false">IF(OR($P242="",$E242=""),"",$P242-$E242)</f>
        <v/>
      </c>
      <c r="AD242" s="35" t="str">
        <f aca="false">IF($A242="","",COUNTIF(CASE!$B$3:$B$202,$A242))</f>
        <v/>
      </c>
      <c r="AE242" s="34" t="str">
        <f aca="false">IF(OR($I242="",$E242=""),"",$I242-$E242)</f>
        <v/>
      </c>
      <c r="AF242" s="34" t="str">
        <f aca="false">IF(OR($K242="",$I242=""),"",$K242-$I242)</f>
        <v/>
      </c>
      <c r="AG242" s="34" t="str">
        <f aca="false">IF(OR($L242="",$K242=""),"",$L242-$K242)</f>
        <v/>
      </c>
      <c r="AH242" s="34" t="str">
        <f aca="false">IF(OR($M242="",$L242=""),"",$M242-$L242)</f>
        <v/>
      </c>
      <c r="AI242" s="34" t="str">
        <f aca="false">IF(OR($P242="",$M242=""),"",$P242-$M242)</f>
        <v/>
      </c>
    </row>
    <row r="243" customFormat="false" ht="15" hidden="false" customHeight="false" outlineLevel="0" collapsed="false">
      <c r="A243" s="29"/>
      <c r="B243" s="29"/>
      <c r="C243" s="29"/>
      <c r="D243" s="30"/>
      <c r="E243" s="31"/>
      <c r="F243" s="32" t="str">
        <f aca="false">IF($E243="","",$E243+7*IFERROR(VLOOKUP($B243,DS!$K$2:$M$4,2,FALSE()),12))</f>
        <v/>
      </c>
      <c r="G243" s="32" t="str">
        <f aca="false">IF($E243="","",$E243+7*IFERROR(VLOOKUP($B243,DS!$K$2:$M$4,3,FALSE()),12))</f>
        <v/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3" t="str">
        <f aca="false">IF($A243="","",IF($R243&lt;&gt;"","95 Hủy/hoàn",IF($Q243&lt;&gt;"","99 Đóng",IF($P243&lt;&gt;"","90 Đã giao",IF($O243&lt;&gt;"","80 Đang giao",IF($N243&lt;&gt;"","70 Thông quan",IF($M243&lt;&gt;"","60 Đã xuất",IF($L243&lt;&gt;"","50 QC đạt",IF($K243&lt;&gt;"","40 NCC đã gửi",IF($I243&lt;&gt;"","30 Đã đặt NCC",IF($H243&lt;&gt;"","20 Đã xác nhận","10 Mới")))))))))))</f>
        <v/>
      </c>
      <c r="U243" s="33" t="str">
        <f aca="false">IF($T243="","",IFERROR(VLOOKUP($T243,DS!$A$2:$B$12,2,FALSE()),""))</f>
        <v/>
      </c>
      <c r="V243" s="34" t="str">
        <f aca="true">IF(OR($T243="",LEFT($T243,2)="99",LEFT($T243,2)="95"),"",TODAY()-MAX($E243,$H243:$P243))</f>
        <v/>
      </c>
      <c r="W243" s="34" t="str">
        <f aca="true">IF(AND($E243&lt;&gt;"",$I243="",$R243=""),IF(TODAY()-$E243&gt;1,"⚑",""),"")</f>
        <v/>
      </c>
      <c r="X243" s="34" t="str">
        <f aca="true">IF(AND($J243&lt;&gt;"",$K243="",$R243=""),IF(TODAY()-$J243&gt;2,"⚑",""),"")</f>
        <v/>
      </c>
      <c r="Y243" s="34" t="str">
        <f aca="true">IF(AND($G243&lt;&gt;"",$M243="",$R243=""),IF(AND($G243-TODAY()&lt;=14,$G243&gt;=TODAY()),"⚑",""),"")</f>
        <v/>
      </c>
      <c r="Z243" s="34" t="str">
        <f aca="true">IF(AND($G243&lt;&gt;"",$P243="",$R243=""),IF(TODAY()&gt;$G243,"⚑",""),"")</f>
        <v/>
      </c>
      <c r="AA243" s="34" t="str">
        <f aca="true">IF(AND($E243&lt;&gt;"",$P243="",$R243=""),IF(TODAY()-MAX($E243,$H243,$M243,$S243)&gt;7,"⚑",""),"")</f>
        <v/>
      </c>
      <c r="AB243" s="34" t="str">
        <f aca="false">IF(OR($P243="",$G243=""),"",IF($P243&lt;=$G243,"Có","Không"))</f>
        <v/>
      </c>
      <c r="AC243" s="34" t="str">
        <f aca="false">IF(OR($P243="",$E243=""),"",$P243-$E243)</f>
        <v/>
      </c>
      <c r="AD243" s="35" t="str">
        <f aca="false">IF($A243="","",COUNTIF(CASE!$B$3:$B$202,$A243))</f>
        <v/>
      </c>
      <c r="AE243" s="34" t="str">
        <f aca="false">IF(OR($I243="",$E243=""),"",$I243-$E243)</f>
        <v/>
      </c>
      <c r="AF243" s="34" t="str">
        <f aca="false">IF(OR($K243="",$I243=""),"",$K243-$I243)</f>
        <v/>
      </c>
      <c r="AG243" s="34" t="str">
        <f aca="false">IF(OR($L243="",$K243=""),"",$L243-$K243)</f>
        <v/>
      </c>
      <c r="AH243" s="34" t="str">
        <f aca="false">IF(OR($M243="",$L243=""),"",$M243-$L243)</f>
        <v/>
      </c>
      <c r="AI243" s="34" t="str">
        <f aca="false">IF(OR($P243="",$M243=""),"",$P243-$M243)</f>
        <v/>
      </c>
    </row>
    <row r="244" customFormat="false" ht="15" hidden="false" customHeight="false" outlineLevel="0" collapsed="false">
      <c r="A244" s="29"/>
      <c r="B244" s="29"/>
      <c r="C244" s="29"/>
      <c r="D244" s="30"/>
      <c r="E244" s="31"/>
      <c r="F244" s="32" t="str">
        <f aca="false">IF($E244="","",$E244+7*IFERROR(VLOOKUP($B244,DS!$K$2:$M$4,2,FALSE()),12))</f>
        <v/>
      </c>
      <c r="G244" s="32" t="str">
        <f aca="false">IF($E244="","",$E244+7*IFERROR(VLOOKUP($B244,DS!$K$2:$M$4,3,FALSE()),12))</f>
        <v/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3" t="str">
        <f aca="false">IF($A244="","",IF($R244&lt;&gt;"","95 Hủy/hoàn",IF($Q244&lt;&gt;"","99 Đóng",IF($P244&lt;&gt;"","90 Đã giao",IF($O244&lt;&gt;"","80 Đang giao",IF($N244&lt;&gt;"","70 Thông quan",IF($M244&lt;&gt;"","60 Đã xuất",IF($L244&lt;&gt;"","50 QC đạt",IF($K244&lt;&gt;"","40 NCC đã gửi",IF($I244&lt;&gt;"","30 Đã đặt NCC",IF($H244&lt;&gt;"","20 Đã xác nhận","10 Mới")))))))))))</f>
        <v/>
      </c>
      <c r="U244" s="33" t="str">
        <f aca="false">IF($T244="","",IFERROR(VLOOKUP($T244,DS!$A$2:$B$12,2,FALSE()),""))</f>
        <v/>
      </c>
      <c r="V244" s="34" t="str">
        <f aca="true">IF(OR($T244="",LEFT($T244,2)="99",LEFT($T244,2)="95"),"",TODAY()-MAX($E244,$H244:$P244))</f>
        <v/>
      </c>
      <c r="W244" s="34" t="str">
        <f aca="true">IF(AND($E244&lt;&gt;"",$I244="",$R244=""),IF(TODAY()-$E244&gt;1,"⚑",""),"")</f>
        <v/>
      </c>
      <c r="X244" s="34" t="str">
        <f aca="true">IF(AND($J244&lt;&gt;"",$K244="",$R244=""),IF(TODAY()-$J244&gt;2,"⚑",""),"")</f>
        <v/>
      </c>
      <c r="Y244" s="34" t="str">
        <f aca="true">IF(AND($G244&lt;&gt;"",$M244="",$R244=""),IF(AND($G244-TODAY()&lt;=14,$G244&gt;=TODAY()),"⚑",""),"")</f>
        <v/>
      </c>
      <c r="Z244" s="34" t="str">
        <f aca="true">IF(AND($G244&lt;&gt;"",$P244="",$R244=""),IF(TODAY()&gt;$G244,"⚑",""),"")</f>
        <v/>
      </c>
      <c r="AA244" s="34" t="str">
        <f aca="true">IF(AND($E244&lt;&gt;"",$P244="",$R244=""),IF(TODAY()-MAX($E244,$H244,$M244,$S244)&gt;7,"⚑",""),"")</f>
        <v/>
      </c>
      <c r="AB244" s="34" t="str">
        <f aca="false">IF(OR($P244="",$G244=""),"",IF($P244&lt;=$G244,"Có","Không"))</f>
        <v/>
      </c>
      <c r="AC244" s="34" t="str">
        <f aca="false">IF(OR($P244="",$E244=""),"",$P244-$E244)</f>
        <v/>
      </c>
      <c r="AD244" s="35" t="str">
        <f aca="false">IF($A244="","",COUNTIF(CASE!$B$3:$B$202,$A244))</f>
        <v/>
      </c>
      <c r="AE244" s="34" t="str">
        <f aca="false">IF(OR($I244="",$E244=""),"",$I244-$E244)</f>
        <v/>
      </c>
      <c r="AF244" s="34" t="str">
        <f aca="false">IF(OR($K244="",$I244=""),"",$K244-$I244)</f>
        <v/>
      </c>
      <c r="AG244" s="34" t="str">
        <f aca="false">IF(OR($L244="",$K244=""),"",$L244-$K244)</f>
        <v/>
      </c>
      <c r="AH244" s="34" t="str">
        <f aca="false">IF(OR($M244="",$L244=""),"",$M244-$L244)</f>
        <v/>
      </c>
      <c r="AI244" s="34" t="str">
        <f aca="false">IF(OR($P244="",$M244=""),"",$P244-$M244)</f>
        <v/>
      </c>
    </row>
    <row r="245" customFormat="false" ht="15" hidden="false" customHeight="false" outlineLevel="0" collapsed="false">
      <c r="A245" s="29"/>
      <c r="B245" s="29"/>
      <c r="C245" s="29"/>
      <c r="D245" s="30"/>
      <c r="E245" s="31"/>
      <c r="F245" s="32" t="str">
        <f aca="false">IF($E245="","",$E245+7*IFERROR(VLOOKUP($B245,DS!$K$2:$M$4,2,FALSE()),12))</f>
        <v/>
      </c>
      <c r="G245" s="32" t="str">
        <f aca="false">IF($E245="","",$E245+7*IFERROR(VLOOKUP($B245,DS!$K$2:$M$4,3,FALSE()),12))</f>
        <v/>
      </c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3" t="str">
        <f aca="false">IF($A245="","",IF($R245&lt;&gt;"","95 Hủy/hoàn",IF($Q245&lt;&gt;"","99 Đóng",IF($P245&lt;&gt;"","90 Đã giao",IF($O245&lt;&gt;"","80 Đang giao",IF($N245&lt;&gt;"","70 Thông quan",IF($M245&lt;&gt;"","60 Đã xuất",IF($L245&lt;&gt;"","50 QC đạt",IF($K245&lt;&gt;"","40 NCC đã gửi",IF($I245&lt;&gt;"","30 Đã đặt NCC",IF($H245&lt;&gt;"","20 Đã xác nhận","10 Mới")))))))))))</f>
        <v/>
      </c>
      <c r="U245" s="33" t="str">
        <f aca="false">IF($T245="","",IFERROR(VLOOKUP($T245,DS!$A$2:$B$12,2,FALSE()),""))</f>
        <v/>
      </c>
      <c r="V245" s="34" t="str">
        <f aca="true">IF(OR($T245="",LEFT($T245,2)="99",LEFT($T245,2)="95"),"",TODAY()-MAX($E245,$H245:$P245))</f>
        <v/>
      </c>
      <c r="W245" s="34" t="str">
        <f aca="true">IF(AND($E245&lt;&gt;"",$I245="",$R245=""),IF(TODAY()-$E245&gt;1,"⚑",""),"")</f>
        <v/>
      </c>
      <c r="X245" s="34" t="str">
        <f aca="true">IF(AND($J245&lt;&gt;"",$K245="",$R245=""),IF(TODAY()-$J245&gt;2,"⚑",""),"")</f>
        <v/>
      </c>
      <c r="Y245" s="34" t="str">
        <f aca="true">IF(AND($G245&lt;&gt;"",$M245="",$R245=""),IF(AND($G245-TODAY()&lt;=14,$G245&gt;=TODAY()),"⚑",""),"")</f>
        <v/>
      </c>
      <c r="Z245" s="34" t="str">
        <f aca="true">IF(AND($G245&lt;&gt;"",$P245="",$R245=""),IF(TODAY()&gt;$G245,"⚑",""),"")</f>
        <v/>
      </c>
      <c r="AA245" s="34" t="str">
        <f aca="true">IF(AND($E245&lt;&gt;"",$P245="",$R245=""),IF(TODAY()-MAX($E245,$H245,$M245,$S245)&gt;7,"⚑",""),"")</f>
        <v/>
      </c>
      <c r="AB245" s="34" t="str">
        <f aca="false">IF(OR($P245="",$G245=""),"",IF($P245&lt;=$G245,"Có","Không"))</f>
        <v/>
      </c>
      <c r="AC245" s="34" t="str">
        <f aca="false">IF(OR($P245="",$E245=""),"",$P245-$E245)</f>
        <v/>
      </c>
      <c r="AD245" s="35" t="str">
        <f aca="false">IF($A245="","",COUNTIF(CASE!$B$3:$B$202,$A245))</f>
        <v/>
      </c>
      <c r="AE245" s="34" t="str">
        <f aca="false">IF(OR($I245="",$E245=""),"",$I245-$E245)</f>
        <v/>
      </c>
      <c r="AF245" s="34" t="str">
        <f aca="false">IF(OR($K245="",$I245=""),"",$K245-$I245)</f>
        <v/>
      </c>
      <c r="AG245" s="34" t="str">
        <f aca="false">IF(OR($L245="",$K245=""),"",$L245-$K245)</f>
        <v/>
      </c>
      <c r="AH245" s="34" t="str">
        <f aca="false">IF(OR($M245="",$L245=""),"",$M245-$L245)</f>
        <v/>
      </c>
      <c r="AI245" s="34" t="str">
        <f aca="false">IF(OR($P245="",$M245=""),"",$P245-$M245)</f>
        <v/>
      </c>
    </row>
    <row r="246" customFormat="false" ht="15" hidden="false" customHeight="false" outlineLevel="0" collapsed="false">
      <c r="A246" s="29"/>
      <c r="B246" s="29"/>
      <c r="C246" s="29"/>
      <c r="D246" s="30"/>
      <c r="E246" s="31"/>
      <c r="F246" s="32" t="str">
        <f aca="false">IF($E246="","",$E246+7*IFERROR(VLOOKUP($B246,DS!$K$2:$M$4,2,FALSE()),12))</f>
        <v/>
      </c>
      <c r="G246" s="32" t="str">
        <f aca="false">IF($E246="","",$E246+7*IFERROR(VLOOKUP($B246,DS!$K$2:$M$4,3,FALSE()),12))</f>
        <v/>
      </c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3" t="str">
        <f aca="false">IF($A246="","",IF($R246&lt;&gt;"","95 Hủy/hoàn",IF($Q246&lt;&gt;"","99 Đóng",IF($P246&lt;&gt;"","90 Đã giao",IF($O246&lt;&gt;"","80 Đang giao",IF($N246&lt;&gt;"","70 Thông quan",IF($M246&lt;&gt;"","60 Đã xuất",IF($L246&lt;&gt;"","50 QC đạt",IF($K246&lt;&gt;"","40 NCC đã gửi",IF($I246&lt;&gt;"","30 Đã đặt NCC",IF($H246&lt;&gt;"","20 Đã xác nhận","10 Mới")))))))))))</f>
        <v/>
      </c>
      <c r="U246" s="33" t="str">
        <f aca="false">IF($T246="","",IFERROR(VLOOKUP($T246,DS!$A$2:$B$12,2,FALSE()),""))</f>
        <v/>
      </c>
      <c r="V246" s="34" t="str">
        <f aca="true">IF(OR($T246="",LEFT($T246,2)="99",LEFT($T246,2)="95"),"",TODAY()-MAX($E246,$H246:$P246))</f>
        <v/>
      </c>
      <c r="W246" s="34" t="str">
        <f aca="true">IF(AND($E246&lt;&gt;"",$I246="",$R246=""),IF(TODAY()-$E246&gt;1,"⚑",""),"")</f>
        <v/>
      </c>
      <c r="X246" s="34" t="str">
        <f aca="true">IF(AND($J246&lt;&gt;"",$K246="",$R246=""),IF(TODAY()-$J246&gt;2,"⚑",""),"")</f>
        <v/>
      </c>
      <c r="Y246" s="34" t="str">
        <f aca="true">IF(AND($G246&lt;&gt;"",$M246="",$R246=""),IF(AND($G246-TODAY()&lt;=14,$G246&gt;=TODAY()),"⚑",""),"")</f>
        <v/>
      </c>
      <c r="Z246" s="34" t="str">
        <f aca="true">IF(AND($G246&lt;&gt;"",$P246="",$R246=""),IF(TODAY()&gt;$G246,"⚑",""),"")</f>
        <v/>
      </c>
      <c r="AA246" s="34" t="str">
        <f aca="true">IF(AND($E246&lt;&gt;"",$P246="",$R246=""),IF(TODAY()-MAX($E246,$H246,$M246,$S246)&gt;7,"⚑",""),"")</f>
        <v/>
      </c>
      <c r="AB246" s="34" t="str">
        <f aca="false">IF(OR($P246="",$G246=""),"",IF($P246&lt;=$G246,"Có","Không"))</f>
        <v/>
      </c>
      <c r="AC246" s="34" t="str">
        <f aca="false">IF(OR($P246="",$E246=""),"",$P246-$E246)</f>
        <v/>
      </c>
      <c r="AD246" s="35" t="str">
        <f aca="false">IF($A246="","",COUNTIF(CASE!$B$3:$B$202,$A246))</f>
        <v/>
      </c>
      <c r="AE246" s="34" t="str">
        <f aca="false">IF(OR($I246="",$E246=""),"",$I246-$E246)</f>
        <v/>
      </c>
      <c r="AF246" s="34" t="str">
        <f aca="false">IF(OR($K246="",$I246=""),"",$K246-$I246)</f>
        <v/>
      </c>
      <c r="AG246" s="34" t="str">
        <f aca="false">IF(OR($L246="",$K246=""),"",$L246-$K246)</f>
        <v/>
      </c>
      <c r="AH246" s="34" t="str">
        <f aca="false">IF(OR($M246="",$L246=""),"",$M246-$L246)</f>
        <v/>
      </c>
      <c r="AI246" s="34" t="str">
        <f aca="false">IF(OR($P246="",$M246=""),"",$P246-$M246)</f>
        <v/>
      </c>
    </row>
    <row r="247" customFormat="false" ht="15" hidden="false" customHeight="false" outlineLevel="0" collapsed="false">
      <c r="A247" s="29"/>
      <c r="B247" s="29"/>
      <c r="C247" s="29"/>
      <c r="D247" s="30"/>
      <c r="E247" s="31"/>
      <c r="F247" s="32" t="str">
        <f aca="false">IF($E247="","",$E247+7*IFERROR(VLOOKUP($B247,DS!$K$2:$M$4,2,FALSE()),12))</f>
        <v/>
      </c>
      <c r="G247" s="32" t="str">
        <f aca="false">IF($E247="","",$E247+7*IFERROR(VLOOKUP($B247,DS!$K$2:$M$4,3,FALSE()),12))</f>
        <v/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3" t="str">
        <f aca="false">IF($A247="","",IF($R247&lt;&gt;"","95 Hủy/hoàn",IF($Q247&lt;&gt;"","99 Đóng",IF($P247&lt;&gt;"","90 Đã giao",IF($O247&lt;&gt;"","80 Đang giao",IF($N247&lt;&gt;"","70 Thông quan",IF($M247&lt;&gt;"","60 Đã xuất",IF($L247&lt;&gt;"","50 QC đạt",IF($K247&lt;&gt;"","40 NCC đã gửi",IF($I247&lt;&gt;"","30 Đã đặt NCC",IF($H247&lt;&gt;"","20 Đã xác nhận","10 Mới")))))))))))</f>
        <v/>
      </c>
      <c r="U247" s="33" t="str">
        <f aca="false">IF($T247="","",IFERROR(VLOOKUP($T247,DS!$A$2:$B$12,2,FALSE()),""))</f>
        <v/>
      </c>
      <c r="V247" s="34" t="str">
        <f aca="true">IF(OR($T247="",LEFT($T247,2)="99",LEFT($T247,2)="95"),"",TODAY()-MAX($E247,$H247:$P247))</f>
        <v/>
      </c>
      <c r="W247" s="34" t="str">
        <f aca="true">IF(AND($E247&lt;&gt;"",$I247="",$R247=""),IF(TODAY()-$E247&gt;1,"⚑",""),"")</f>
        <v/>
      </c>
      <c r="X247" s="34" t="str">
        <f aca="true">IF(AND($J247&lt;&gt;"",$K247="",$R247=""),IF(TODAY()-$J247&gt;2,"⚑",""),"")</f>
        <v/>
      </c>
      <c r="Y247" s="34" t="str">
        <f aca="true">IF(AND($G247&lt;&gt;"",$M247="",$R247=""),IF(AND($G247-TODAY()&lt;=14,$G247&gt;=TODAY()),"⚑",""),"")</f>
        <v/>
      </c>
      <c r="Z247" s="34" t="str">
        <f aca="true">IF(AND($G247&lt;&gt;"",$P247="",$R247=""),IF(TODAY()&gt;$G247,"⚑",""),"")</f>
        <v/>
      </c>
      <c r="AA247" s="34" t="str">
        <f aca="true">IF(AND($E247&lt;&gt;"",$P247="",$R247=""),IF(TODAY()-MAX($E247,$H247,$M247,$S247)&gt;7,"⚑",""),"")</f>
        <v/>
      </c>
      <c r="AB247" s="34" t="str">
        <f aca="false">IF(OR($P247="",$G247=""),"",IF($P247&lt;=$G247,"Có","Không"))</f>
        <v/>
      </c>
      <c r="AC247" s="34" t="str">
        <f aca="false">IF(OR($P247="",$E247=""),"",$P247-$E247)</f>
        <v/>
      </c>
      <c r="AD247" s="35" t="str">
        <f aca="false">IF($A247="","",COUNTIF(CASE!$B$3:$B$202,$A247))</f>
        <v/>
      </c>
      <c r="AE247" s="34" t="str">
        <f aca="false">IF(OR($I247="",$E247=""),"",$I247-$E247)</f>
        <v/>
      </c>
      <c r="AF247" s="34" t="str">
        <f aca="false">IF(OR($K247="",$I247=""),"",$K247-$I247)</f>
        <v/>
      </c>
      <c r="AG247" s="34" t="str">
        <f aca="false">IF(OR($L247="",$K247=""),"",$L247-$K247)</f>
        <v/>
      </c>
      <c r="AH247" s="34" t="str">
        <f aca="false">IF(OR($M247="",$L247=""),"",$M247-$L247)</f>
        <v/>
      </c>
      <c r="AI247" s="34" t="str">
        <f aca="false">IF(OR($P247="",$M247=""),"",$P247-$M247)</f>
        <v/>
      </c>
    </row>
    <row r="248" customFormat="false" ht="15" hidden="false" customHeight="false" outlineLevel="0" collapsed="false">
      <c r="A248" s="29"/>
      <c r="B248" s="29"/>
      <c r="C248" s="29"/>
      <c r="D248" s="30"/>
      <c r="E248" s="31"/>
      <c r="F248" s="32" t="str">
        <f aca="false">IF($E248="","",$E248+7*IFERROR(VLOOKUP($B248,DS!$K$2:$M$4,2,FALSE()),12))</f>
        <v/>
      </c>
      <c r="G248" s="32" t="str">
        <f aca="false">IF($E248="","",$E248+7*IFERROR(VLOOKUP($B248,DS!$K$2:$M$4,3,FALSE()),12))</f>
        <v/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3" t="str">
        <f aca="false">IF($A248="","",IF($R248&lt;&gt;"","95 Hủy/hoàn",IF($Q248&lt;&gt;"","99 Đóng",IF($P248&lt;&gt;"","90 Đã giao",IF($O248&lt;&gt;"","80 Đang giao",IF($N248&lt;&gt;"","70 Thông quan",IF($M248&lt;&gt;"","60 Đã xuất",IF($L248&lt;&gt;"","50 QC đạt",IF($K248&lt;&gt;"","40 NCC đã gửi",IF($I248&lt;&gt;"","30 Đã đặt NCC",IF($H248&lt;&gt;"","20 Đã xác nhận","10 Mới")))))))))))</f>
        <v/>
      </c>
      <c r="U248" s="33" t="str">
        <f aca="false">IF($T248="","",IFERROR(VLOOKUP($T248,DS!$A$2:$B$12,2,FALSE()),""))</f>
        <v/>
      </c>
      <c r="V248" s="34" t="str">
        <f aca="true">IF(OR($T248="",LEFT($T248,2)="99",LEFT($T248,2)="95"),"",TODAY()-MAX($E248,$H248:$P248))</f>
        <v/>
      </c>
      <c r="W248" s="34" t="str">
        <f aca="true">IF(AND($E248&lt;&gt;"",$I248="",$R248=""),IF(TODAY()-$E248&gt;1,"⚑",""),"")</f>
        <v/>
      </c>
      <c r="X248" s="34" t="str">
        <f aca="true">IF(AND($J248&lt;&gt;"",$K248="",$R248=""),IF(TODAY()-$J248&gt;2,"⚑",""),"")</f>
        <v/>
      </c>
      <c r="Y248" s="34" t="str">
        <f aca="true">IF(AND($G248&lt;&gt;"",$M248="",$R248=""),IF(AND($G248-TODAY()&lt;=14,$G248&gt;=TODAY()),"⚑",""),"")</f>
        <v/>
      </c>
      <c r="Z248" s="34" t="str">
        <f aca="true">IF(AND($G248&lt;&gt;"",$P248="",$R248=""),IF(TODAY()&gt;$G248,"⚑",""),"")</f>
        <v/>
      </c>
      <c r="AA248" s="34" t="str">
        <f aca="true">IF(AND($E248&lt;&gt;"",$P248="",$R248=""),IF(TODAY()-MAX($E248,$H248,$M248,$S248)&gt;7,"⚑",""),"")</f>
        <v/>
      </c>
      <c r="AB248" s="34" t="str">
        <f aca="false">IF(OR($P248="",$G248=""),"",IF($P248&lt;=$G248,"Có","Không"))</f>
        <v/>
      </c>
      <c r="AC248" s="34" t="str">
        <f aca="false">IF(OR($P248="",$E248=""),"",$P248-$E248)</f>
        <v/>
      </c>
      <c r="AD248" s="35" t="str">
        <f aca="false">IF($A248="","",COUNTIF(CASE!$B$3:$B$202,$A248))</f>
        <v/>
      </c>
      <c r="AE248" s="34" t="str">
        <f aca="false">IF(OR($I248="",$E248=""),"",$I248-$E248)</f>
        <v/>
      </c>
      <c r="AF248" s="34" t="str">
        <f aca="false">IF(OR($K248="",$I248=""),"",$K248-$I248)</f>
        <v/>
      </c>
      <c r="AG248" s="34" t="str">
        <f aca="false">IF(OR($L248="",$K248=""),"",$L248-$K248)</f>
        <v/>
      </c>
      <c r="AH248" s="34" t="str">
        <f aca="false">IF(OR($M248="",$L248=""),"",$M248-$L248)</f>
        <v/>
      </c>
      <c r="AI248" s="34" t="str">
        <f aca="false">IF(OR($P248="",$M248=""),"",$P248-$M248)</f>
        <v/>
      </c>
    </row>
    <row r="249" customFormat="false" ht="15" hidden="false" customHeight="false" outlineLevel="0" collapsed="false">
      <c r="A249" s="29"/>
      <c r="B249" s="29"/>
      <c r="C249" s="29"/>
      <c r="D249" s="30"/>
      <c r="E249" s="31"/>
      <c r="F249" s="32" t="str">
        <f aca="false">IF($E249="","",$E249+7*IFERROR(VLOOKUP($B249,DS!$K$2:$M$4,2,FALSE()),12))</f>
        <v/>
      </c>
      <c r="G249" s="32" t="str">
        <f aca="false">IF($E249="","",$E249+7*IFERROR(VLOOKUP($B249,DS!$K$2:$M$4,3,FALSE()),12))</f>
        <v/>
      </c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3" t="str">
        <f aca="false">IF($A249="","",IF($R249&lt;&gt;"","95 Hủy/hoàn",IF($Q249&lt;&gt;"","99 Đóng",IF($P249&lt;&gt;"","90 Đã giao",IF($O249&lt;&gt;"","80 Đang giao",IF($N249&lt;&gt;"","70 Thông quan",IF($M249&lt;&gt;"","60 Đã xuất",IF($L249&lt;&gt;"","50 QC đạt",IF($K249&lt;&gt;"","40 NCC đã gửi",IF($I249&lt;&gt;"","30 Đã đặt NCC",IF($H249&lt;&gt;"","20 Đã xác nhận","10 Mới")))))))))))</f>
        <v/>
      </c>
      <c r="U249" s="33" t="str">
        <f aca="false">IF($T249="","",IFERROR(VLOOKUP($T249,DS!$A$2:$B$12,2,FALSE()),""))</f>
        <v/>
      </c>
      <c r="V249" s="34" t="str">
        <f aca="true">IF(OR($T249="",LEFT($T249,2)="99",LEFT($T249,2)="95"),"",TODAY()-MAX($E249,$H249:$P249))</f>
        <v/>
      </c>
      <c r="W249" s="34" t="str">
        <f aca="true">IF(AND($E249&lt;&gt;"",$I249="",$R249=""),IF(TODAY()-$E249&gt;1,"⚑",""),"")</f>
        <v/>
      </c>
      <c r="X249" s="34" t="str">
        <f aca="true">IF(AND($J249&lt;&gt;"",$K249="",$R249=""),IF(TODAY()-$J249&gt;2,"⚑",""),"")</f>
        <v/>
      </c>
      <c r="Y249" s="34" t="str">
        <f aca="true">IF(AND($G249&lt;&gt;"",$M249="",$R249=""),IF(AND($G249-TODAY()&lt;=14,$G249&gt;=TODAY()),"⚑",""),"")</f>
        <v/>
      </c>
      <c r="Z249" s="34" t="str">
        <f aca="true">IF(AND($G249&lt;&gt;"",$P249="",$R249=""),IF(TODAY()&gt;$G249,"⚑",""),"")</f>
        <v/>
      </c>
      <c r="AA249" s="34" t="str">
        <f aca="true">IF(AND($E249&lt;&gt;"",$P249="",$R249=""),IF(TODAY()-MAX($E249,$H249,$M249,$S249)&gt;7,"⚑",""),"")</f>
        <v/>
      </c>
      <c r="AB249" s="34" t="str">
        <f aca="false">IF(OR($P249="",$G249=""),"",IF($P249&lt;=$G249,"Có","Không"))</f>
        <v/>
      </c>
      <c r="AC249" s="34" t="str">
        <f aca="false">IF(OR($P249="",$E249=""),"",$P249-$E249)</f>
        <v/>
      </c>
      <c r="AD249" s="35" t="str">
        <f aca="false">IF($A249="","",COUNTIF(CASE!$B$3:$B$202,$A249))</f>
        <v/>
      </c>
      <c r="AE249" s="34" t="str">
        <f aca="false">IF(OR($I249="",$E249=""),"",$I249-$E249)</f>
        <v/>
      </c>
      <c r="AF249" s="34" t="str">
        <f aca="false">IF(OR($K249="",$I249=""),"",$K249-$I249)</f>
        <v/>
      </c>
      <c r="AG249" s="34" t="str">
        <f aca="false">IF(OR($L249="",$K249=""),"",$L249-$K249)</f>
        <v/>
      </c>
      <c r="AH249" s="34" t="str">
        <f aca="false">IF(OR($M249="",$L249=""),"",$M249-$L249)</f>
        <v/>
      </c>
      <c r="AI249" s="34" t="str">
        <f aca="false">IF(OR($P249="",$M249=""),"",$P249-$M249)</f>
        <v/>
      </c>
    </row>
    <row r="250" customFormat="false" ht="15" hidden="false" customHeight="false" outlineLevel="0" collapsed="false">
      <c r="A250" s="29"/>
      <c r="B250" s="29"/>
      <c r="C250" s="29"/>
      <c r="D250" s="30"/>
      <c r="E250" s="31"/>
      <c r="F250" s="32" t="str">
        <f aca="false">IF($E250="","",$E250+7*IFERROR(VLOOKUP($B250,DS!$K$2:$M$4,2,FALSE()),12))</f>
        <v/>
      </c>
      <c r="G250" s="32" t="str">
        <f aca="false">IF($E250="","",$E250+7*IFERROR(VLOOKUP($B250,DS!$K$2:$M$4,3,FALSE()),12))</f>
        <v/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3" t="str">
        <f aca="false">IF($A250="","",IF($R250&lt;&gt;"","95 Hủy/hoàn",IF($Q250&lt;&gt;"","99 Đóng",IF($P250&lt;&gt;"","90 Đã giao",IF($O250&lt;&gt;"","80 Đang giao",IF($N250&lt;&gt;"","70 Thông quan",IF($M250&lt;&gt;"","60 Đã xuất",IF($L250&lt;&gt;"","50 QC đạt",IF($K250&lt;&gt;"","40 NCC đã gửi",IF($I250&lt;&gt;"","30 Đã đặt NCC",IF($H250&lt;&gt;"","20 Đã xác nhận","10 Mới")))))))))))</f>
        <v/>
      </c>
      <c r="U250" s="33" t="str">
        <f aca="false">IF($T250="","",IFERROR(VLOOKUP($T250,DS!$A$2:$B$12,2,FALSE()),""))</f>
        <v/>
      </c>
      <c r="V250" s="34" t="str">
        <f aca="true">IF(OR($T250="",LEFT($T250,2)="99",LEFT($T250,2)="95"),"",TODAY()-MAX($E250,$H250:$P250))</f>
        <v/>
      </c>
      <c r="W250" s="34" t="str">
        <f aca="true">IF(AND($E250&lt;&gt;"",$I250="",$R250=""),IF(TODAY()-$E250&gt;1,"⚑",""),"")</f>
        <v/>
      </c>
      <c r="X250" s="34" t="str">
        <f aca="true">IF(AND($J250&lt;&gt;"",$K250="",$R250=""),IF(TODAY()-$J250&gt;2,"⚑",""),"")</f>
        <v/>
      </c>
      <c r="Y250" s="34" t="str">
        <f aca="true">IF(AND($G250&lt;&gt;"",$M250="",$R250=""),IF(AND($G250-TODAY()&lt;=14,$G250&gt;=TODAY()),"⚑",""),"")</f>
        <v/>
      </c>
      <c r="Z250" s="34" t="str">
        <f aca="true">IF(AND($G250&lt;&gt;"",$P250="",$R250=""),IF(TODAY()&gt;$G250,"⚑",""),"")</f>
        <v/>
      </c>
      <c r="AA250" s="34" t="str">
        <f aca="true">IF(AND($E250&lt;&gt;"",$P250="",$R250=""),IF(TODAY()-MAX($E250,$H250,$M250,$S250)&gt;7,"⚑",""),"")</f>
        <v/>
      </c>
      <c r="AB250" s="34" t="str">
        <f aca="false">IF(OR($P250="",$G250=""),"",IF($P250&lt;=$G250,"Có","Không"))</f>
        <v/>
      </c>
      <c r="AC250" s="34" t="str">
        <f aca="false">IF(OR($P250="",$E250=""),"",$P250-$E250)</f>
        <v/>
      </c>
      <c r="AD250" s="35" t="str">
        <f aca="false">IF($A250="","",COUNTIF(CASE!$B$3:$B$202,$A250))</f>
        <v/>
      </c>
      <c r="AE250" s="34" t="str">
        <f aca="false">IF(OR($I250="",$E250=""),"",$I250-$E250)</f>
        <v/>
      </c>
      <c r="AF250" s="34" t="str">
        <f aca="false">IF(OR($K250="",$I250=""),"",$K250-$I250)</f>
        <v/>
      </c>
      <c r="AG250" s="34" t="str">
        <f aca="false">IF(OR($L250="",$K250=""),"",$L250-$K250)</f>
        <v/>
      </c>
      <c r="AH250" s="34" t="str">
        <f aca="false">IF(OR($M250="",$L250=""),"",$M250-$L250)</f>
        <v/>
      </c>
      <c r="AI250" s="34" t="str">
        <f aca="false">IF(OR($P250="",$M250=""),"",$P250-$M250)</f>
        <v/>
      </c>
    </row>
    <row r="251" customFormat="false" ht="15" hidden="false" customHeight="false" outlineLevel="0" collapsed="false">
      <c r="A251" s="29"/>
      <c r="B251" s="29"/>
      <c r="C251" s="29"/>
      <c r="D251" s="30"/>
      <c r="E251" s="31"/>
      <c r="F251" s="32" t="str">
        <f aca="false">IF($E251="","",$E251+7*IFERROR(VLOOKUP($B251,DS!$K$2:$M$4,2,FALSE()),12))</f>
        <v/>
      </c>
      <c r="G251" s="32" t="str">
        <f aca="false">IF($E251="","",$E251+7*IFERROR(VLOOKUP($B251,DS!$K$2:$M$4,3,FALSE()),12))</f>
        <v/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3" t="str">
        <f aca="false">IF($A251="","",IF($R251&lt;&gt;"","95 Hủy/hoàn",IF($Q251&lt;&gt;"","99 Đóng",IF($P251&lt;&gt;"","90 Đã giao",IF($O251&lt;&gt;"","80 Đang giao",IF($N251&lt;&gt;"","70 Thông quan",IF($M251&lt;&gt;"","60 Đã xuất",IF($L251&lt;&gt;"","50 QC đạt",IF($K251&lt;&gt;"","40 NCC đã gửi",IF($I251&lt;&gt;"","30 Đã đặt NCC",IF($H251&lt;&gt;"","20 Đã xác nhận","10 Mới")))))))))))</f>
        <v/>
      </c>
      <c r="U251" s="33" t="str">
        <f aca="false">IF($T251="","",IFERROR(VLOOKUP($T251,DS!$A$2:$B$12,2,FALSE()),""))</f>
        <v/>
      </c>
      <c r="V251" s="34" t="str">
        <f aca="true">IF(OR($T251="",LEFT($T251,2)="99",LEFT($T251,2)="95"),"",TODAY()-MAX($E251,$H251:$P251))</f>
        <v/>
      </c>
      <c r="W251" s="34" t="str">
        <f aca="true">IF(AND($E251&lt;&gt;"",$I251="",$R251=""),IF(TODAY()-$E251&gt;1,"⚑",""),"")</f>
        <v/>
      </c>
      <c r="X251" s="34" t="str">
        <f aca="true">IF(AND($J251&lt;&gt;"",$K251="",$R251=""),IF(TODAY()-$J251&gt;2,"⚑",""),"")</f>
        <v/>
      </c>
      <c r="Y251" s="34" t="str">
        <f aca="true">IF(AND($G251&lt;&gt;"",$M251="",$R251=""),IF(AND($G251-TODAY()&lt;=14,$G251&gt;=TODAY()),"⚑",""),"")</f>
        <v/>
      </c>
      <c r="Z251" s="34" t="str">
        <f aca="true">IF(AND($G251&lt;&gt;"",$P251="",$R251=""),IF(TODAY()&gt;$G251,"⚑",""),"")</f>
        <v/>
      </c>
      <c r="AA251" s="34" t="str">
        <f aca="true">IF(AND($E251&lt;&gt;"",$P251="",$R251=""),IF(TODAY()-MAX($E251,$H251,$M251,$S251)&gt;7,"⚑",""),"")</f>
        <v/>
      </c>
      <c r="AB251" s="34" t="str">
        <f aca="false">IF(OR($P251="",$G251=""),"",IF($P251&lt;=$G251,"Có","Không"))</f>
        <v/>
      </c>
      <c r="AC251" s="34" t="str">
        <f aca="false">IF(OR($P251="",$E251=""),"",$P251-$E251)</f>
        <v/>
      </c>
      <c r="AD251" s="35" t="str">
        <f aca="false">IF($A251="","",COUNTIF(CASE!$B$3:$B$202,$A251))</f>
        <v/>
      </c>
      <c r="AE251" s="34" t="str">
        <f aca="false">IF(OR($I251="",$E251=""),"",$I251-$E251)</f>
        <v/>
      </c>
      <c r="AF251" s="34" t="str">
        <f aca="false">IF(OR($K251="",$I251=""),"",$K251-$I251)</f>
        <v/>
      </c>
      <c r="AG251" s="34" t="str">
        <f aca="false">IF(OR($L251="",$K251=""),"",$L251-$K251)</f>
        <v/>
      </c>
      <c r="AH251" s="34" t="str">
        <f aca="false">IF(OR($M251="",$L251=""),"",$M251-$L251)</f>
        <v/>
      </c>
      <c r="AI251" s="34" t="str">
        <f aca="false">IF(OR($P251="",$M251=""),"",$P251-$M251)</f>
        <v/>
      </c>
    </row>
    <row r="252" customFormat="false" ht="15" hidden="false" customHeight="false" outlineLevel="0" collapsed="false">
      <c r="A252" s="29"/>
      <c r="B252" s="29"/>
      <c r="C252" s="29"/>
      <c r="D252" s="30"/>
      <c r="E252" s="31"/>
      <c r="F252" s="32" t="str">
        <f aca="false">IF($E252="","",$E252+7*IFERROR(VLOOKUP($B252,DS!$K$2:$M$4,2,FALSE()),12))</f>
        <v/>
      </c>
      <c r="G252" s="32" t="str">
        <f aca="false">IF($E252="","",$E252+7*IFERROR(VLOOKUP($B252,DS!$K$2:$M$4,3,FALSE()),12))</f>
        <v/>
      </c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3" t="str">
        <f aca="false">IF($A252="","",IF($R252&lt;&gt;"","95 Hủy/hoàn",IF($Q252&lt;&gt;"","99 Đóng",IF($P252&lt;&gt;"","90 Đã giao",IF($O252&lt;&gt;"","80 Đang giao",IF($N252&lt;&gt;"","70 Thông quan",IF($M252&lt;&gt;"","60 Đã xuất",IF($L252&lt;&gt;"","50 QC đạt",IF($K252&lt;&gt;"","40 NCC đã gửi",IF($I252&lt;&gt;"","30 Đã đặt NCC",IF($H252&lt;&gt;"","20 Đã xác nhận","10 Mới")))))))))))</f>
        <v/>
      </c>
      <c r="U252" s="33" t="str">
        <f aca="false">IF($T252="","",IFERROR(VLOOKUP($T252,DS!$A$2:$B$12,2,FALSE()),""))</f>
        <v/>
      </c>
      <c r="V252" s="34" t="str">
        <f aca="true">IF(OR($T252="",LEFT($T252,2)="99",LEFT($T252,2)="95"),"",TODAY()-MAX($E252,$H252:$P252))</f>
        <v/>
      </c>
      <c r="W252" s="34" t="str">
        <f aca="true">IF(AND($E252&lt;&gt;"",$I252="",$R252=""),IF(TODAY()-$E252&gt;1,"⚑",""),"")</f>
        <v/>
      </c>
      <c r="X252" s="34" t="str">
        <f aca="true">IF(AND($J252&lt;&gt;"",$K252="",$R252=""),IF(TODAY()-$J252&gt;2,"⚑",""),"")</f>
        <v/>
      </c>
      <c r="Y252" s="34" t="str">
        <f aca="true">IF(AND($G252&lt;&gt;"",$M252="",$R252=""),IF(AND($G252-TODAY()&lt;=14,$G252&gt;=TODAY()),"⚑",""),"")</f>
        <v/>
      </c>
      <c r="Z252" s="34" t="str">
        <f aca="true">IF(AND($G252&lt;&gt;"",$P252="",$R252=""),IF(TODAY()&gt;$G252,"⚑",""),"")</f>
        <v/>
      </c>
      <c r="AA252" s="34" t="str">
        <f aca="true">IF(AND($E252&lt;&gt;"",$P252="",$R252=""),IF(TODAY()-MAX($E252,$H252,$M252,$S252)&gt;7,"⚑",""),"")</f>
        <v/>
      </c>
      <c r="AB252" s="34" t="str">
        <f aca="false">IF(OR($P252="",$G252=""),"",IF($P252&lt;=$G252,"Có","Không"))</f>
        <v/>
      </c>
      <c r="AC252" s="34" t="str">
        <f aca="false">IF(OR($P252="",$E252=""),"",$P252-$E252)</f>
        <v/>
      </c>
      <c r="AD252" s="35" t="str">
        <f aca="false">IF($A252="","",COUNTIF(CASE!$B$3:$B$202,$A252))</f>
        <v/>
      </c>
      <c r="AE252" s="34" t="str">
        <f aca="false">IF(OR($I252="",$E252=""),"",$I252-$E252)</f>
        <v/>
      </c>
      <c r="AF252" s="34" t="str">
        <f aca="false">IF(OR($K252="",$I252=""),"",$K252-$I252)</f>
        <v/>
      </c>
      <c r="AG252" s="34" t="str">
        <f aca="false">IF(OR($L252="",$K252=""),"",$L252-$K252)</f>
        <v/>
      </c>
      <c r="AH252" s="34" t="str">
        <f aca="false">IF(OR($M252="",$L252=""),"",$M252-$L252)</f>
        <v/>
      </c>
      <c r="AI252" s="34" t="str">
        <f aca="false">IF(OR($P252="",$M252=""),"",$P252-$M252)</f>
        <v/>
      </c>
    </row>
    <row r="253" customFormat="false" ht="15" hidden="false" customHeight="false" outlineLevel="0" collapsed="false">
      <c r="A253" s="29"/>
      <c r="B253" s="29"/>
      <c r="C253" s="29"/>
      <c r="D253" s="30"/>
      <c r="E253" s="31"/>
      <c r="F253" s="32" t="str">
        <f aca="false">IF($E253="","",$E253+7*IFERROR(VLOOKUP($B253,DS!$K$2:$M$4,2,FALSE()),12))</f>
        <v/>
      </c>
      <c r="G253" s="32" t="str">
        <f aca="false">IF($E253="","",$E253+7*IFERROR(VLOOKUP($B253,DS!$K$2:$M$4,3,FALSE()),12))</f>
        <v/>
      </c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3" t="str">
        <f aca="false">IF($A253="","",IF($R253&lt;&gt;"","95 Hủy/hoàn",IF($Q253&lt;&gt;"","99 Đóng",IF($P253&lt;&gt;"","90 Đã giao",IF($O253&lt;&gt;"","80 Đang giao",IF($N253&lt;&gt;"","70 Thông quan",IF($M253&lt;&gt;"","60 Đã xuất",IF($L253&lt;&gt;"","50 QC đạt",IF($K253&lt;&gt;"","40 NCC đã gửi",IF($I253&lt;&gt;"","30 Đã đặt NCC",IF($H253&lt;&gt;"","20 Đã xác nhận","10 Mới")))))))))))</f>
        <v/>
      </c>
      <c r="U253" s="33" t="str">
        <f aca="false">IF($T253="","",IFERROR(VLOOKUP($T253,DS!$A$2:$B$12,2,FALSE()),""))</f>
        <v/>
      </c>
      <c r="V253" s="34" t="str">
        <f aca="true">IF(OR($T253="",LEFT($T253,2)="99",LEFT($T253,2)="95"),"",TODAY()-MAX($E253,$H253:$P253))</f>
        <v/>
      </c>
      <c r="W253" s="34" t="str">
        <f aca="true">IF(AND($E253&lt;&gt;"",$I253="",$R253=""),IF(TODAY()-$E253&gt;1,"⚑",""),"")</f>
        <v/>
      </c>
      <c r="X253" s="34" t="str">
        <f aca="true">IF(AND($J253&lt;&gt;"",$K253="",$R253=""),IF(TODAY()-$J253&gt;2,"⚑",""),"")</f>
        <v/>
      </c>
      <c r="Y253" s="34" t="str">
        <f aca="true">IF(AND($G253&lt;&gt;"",$M253="",$R253=""),IF(AND($G253-TODAY()&lt;=14,$G253&gt;=TODAY()),"⚑",""),"")</f>
        <v/>
      </c>
      <c r="Z253" s="34" t="str">
        <f aca="true">IF(AND($G253&lt;&gt;"",$P253="",$R253=""),IF(TODAY()&gt;$G253,"⚑",""),"")</f>
        <v/>
      </c>
      <c r="AA253" s="34" t="str">
        <f aca="true">IF(AND($E253&lt;&gt;"",$P253="",$R253=""),IF(TODAY()-MAX($E253,$H253,$M253,$S253)&gt;7,"⚑",""),"")</f>
        <v/>
      </c>
      <c r="AB253" s="34" t="str">
        <f aca="false">IF(OR($P253="",$G253=""),"",IF($P253&lt;=$G253,"Có","Không"))</f>
        <v/>
      </c>
      <c r="AC253" s="34" t="str">
        <f aca="false">IF(OR($P253="",$E253=""),"",$P253-$E253)</f>
        <v/>
      </c>
      <c r="AD253" s="35" t="str">
        <f aca="false">IF($A253="","",COUNTIF(CASE!$B$3:$B$202,$A253))</f>
        <v/>
      </c>
      <c r="AE253" s="34" t="str">
        <f aca="false">IF(OR($I253="",$E253=""),"",$I253-$E253)</f>
        <v/>
      </c>
      <c r="AF253" s="34" t="str">
        <f aca="false">IF(OR($K253="",$I253=""),"",$K253-$I253)</f>
        <v/>
      </c>
      <c r="AG253" s="34" t="str">
        <f aca="false">IF(OR($L253="",$K253=""),"",$L253-$K253)</f>
        <v/>
      </c>
      <c r="AH253" s="34" t="str">
        <f aca="false">IF(OR($M253="",$L253=""),"",$M253-$L253)</f>
        <v/>
      </c>
      <c r="AI253" s="34" t="str">
        <f aca="false">IF(OR($P253="",$M253=""),"",$P253-$M253)</f>
        <v/>
      </c>
    </row>
    <row r="254" customFormat="false" ht="15" hidden="false" customHeight="false" outlineLevel="0" collapsed="false">
      <c r="A254" s="29"/>
      <c r="B254" s="29"/>
      <c r="C254" s="29"/>
      <c r="D254" s="30"/>
      <c r="E254" s="31"/>
      <c r="F254" s="32" t="str">
        <f aca="false">IF($E254="","",$E254+7*IFERROR(VLOOKUP($B254,DS!$K$2:$M$4,2,FALSE()),12))</f>
        <v/>
      </c>
      <c r="G254" s="32" t="str">
        <f aca="false">IF($E254="","",$E254+7*IFERROR(VLOOKUP($B254,DS!$K$2:$M$4,3,FALSE()),12))</f>
        <v/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3" t="str">
        <f aca="false">IF($A254="","",IF($R254&lt;&gt;"","95 Hủy/hoàn",IF($Q254&lt;&gt;"","99 Đóng",IF($P254&lt;&gt;"","90 Đã giao",IF($O254&lt;&gt;"","80 Đang giao",IF($N254&lt;&gt;"","70 Thông quan",IF($M254&lt;&gt;"","60 Đã xuất",IF($L254&lt;&gt;"","50 QC đạt",IF($K254&lt;&gt;"","40 NCC đã gửi",IF($I254&lt;&gt;"","30 Đã đặt NCC",IF($H254&lt;&gt;"","20 Đã xác nhận","10 Mới")))))))))))</f>
        <v/>
      </c>
      <c r="U254" s="33" t="str">
        <f aca="false">IF($T254="","",IFERROR(VLOOKUP($T254,DS!$A$2:$B$12,2,FALSE()),""))</f>
        <v/>
      </c>
      <c r="V254" s="34" t="str">
        <f aca="true">IF(OR($T254="",LEFT($T254,2)="99",LEFT($T254,2)="95"),"",TODAY()-MAX($E254,$H254:$P254))</f>
        <v/>
      </c>
      <c r="W254" s="34" t="str">
        <f aca="true">IF(AND($E254&lt;&gt;"",$I254="",$R254=""),IF(TODAY()-$E254&gt;1,"⚑",""),"")</f>
        <v/>
      </c>
      <c r="X254" s="34" t="str">
        <f aca="true">IF(AND($J254&lt;&gt;"",$K254="",$R254=""),IF(TODAY()-$J254&gt;2,"⚑",""),"")</f>
        <v/>
      </c>
      <c r="Y254" s="34" t="str">
        <f aca="true">IF(AND($G254&lt;&gt;"",$M254="",$R254=""),IF(AND($G254-TODAY()&lt;=14,$G254&gt;=TODAY()),"⚑",""),"")</f>
        <v/>
      </c>
      <c r="Z254" s="34" t="str">
        <f aca="true">IF(AND($G254&lt;&gt;"",$P254="",$R254=""),IF(TODAY()&gt;$G254,"⚑",""),"")</f>
        <v/>
      </c>
      <c r="AA254" s="34" t="str">
        <f aca="true">IF(AND($E254&lt;&gt;"",$P254="",$R254=""),IF(TODAY()-MAX($E254,$H254,$M254,$S254)&gt;7,"⚑",""),"")</f>
        <v/>
      </c>
      <c r="AB254" s="34" t="str">
        <f aca="false">IF(OR($P254="",$G254=""),"",IF($P254&lt;=$G254,"Có","Không"))</f>
        <v/>
      </c>
      <c r="AC254" s="34" t="str">
        <f aca="false">IF(OR($P254="",$E254=""),"",$P254-$E254)</f>
        <v/>
      </c>
      <c r="AD254" s="35" t="str">
        <f aca="false">IF($A254="","",COUNTIF(CASE!$B$3:$B$202,$A254))</f>
        <v/>
      </c>
      <c r="AE254" s="34" t="str">
        <f aca="false">IF(OR($I254="",$E254=""),"",$I254-$E254)</f>
        <v/>
      </c>
      <c r="AF254" s="34" t="str">
        <f aca="false">IF(OR($K254="",$I254=""),"",$K254-$I254)</f>
        <v/>
      </c>
      <c r="AG254" s="34" t="str">
        <f aca="false">IF(OR($L254="",$K254=""),"",$L254-$K254)</f>
        <v/>
      </c>
      <c r="AH254" s="34" t="str">
        <f aca="false">IF(OR($M254="",$L254=""),"",$M254-$L254)</f>
        <v/>
      </c>
      <c r="AI254" s="34" t="str">
        <f aca="false">IF(OR($P254="",$M254=""),"",$P254-$M254)</f>
        <v/>
      </c>
    </row>
    <row r="255" customFormat="false" ht="15" hidden="false" customHeight="false" outlineLevel="0" collapsed="false">
      <c r="A255" s="29"/>
      <c r="B255" s="29"/>
      <c r="C255" s="29"/>
      <c r="D255" s="30"/>
      <c r="E255" s="31"/>
      <c r="F255" s="32" t="str">
        <f aca="false">IF($E255="","",$E255+7*IFERROR(VLOOKUP($B255,DS!$K$2:$M$4,2,FALSE()),12))</f>
        <v/>
      </c>
      <c r="G255" s="32" t="str">
        <f aca="false">IF($E255="","",$E255+7*IFERROR(VLOOKUP($B255,DS!$K$2:$M$4,3,FALSE()),12))</f>
        <v/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3" t="str">
        <f aca="false">IF($A255="","",IF($R255&lt;&gt;"","95 Hủy/hoàn",IF($Q255&lt;&gt;"","99 Đóng",IF($P255&lt;&gt;"","90 Đã giao",IF($O255&lt;&gt;"","80 Đang giao",IF($N255&lt;&gt;"","70 Thông quan",IF($M255&lt;&gt;"","60 Đã xuất",IF($L255&lt;&gt;"","50 QC đạt",IF($K255&lt;&gt;"","40 NCC đã gửi",IF($I255&lt;&gt;"","30 Đã đặt NCC",IF($H255&lt;&gt;"","20 Đã xác nhận","10 Mới")))))))))))</f>
        <v/>
      </c>
      <c r="U255" s="33" t="str">
        <f aca="false">IF($T255="","",IFERROR(VLOOKUP($T255,DS!$A$2:$B$12,2,FALSE()),""))</f>
        <v/>
      </c>
      <c r="V255" s="34" t="str">
        <f aca="true">IF(OR($T255="",LEFT($T255,2)="99",LEFT($T255,2)="95"),"",TODAY()-MAX($E255,$H255:$P255))</f>
        <v/>
      </c>
      <c r="W255" s="34" t="str">
        <f aca="true">IF(AND($E255&lt;&gt;"",$I255="",$R255=""),IF(TODAY()-$E255&gt;1,"⚑",""),"")</f>
        <v/>
      </c>
      <c r="X255" s="34" t="str">
        <f aca="true">IF(AND($J255&lt;&gt;"",$K255="",$R255=""),IF(TODAY()-$J255&gt;2,"⚑",""),"")</f>
        <v/>
      </c>
      <c r="Y255" s="34" t="str">
        <f aca="true">IF(AND($G255&lt;&gt;"",$M255="",$R255=""),IF(AND($G255-TODAY()&lt;=14,$G255&gt;=TODAY()),"⚑",""),"")</f>
        <v/>
      </c>
      <c r="Z255" s="34" t="str">
        <f aca="true">IF(AND($G255&lt;&gt;"",$P255="",$R255=""),IF(TODAY()&gt;$G255,"⚑",""),"")</f>
        <v/>
      </c>
      <c r="AA255" s="34" t="str">
        <f aca="true">IF(AND($E255&lt;&gt;"",$P255="",$R255=""),IF(TODAY()-MAX($E255,$H255,$M255,$S255)&gt;7,"⚑",""),"")</f>
        <v/>
      </c>
      <c r="AB255" s="34" t="str">
        <f aca="false">IF(OR($P255="",$G255=""),"",IF($P255&lt;=$G255,"Có","Không"))</f>
        <v/>
      </c>
      <c r="AC255" s="34" t="str">
        <f aca="false">IF(OR($P255="",$E255=""),"",$P255-$E255)</f>
        <v/>
      </c>
      <c r="AD255" s="35" t="str">
        <f aca="false">IF($A255="","",COUNTIF(CASE!$B$3:$B$202,$A255))</f>
        <v/>
      </c>
      <c r="AE255" s="34" t="str">
        <f aca="false">IF(OR($I255="",$E255=""),"",$I255-$E255)</f>
        <v/>
      </c>
      <c r="AF255" s="34" t="str">
        <f aca="false">IF(OR($K255="",$I255=""),"",$K255-$I255)</f>
        <v/>
      </c>
      <c r="AG255" s="34" t="str">
        <f aca="false">IF(OR($L255="",$K255=""),"",$L255-$K255)</f>
        <v/>
      </c>
      <c r="AH255" s="34" t="str">
        <f aca="false">IF(OR($M255="",$L255=""),"",$M255-$L255)</f>
        <v/>
      </c>
      <c r="AI255" s="34" t="str">
        <f aca="false">IF(OR($P255="",$M255=""),"",$P255-$M255)</f>
        <v/>
      </c>
    </row>
    <row r="256" customFormat="false" ht="15" hidden="false" customHeight="false" outlineLevel="0" collapsed="false">
      <c r="A256" s="29"/>
      <c r="B256" s="29"/>
      <c r="C256" s="29"/>
      <c r="D256" s="30"/>
      <c r="E256" s="31"/>
      <c r="F256" s="32" t="str">
        <f aca="false">IF($E256="","",$E256+7*IFERROR(VLOOKUP($B256,DS!$K$2:$M$4,2,FALSE()),12))</f>
        <v/>
      </c>
      <c r="G256" s="32" t="str">
        <f aca="false">IF($E256="","",$E256+7*IFERROR(VLOOKUP($B256,DS!$K$2:$M$4,3,FALSE()),12))</f>
        <v/>
      </c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3" t="str">
        <f aca="false">IF($A256="","",IF($R256&lt;&gt;"","95 Hủy/hoàn",IF($Q256&lt;&gt;"","99 Đóng",IF($P256&lt;&gt;"","90 Đã giao",IF($O256&lt;&gt;"","80 Đang giao",IF($N256&lt;&gt;"","70 Thông quan",IF($M256&lt;&gt;"","60 Đã xuất",IF($L256&lt;&gt;"","50 QC đạt",IF($K256&lt;&gt;"","40 NCC đã gửi",IF($I256&lt;&gt;"","30 Đã đặt NCC",IF($H256&lt;&gt;"","20 Đã xác nhận","10 Mới")))))))))))</f>
        <v/>
      </c>
      <c r="U256" s="33" t="str">
        <f aca="false">IF($T256="","",IFERROR(VLOOKUP($T256,DS!$A$2:$B$12,2,FALSE()),""))</f>
        <v/>
      </c>
      <c r="V256" s="34" t="str">
        <f aca="true">IF(OR($T256="",LEFT($T256,2)="99",LEFT($T256,2)="95"),"",TODAY()-MAX($E256,$H256:$P256))</f>
        <v/>
      </c>
      <c r="W256" s="34" t="str">
        <f aca="true">IF(AND($E256&lt;&gt;"",$I256="",$R256=""),IF(TODAY()-$E256&gt;1,"⚑",""),"")</f>
        <v/>
      </c>
      <c r="X256" s="34" t="str">
        <f aca="true">IF(AND($J256&lt;&gt;"",$K256="",$R256=""),IF(TODAY()-$J256&gt;2,"⚑",""),"")</f>
        <v/>
      </c>
      <c r="Y256" s="34" t="str">
        <f aca="true">IF(AND($G256&lt;&gt;"",$M256="",$R256=""),IF(AND($G256-TODAY()&lt;=14,$G256&gt;=TODAY()),"⚑",""),"")</f>
        <v/>
      </c>
      <c r="Z256" s="34" t="str">
        <f aca="true">IF(AND($G256&lt;&gt;"",$P256="",$R256=""),IF(TODAY()&gt;$G256,"⚑",""),"")</f>
        <v/>
      </c>
      <c r="AA256" s="34" t="str">
        <f aca="true">IF(AND($E256&lt;&gt;"",$P256="",$R256=""),IF(TODAY()-MAX($E256,$H256,$M256,$S256)&gt;7,"⚑",""),"")</f>
        <v/>
      </c>
      <c r="AB256" s="34" t="str">
        <f aca="false">IF(OR($P256="",$G256=""),"",IF($P256&lt;=$G256,"Có","Không"))</f>
        <v/>
      </c>
      <c r="AC256" s="34" t="str">
        <f aca="false">IF(OR($P256="",$E256=""),"",$P256-$E256)</f>
        <v/>
      </c>
      <c r="AD256" s="35" t="str">
        <f aca="false">IF($A256="","",COUNTIF(CASE!$B$3:$B$202,$A256))</f>
        <v/>
      </c>
      <c r="AE256" s="34" t="str">
        <f aca="false">IF(OR($I256="",$E256=""),"",$I256-$E256)</f>
        <v/>
      </c>
      <c r="AF256" s="34" t="str">
        <f aca="false">IF(OR($K256="",$I256=""),"",$K256-$I256)</f>
        <v/>
      </c>
      <c r="AG256" s="34" t="str">
        <f aca="false">IF(OR($L256="",$K256=""),"",$L256-$K256)</f>
        <v/>
      </c>
      <c r="AH256" s="34" t="str">
        <f aca="false">IF(OR($M256="",$L256=""),"",$M256-$L256)</f>
        <v/>
      </c>
      <c r="AI256" s="34" t="str">
        <f aca="false">IF(OR($P256="",$M256=""),"",$P256-$M256)</f>
        <v/>
      </c>
    </row>
    <row r="257" customFormat="false" ht="15" hidden="false" customHeight="false" outlineLevel="0" collapsed="false">
      <c r="A257" s="29"/>
      <c r="B257" s="29"/>
      <c r="C257" s="29"/>
      <c r="D257" s="30"/>
      <c r="E257" s="31"/>
      <c r="F257" s="32" t="str">
        <f aca="false">IF($E257="","",$E257+7*IFERROR(VLOOKUP($B257,DS!$K$2:$M$4,2,FALSE()),12))</f>
        <v/>
      </c>
      <c r="G257" s="32" t="str">
        <f aca="false">IF($E257="","",$E257+7*IFERROR(VLOOKUP($B257,DS!$K$2:$M$4,3,FALSE()),12))</f>
        <v/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3" t="str">
        <f aca="false">IF($A257="","",IF($R257&lt;&gt;"","95 Hủy/hoàn",IF($Q257&lt;&gt;"","99 Đóng",IF($P257&lt;&gt;"","90 Đã giao",IF($O257&lt;&gt;"","80 Đang giao",IF($N257&lt;&gt;"","70 Thông quan",IF($M257&lt;&gt;"","60 Đã xuất",IF($L257&lt;&gt;"","50 QC đạt",IF($K257&lt;&gt;"","40 NCC đã gửi",IF($I257&lt;&gt;"","30 Đã đặt NCC",IF($H257&lt;&gt;"","20 Đã xác nhận","10 Mới")))))))))))</f>
        <v/>
      </c>
      <c r="U257" s="33" t="str">
        <f aca="false">IF($T257="","",IFERROR(VLOOKUP($T257,DS!$A$2:$B$12,2,FALSE()),""))</f>
        <v/>
      </c>
      <c r="V257" s="34" t="str">
        <f aca="true">IF(OR($T257="",LEFT($T257,2)="99",LEFT($T257,2)="95"),"",TODAY()-MAX($E257,$H257:$P257))</f>
        <v/>
      </c>
      <c r="W257" s="34" t="str">
        <f aca="true">IF(AND($E257&lt;&gt;"",$I257="",$R257=""),IF(TODAY()-$E257&gt;1,"⚑",""),"")</f>
        <v/>
      </c>
      <c r="X257" s="34" t="str">
        <f aca="true">IF(AND($J257&lt;&gt;"",$K257="",$R257=""),IF(TODAY()-$J257&gt;2,"⚑",""),"")</f>
        <v/>
      </c>
      <c r="Y257" s="34" t="str">
        <f aca="true">IF(AND($G257&lt;&gt;"",$M257="",$R257=""),IF(AND($G257-TODAY()&lt;=14,$G257&gt;=TODAY()),"⚑",""),"")</f>
        <v/>
      </c>
      <c r="Z257" s="34" t="str">
        <f aca="true">IF(AND($G257&lt;&gt;"",$P257="",$R257=""),IF(TODAY()&gt;$G257,"⚑",""),"")</f>
        <v/>
      </c>
      <c r="AA257" s="34" t="str">
        <f aca="true">IF(AND($E257&lt;&gt;"",$P257="",$R257=""),IF(TODAY()-MAX($E257,$H257,$M257,$S257)&gt;7,"⚑",""),"")</f>
        <v/>
      </c>
      <c r="AB257" s="34" t="str">
        <f aca="false">IF(OR($P257="",$G257=""),"",IF($P257&lt;=$G257,"Có","Không"))</f>
        <v/>
      </c>
      <c r="AC257" s="34" t="str">
        <f aca="false">IF(OR($P257="",$E257=""),"",$P257-$E257)</f>
        <v/>
      </c>
      <c r="AD257" s="35" t="str">
        <f aca="false">IF($A257="","",COUNTIF(CASE!$B$3:$B$202,$A257))</f>
        <v/>
      </c>
      <c r="AE257" s="34" t="str">
        <f aca="false">IF(OR($I257="",$E257=""),"",$I257-$E257)</f>
        <v/>
      </c>
      <c r="AF257" s="34" t="str">
        <f aca="false">IF(OR($K257="",$I257=""),"",$K257-$I257)</f>
        <v/>
      </c>
      <c r="AG257" s="34" t="str">
        <f aca="false">IF(OR($L257="",$K257=""),"",$L257-$K257)</f>
        <v/>
      </c>
      <c r="AH257" s="34" t="str">
        <f aca="false">IF(OR($M257="",$L257=""),"",$M257-$L257)</f>
        <v/>
      </c>
      <c r="AI257" s="34" t="str">
        <f aca="false">IF(OR($P257="",$M257=""),"",$P257-$M257)</f>
        <v/>
      </c>
    </row>
    <row r="258" customFormat="false" ht="15" hidden="false" customHeight="false" outlineLevel="0" collapsed="false">
      <c r="A258" s="29"/>
      <c r="B258" s="29"/>
      <c r="C258" s="29"/>
      <c r="D258" s="30"/>
      <c r="E258" s="31"/>
      <c r="F258" s="32" t="str">
        <f aca="false">IF($E258="","",$E258+7*IFERROR(VLOOKUP($B258,DS!$K$2:$M$4,2,FALSE()),12))</f>
        <v/>
      </c>
      <c r="G258" s="32" t="str">
        <f aca="false">IF($E258="","",$E258+7*IFERROR(VLOOKUP($B258,DS!$K$2:$M$4,3,FALSE()),12))</f>
        <v/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3" t="str">
        <f aca="false">IF($A258="","",IF($R258&lt;&gt;"","95 Hủy/hoàn",IF($Q258&lt;&gt;"","99 Đóng",IF($P258&lt;&gt;"","90 Đã giao",IF($O258&lt;&gt;"","80 Đang giao",IF($N258&lt;&gt;"","70 Thông quan",IF($M258&lt;&gt;"","60 Đã xuất",IF($L258&lt;&gt;"","50 QC đạt",IF($K258&lt;&gt;"","40 NCC đã gửi",IF($I258&lt;&gt;"","30 Đã đặt NCC",IF($H258&lt;&gt;"","20 Đã xác nhận","10 Mới")))))))))))</f>
        <v/>
      </c>
      <c r="U258" s="33" t="str">
        <f aca="false">IF($T258="","",IFERROR(VLOOKUP($T258,DS!$A$2:$B$12,2,FALSE()),""))</f>
        <v/>
      </c>
      <c r="V258" s="34" t="str">
        <f aca="true">IF(OR($T258="",LEFT($T258,2)="99",LEFT($T258,2)="95"),"",TODAY()-MAX($E258,$H258:$P258))</f>
        <v/>
      </c>
      <c r="W258" s="34" t="str">
        <f aca="true">IF(AND($E258&lt;&gt;"",$I258="",$R258=""),IF(TODAY()-$E258&gt;1,"⚑",""),"")</f>
        <v/>
      </c>
      <c r="X258" s="34" t="str">
        <f aca="true">IF(AND($J258&lt;&gt;"",$K258="",$R258=""),IF(TODAY()-$J258&gt;2,"⚑",""),"")</f>
        <v/>
      </c>
      <c r="Y258" s="34" t="str">
        <f aca="true">IF(AND($G258&lt;&gt;"",$M258="",$R258=""),IF(AND($G258-TODAY()&lt;=14,$G258&gt;=TODAY()),"⚑",""),"")</f>
        <v/>
      </c>
      <c r="Z258" s="34" t="str">
        <f aca="true">IF(AND($G258&lt;&gt;"",$P258="",$R258=""),IF(TODAY()&gt;$G258,"⚑",""),"")</f>
        <v/>
      </c>
      <c r="AA258" s="34" t="str">
        <f aca="true">IF(AND($E258&lt;&gt;"",$P258="",$R258=""),IF(TODAY()-MAX($E258,$H258,$M258,$S258)&gt;7,"⚑",""),"")</f>
        <v/>
      </c>
      <c r="AB258" s="34" t="str">
        <f aca="false">IF(OR($P258="",$G258=""),"",IF($P258&lt;=$G258,"Có","Không"))</f>
        <v/>
      </c>
      <c r="AC258" s="34" t="str">
        <f aca="false">IF(OR($P258="",$E258=""),"",$P258-$E258)</f>
        <v/>
      </c>
      <c r="AD258" s="35" t="str">
        <f aca="false">IF($A258="","",COUNTIF(CASE!$B$3:$B$202,$A258))</f>
        <v/>
      </c>
      <c r="AE258" s="34" t="str">
        <f aca="false">IF(OR($I258="",$E258=""),"",$I258-$E258)</f>
        <v/>
      </c>
      <c r="AF258" s="34" t="str">
        <f aca="false">IF(OR($K258="",$I258=""),"",$K258-$I258)</f>
        <v/>
      </c>
      <c r="AG258" s="34" t="str">
        <f aca="false">IF(OR($L258="",$K258=""),"",$L258-$K258)</f>
        <v/>
      </c>
      <c r="AH258" s="34" t="str">
        <f aca="false">IF(OR($M258="",$L258=""),"",$M258-$L258)</f>
        <v/>
      </c>
      <c r="AI258" s="34" t="str">
        <f aca="false">IF(OR($P258="",$M258=""),"",$P258-$M258)</f>
        <v/>
      </c>
    </row>
    <row r="259" customFormat="false" ht="15" hidden="false" customHeight="false" outlineLevel="0" collapsed="false">
      <c r="A259" s="29"/>
      <c r="B259" s="29"/>
      <c r="C259" s="29"/>
      <c r="D259" s="30"/>
      <c r="E259" s="31"/>
      <c r="F259" s="32" t="str">
        <f aca="false">IF($E259="","",$E259+7*IFERROR(VLOOKUP($B259,DS!$K$2:$M$4,2,FALSE()),12))</f>
        <v/>
      </c>
      <c r="G259" s="32" t="str">
        <f aca="false">IF($E259="","",$E259+7*IFERROR(VLOOKUP($B259,DS!$K$2:$M$4,3,FALSE()),12))</f>
        <v/>
      </c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3" t="str">
        <f aca="false">IF($A259="","",IF($R259&lt;&gt;"","95 Hủy/hoàn",IF($Q259&lt;&gt;"","99 Đóng",IF($P259&lt;&gt;"","90 Đã giao",IF($O259&lt;&gt;"","80 Đang giao",IF($N259&lt;&gt;"","70 Thông quan",IF($M259&lt;&gt;"","60 Đã xuất",IF($L259&lt;&gt;"","50 QC đạt",IF($K259&lt;&gt;"","40 NCC đã gửi",IF($I259&lt;&gt;"","30 Đã đặt NCC",IF($H259&lt;&gt;"","20 Đã xác nhận","10 Mới")))))))))))</f>
        <v/>
      </c>
      <c r="U259" s="33" t="str">
        <f aca="false">IF($T259="","",IFERROR(VLOOKUP($T259,DS!$A$2:$B$12,2,FALSE()),""))</f>
        <v/>
      </c>
      <c r="V259" s="34" t="str">
        <f aca="true">IF(OR($T259="",LEFT($T259,2)="99",LEFT($T259,2)="95"),"",TODAY()-MAX($E259,$H259:$P259))</f>
        <v/>
      </c>
      <c r="W259" s="34" t="str">
        <f aca="true">IF(AND($E259&lt;&gt;"",$I259="",$R259=""),IF(TODAY()-$E259&gt;1,"⚑",""),"")</f>
        <v/>
      </c>
      <c r="X259" s="34" t="str">
        <f aca="true">IF(AND($J259&lt;&gt;"",$K259="",$R259=""),IF(TODAY()-$J259&gt;2,"⚑",""),"")</f>
        <v/>
      </c>
      <c r="Y259" s="34" t="str">
        <f aca="true">IF(AND($G259&lt;&gt;"",$M259="",$R259=""),IF(AND($G259-TODAY()&lt;=14,$G259&gt;=TODAY()),"⚑",""),"")</f>
        <v/>
      </c>
      <c r="Z259" s="34" t="str">
        <f aca="true">IF(AND($G259&lt;&gt;"",$P259="",$R259=""),IF(TODAY()&gt;$G259,"⚑",""),"")</f>
        <v/>
      </c>
      <c r="AA259" s="34" t="str">
        <f aca="true">IF(AND($E259&lt;&gt;"",$P259="",$R259=""),IF(TODAY()-MAX($E259,$H259,$M259,$S259)&gt;7,"⚑",""),"")</f>
        <v/>
      </c>
      <c r="AB259" s="34" t="str">
        <f aca="false">IF(OR($P259="",$G259=""),"",IF($P259&lt;=$G259,"Có","Không"))</f>
        <v/>
      </c>
      <c r="AC259" s="34" t="str">
        <f aca="false">IF(OR($P259="",$E259=""),"",$P259-$E259)</f>
        <v/>
      </c>
      <c r="AD259" s="35" t="str">
        <f aca="false">IF($A259="","",COUNTIF(CASE!$B$3:$B$202,$A259))</f>
        <v/>
      </c>
      <c r="AE259" s="34" t="str">
        <f aca="false">IF(OR($I259="",$E259=""),"",$I259-$E259)</f>
        <v/>
      </c>
      <c r="AF259" s="34" t="str">
        <f aca="false">IF(OR($K259="",$I259=""),"",$K259-$I259)</f>
        <v/>
      </c>
      <c r="AG259" s="34" t="str">
        <f aca="false">IF(OR($L259="",$K259=""),"",$L259-$K259)</f>
        <v/>
      </c>
      <c r="AH259" s="34" t="str">
        <f aca="false">IF(OR($M259="",$L259=""),"",$M259-$L259)</f>
        <v/>
      </c>
      <c r="AI259" s="34" t="str">
        <f aca="false">IF(OR($P259="",$M259=""),"",$P259-$M259)</f>
        <v/>
      </c>
    </row>
    <row r="260" customFormat="false" ht="15" hidden="false" customHeight="false" outlineLevel="0" collapsed="false">
      <c r="A260" s="29"/>
      <c r="B260" s="29"/>
      <c r="C260" s="29"/>
      <c r="D260" s="30"/>
      <c r="E260" s="31"/>
      <c r="F260" s="32" t="str">
        <f aca="false">IF($E260="","",$E260+7*IFERROR(VLOOKUP($B260,DS!$K$2:$M$4,2,FALSE()),12))</f>
        <v/>
      </c>
      <c r="G260" s="32" t="str">
        <f aca="false">IF($E260="","",$E260+7*IFERROR(VLOOKUP($B260,DS!$K$2:$M$4,3,FALSE()),12))</f>
        <v/>
      </c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3" t="str">
        <f aca="false">IF($A260="","",IF($R260&lt;&gt;"","95 Hủy/hoàn",IF($Q260&lt;&gt;"","99 Đóng",IF($P260&lt;&gt;"","90 Đã giao",IF($O260&lt;&gt;"","80 Đang giao",IF($N260&lt;&gt;"","70 Thông quan",IF($M260&lt;&gt;"","60 Đã xuất",IF($L260&lt;&gt;"","50 QC đạt",IF($K260&lt;&gt;"","40 NCC đã gửi",IF($I260&lt;&gt;"","30 Đã đặt NCC",IF($H260&lt;&gt;"","20 Đã xác nhận","10 Mới")))))))))))</f>
        <v/>
      </c>
      <c r="U260" s="33" t="str">
        <f aca="false">IF($T260="","",IFERROR(VLOOKUP($T260,DS!$A$2:$B$12,2,FALSE()),""))</f>
        <v/>
      </c>
      <c r="V260" s="34" t="str">
        <f aca="true">IF(OR($T260="",LEFT($T260,2)="99",LEFT($T260,2)="95"),"",TODAY()-MAX($E260,$H260:$P260))</f>
        <v/>
      </c>
      <c r="W260" s="34" t="str">
        <f aca="true">IF(AND($E260&lt;&gt;"",$I260="",$R260=""),IF(TODAY()-$E260&gt;1,"⚑",""),"")</f>
        <v/>
      </c>
      <c r="X260" s="34" t="str">
        <f aca="true">IF(AND($J260&lt;&gt;"",$K260="",$R260=""),IF(TODAY()-$J260&gt;2,"⚑",""),"")</f>
        <v/>
      </c>
      <c r="Y260" s="34" t="str">
        <f aca="true">IF(AND($G260&lt;&gt;"",$M260="",$R260=""),IF(AND($G260-TODAY()&lt;=14,$G260&gt;=TODAY()),"⚑",""),"")</f>
        <v/>
      </c>
      <c r="Z260" s="34" t="str">
        <f aca="true">IF(AND($G260&lt;&gt;"",$P260="",$R260=""),IF(TODAY()&gt;$G260,"⚑",""),"")</f>
        <v/>
      </c>
      <c r="AA260" s="34" t="str">
        <f aca="true">IF(AND($E260&lt;&gt;"",$P260="",$R260=""),IF(TODAY()-MAX($E260,$H260,$M260,$S260)&gt;7,"⚑",""),"")</f>
        <v/>
      </c>
      <c r="AB260" s="34" t="str">
        <f aca="false">IF(OR($P260="",$G260=""),"",IF($P260&lt;=$G260,"Có","Không"))</f>
        <v/>
      </c>
      <c r="AC260" s="34" t="str">
        <f aca="false">IF(OR($P260="",$E260=""),"",$P260-$E260)</f>
        <v/>
      </c>
      <c r="AD260" s="35" t="str">
        <f aca="false">IF($A260="","",COUNTIF(CASE!$B$3:$B$202,$A260))</f>
        <v/>
      </c>
      <c r="AE260" s="34" t="str">
        <f aca="false">IF(OR($I260="",$E260=""),"",$I260-$E260)</f>
        <v/>
      </c>
      <c r="AF260" s="34" t="str">
        <f aca="false">IF(OR($K260="",$I260=""),"",$K260-$I260)</f>
        <v/>
      </c>
      <c r="AG260" s="34" t="str">
        <f aca="false">IF(OR($L260="",$K260=""),"",$L260-$K260)</f>
        <v/>
      </c>
      <c r="AH260" s="34" t="str">
        <f aca="false">IF(OR($M260="",$L260=""),"",$M260-$L260)</f>
        <v/>
      </c>
      <c r="AI260" s="34" t="str">
        <f aca="false">IF(OR($P260="",$M260=""),"",$P260-$M260)</f>
        <v/>
      </c>
    </row>
    <row r="261" customFormat="false" ht="15" hidden="false" customHeight="false" outlineLevel="0" collapsed="false">
      <c r="A261" s="29"/>
      <c r="B261" s="29"/>
      <c r="C261" s="29"/>
      <c r="D261" s="30"/>
      <c r="E261" s="31"/>
      <c r="F261" s="32" t="str">
        <f aca="false">IF($E261="","",$E261+7*IFERROR(VLOOKUP($B261,DS!$K$2:$M$4,2,FALSE()),12))</f>
        <v/>
      </c>
      <c r="G261" s="32" t="str">
        <f aca="false">IF($E261="","",$E261+7*IFERROR(VLOOKUP($B261,DS!$K$2:$M$4,3,FALSE()),12))</f>
        <v/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3" t="str">
        <f aca="false">IF($A261="","",IF($R261&lt;&gt;"","95 Hủy/hoàn",IF($Q261&lt;&gt;"","99 Đóng",IF($P261&lt;&gt;"","90 Đã giao",IF($O261&lt;&gt;"","80 Đang giao",IF($N261&lt;&gt;"","70 Thông quan",IF($M261&lt;&gt;"","60 Đã xuất",IF($L261&lt;&gt;"","50 QC đạt",IF($K261&lt;&gt;"","40 NCC đã gửi",IF($I261&lt;&gt;"","30 Đã đặt NCC",IF($H261&lt;&gt;"","20 Đã xác nhận","10 Mới")))))))))))</f>
        <v/>
      </c>
      <c r="U261" s="33" t="str">
        <f aca="false">IF($T261="","",IFERROR(VLOOKUP($T261,DS!$A$2:$B$12,2,FALSE()),""))</f>
        <v/>
      </c>
      <c r="V261" s="34" t="str">
        <f aca="true">IF(OR($T261="",LEFT($T261,2)="99",LEFT($T261,2)="95"),"",TODAY()-MAX($E261,$H261:$P261))</f>
        <v/>
      </c>
      <c r="W261" s="34" t="str">
        <f aca="true">IF(AND($E261&lt;&gt;"",$I261="",$R261=""),IF(TODAY()-$E261&gt;1,"⚑",""),"")</f>
        <v/>
      </c>
      <c r="X261" s="34" t="str">
        <f aca="true">IF(AND($J261&lt;&gt;"",$K261="",$R261=""),IF(TODAY()-$J261&gt;2,"⚑",""),"")</f>
        <v/>
      </c>
      <c r="Y261" s="34" t="str">
        <f aca="true">IF(AND($G261&lt;&gt;"",$M261="",$R261=""),IF(AND($G261-TODAY()&lt;=14,$G261&gt;=TODAY()),"⚑",""),"")</f>
        <v/>
      </c>
      <c r="Z261" s="34" t="str">
        <f aca="true">IF(AND($G261&lt;&gt;"",$P261="",$R261=""),IF(TODAY()&gt;$G261,"⚑",""),"")</f>
        <v/>
      </c>
      <c r="AA261" s="34" t="str">
        <f aca="true">IF(AND($E261&lt;&gt;"",$P261="",$R261=""),IF(TODAY()-MAX($E261,$H261,$M261,$S261)&gt;7,"⚑",""),"")</f>
        <v/>
      </c>
      <c r="AB261" s="34" t="str">
        <f aca="false">IF(OR($P261="",$G261=""),"",IF($P261&lt;=$G261,"Có","Không"))</f>
        <v/>
      </c>
      <c r="AC261" s="34" t="str">
        <f aca="false">IF(OR($P261="",$E261=""),"",$P261-$E261)</f>
        <v/>
      </c>
      <c r="AD261" s="35" t="str">
        <f aca="false">IF($A261="","",COUNTIF(CASE!$B$3:$B$202,$A261))</f>
        <v/>
      </c>
      <c r="AE261" s="34" t="str">
        <f aca="false">IF(OR($I261="",$E261=""),"",$I261-$E261)</f>
        <v/>
      </c>
      <c r="AF261" s="34" t="str">
        <f aca="false">IF(OR($K261="",$I261=""),"",$K261-$I261)</f>
        <v/>
      </c>
      <c r="AG261" s="34" t="str">
        <f aca="false">IF(OR($L261="",$K261=""),"",$L261-$K261)</f>
        <v/>
      </c>
      <c r="AH261" s="34" t="str">
        <f aca="false">IF(OR($M261="",$L261=""),"",$M261-$L261)</f>
        <v/>
      </c>
      <c r="AI261" s="34" t="str">
        <f aca="false">IF(OR($P261="",$M261=""),"",$P261-$M261)</f>
        <v/>
      </c>
    </row>
    <row r="262" customFormat="false" ht="15" hidden="false" customHeight="false" outlineLevel="0" collapsed="false">
      <c r="A262" s="29"/>
      <c r="B262" s="29"/>
      <c r="C262" s="29"/>
      <c r="D262" s="30"/>
      <c r="E262" s="31"/>
      <c r="F262" s="32" t="str">
        <f aca="false">IF($E262="","",$E262+7*IFERROR(VLOOKUP($B262,DS!$K$2:$M$4,2,FALSE()),12))</f>
        <v/>
      </c>
      <c r="G262" s="32" t="str">
        <f aca="false">IF($E262="","",$E262+7*IFERROR(VLOOKUP($B262,DS!$K$2:$M$4,3,FALSE()),12))</f>
        <v/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3" t="str">
        <f aca="false">IF($A262="","",IF($R262&lt;&gt;"","95 Hủy/hoàn",IF($Q262&lt;&gt;"","99 Đóng",IF($P262&lt;&gt;"","90 Đã giao",IF($O262&lt;&gt;"","80 Đang giao",IF($N262&lt;&gt;"","70 Thông quan",IF($M262&lt;&gt;"","60 Đã xuất",IF($L262&lt;&gt;"","50 QC đạt",IF($K262&lt;&gt;"","40 NCC đã gửi",IF($I262&lt;&gt;"","30 Đã đặt NCC",IF($H262&lt;&gt;"","20 Đã xác nhận","10 Mới")))))))))))</f>
        <v/>
      </c>
      <c r="U262" s="33" t="str">
        <f aca="false">IF($T262="","",IFERROR(VLOOKUP($T262,DS!$A$2:$B$12,2,FALSE()),""))</f>
        <v/>
      </c>
      <c r="V262" s="34" t="str">
        <f aca="true">IF(OR($T262="",LEFT($T262,2)="99",LEFT($T262,2)="95"),"",TODAY()-MAX($E262,$H262:$P262))</f>
        <v/>
      </c>
      <c r="W262" s="34" t="str">
        <f aca="true">IF(AND($E262&lt;&gt;"",$I262="",$R262=""),IF(TODAY()-$E262&gt;1,"⚑",""),"")</f>
        <v/>
      </c>
      <c r="X262" s="34" t="str">
        <f aca="true">IF(AND($J262&lt;&gt;"",$K262="",$R262=""),IF(TODAY()-$J262&gt;2,"⚑",""),"")</f>
        <v/>
      </c>
      <c r="Y262" s="34" t="str">
        <f aca="true">IF(AND($G262&lt;&gt;"",$M262="",$R262=""),IF(AND($G262-TODAY()&lt;=14,$G262&gt;=TODAY()),"⚑",""),"")</f>
        <v/>
      </c>
      <c r="Z262" s="34" t="str">
        <f aca="true">IF(AND($G262&lt;&gt;"",$P262="",$R262=""),IF(TODAY()&gt;$G262,"⚑",""),"")</f>
        <v/>
      </c>
      <c r="AA262" s="34" t="str">
        <f aca="true">IF(AND($E262&lt;&gt;"",$P262="",$R262=""),IF(TODAY()-MAX($E262,$H262,$M262,$S262)&gt;7,"⚑",""),"")</f>
        <v/>
      </c>
      <c r="AB262" s="34" t="str">
        <f aca="false">IF(OR($P262="",$G262=""),"",IF($P262&lt;=$G262,"Có","Không"))</f>
        <v/>
      </c>
      <c r="AC262" s="34" t="str">
        <f aca="false">IF(OR($P262="",$E262=""),"",$P262-$E262)</f>
        <v/>
      </c>
      <c r="AD262" s="35" t="str">
        <f aca="false">IF($A262="","",COUNTIF(CASE!$B$3:$B$202,$A262))</f>
        <v/>
      </c>
      <c r="AE262" s="34" t="str">
        <f aca="false">IF(OR($I262="",$E262=""),"",$I262-$E262)</f>
        <v/>
      </c>
      <c r="AF262" s="34" t="str">
        <f aca="false">IF(OR($K262="",$I262=""),"",$K262-$I262)</f>
        <v/>
      </c>
      <c r="AG262" s="34" t="str">
        <f aca="false">IF(OR($L262="",$K262=""),"",$L262-$K262)</f>
        <v/>
      </c>
      <c r="AH262" s="34" t="str">
        <f aca="false">IF(OR($M262="",$L262=""),"",$M262-$L262)</f>
        <v/>
      </c>
      <c r="AI262" s="34" t="str">
        <f aca="false">IF(OR($P262="",$M262=""),"",$P262-$M262)</f>
        <v/>
      </c>
    </row>
    <row r="263" customFormat="false" ht="15" hidden="false" customHeight="false" outlineLevel="0" collapsed="false">
      <c r="A263" s="29"/>
      <c r="B263" s="29"/>
      <c r="C263" s="29"/>
      <c r="D263" s="30"/>
      <c r="E263" s="31"/>
      <c r="F263" s="32" t="str">
        <f aca="false">IF($E263="","",$E263+7*IFERROR(VLOOKUP($B263,DS!$K$2:$M$4,2,FALSE()),12))</f>
        <v/>
      </c>
      <c r="G263" s="32" t="str">
        <f aca="false">IF($E263="","",$E263+7*IFERROR(VLOOKUP($B263,DS!$K$2:$M$4,3,FALSE()),12))</f>
        <v/>
      </c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3" t="str">
        <f aca="false">IF($A263="","",IF($R263&lt;&gt;"","95 Hủy/hoàn",IF($Q263&lt;&gt;"","99 Đóng",IF($P263&lt;&gt;"","90 Đã giao",IF($O263&lt;&gt;"","80 Đang giao",IF($N263&lt;&gt;"","70 Thông quan",IF($M263&lt;&gt;"","60 Đã xuất",IF($L263&lt;&gt;"","50 QC đạt",IF($K263&lt;&gt;"","40 NCC đã gửi",IF($I263&lt;&gt;"","30 Đã đặt NCC",IF($H263&lt;&gt;"","20 Đã xác nhận","10 Mới")))))))))))</f>
        <v/>
      </c>
      <c r="U263" s="33" t="str">
        <f aca="false">IF($T263="","",IFERROR(VLOOKUP($T263,DS!$A$2:$B$12,2,FALSE()),""))</f>
        <v/>
      </c>
      <c r="V263" s="34" t="str">
        <f aca="true">IF(OR($T263="",LEFT($T263,2)="99",LEFT($T263,2)="95"),"",TODAY()-MAX($E263,$H263:$P263))</f>
        <v/>
      </c>
      <c r="W263" s="34" t="str">
        <f aca="true">IF(AND($E263&lt;&gt;"",$I263="",$R263=""),IF(TODAY()-$E263&gt;1,"⚑",""),"")</f>
        <v/>
      </c>
      <c r="X263" s="34" t="str">
        <f aca="true">IF(AND($J263&lt;&gt;"",$K263="",$R263=""),IF(TODAY()-$J263&gt;2,"⚑",""),"")</f>
        <v/>
      </c>
      <c r="Y263" s="34" t="str">
        <f aca="true">IF(AND($G263&lt;&gt;"",$M263="",$R263=""),IF(AND($G263-TODAY()&lt;=14,$G263&gt;=TODAY()),"⚑",""),"")</f>
        <v/>
      </c>
      <c r="Z263" s="34" t="str">
        <f aca="true">IF(AND($G263&lt;&gt;"",$P263="",$R263=""),IF(TODAY()&gt;$G263,"⚑",""),"")</f>
        <v/>
      </c>
      <c r="AA263" s="34" t="str">
        <f aca="true">IF(AND($E263&lt;&gt;"",$P263="",$R263=""),IF(TODAY()-MAX($E263,$H263,$M263,$S263)&gt;7,"⚑",""),"")</f>
        <v/>
      </c>
      <c r="AB263" s="34" t="str">
        <f aca="false">IF(OR($P263="",$G263=""),"",IF($P263&lt;=$G263,"Có","Không"))</f>
        <v/>
      </c>
      <c r="AC263" s="34" t="str">
        <f aca="false">IF(OR($P263="",$E263=""),"",$P263-$E263)</f>
        <v/>
      </c>
      <c r="AD263" s="35" t="str">
        <f aca="false">IF($A263="","",COUNTIF(CASE!$B$3:$B$202,$A263))</f>
        <v/>
      </c>
      <c r="AE263" s="34" t="str">
        <f aca="false">IF(OR($I263="",$E263=""),"",$I263-$E263)</f>
        <v/>
      </c>
      <c r="AF263" s="34" t="str">
        <f aca="false">IF(OR($K263="",$I263=""),"",$K263-$I263)</f>
        <v/>
      </c>
      <c r="AG263" s="34" t="str">
        <f aca="false">IF(OR($L263="",$K263=""),"",$L263-$K263)</f>
        <v/>
      </c>
      <c r="AH263" s="34" t="str">
        <f aca="false">IF(OR($M263="",$L263=""),"",$M263-$L263)</f>
        <v/>
      </c>
      <c r="AI263" s="34" t="str">
        <f aca="false">IF(OR($P263="",$M263=""),"",$P263-$M263)</f>
        <v/>
      </c>
    </row>
    <row r="264" customFormat="false" ht="15" hidden="false" customHeight="false" outlineLevel="0" collapsed="false">
      <c r="A264" s="29"/>
      <c r="B264" s="29"/>
      <c r="C264" s="29"/>
      <c r="D264" s="30"/>
      <c r="E264" s="31"/>
      <c r="F264" s="32" t="str">
        <f aca="false">IF($E264="","",$E264+7*IFERROR(VLOOKUP($B264,DS!$K$2:$M$4,2,FALSE()),12))</f>
        <v/>
      </c>
      <c r="G264" s="32" t="str">
        <f aca="false">IF($E264="","",$E264+7*IFERROR(VLOOKUP($B264,DS!$K$2:$M$4,3,FALSE()),12))</f>
        <v/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3" t="str">
        <f aca="false">IF($A264="","",IF($R264&lt;&gt;"","95 Hủy/hoàn",IF($Q264&lt;&gt;"","99 Đóng",IF($P264&lt;&gt;"","90 Đã giao",IF($O264&lt;&gt;"","80 Đang giao",IF($N264&lt;&gt;"","70 Thông quan",IF($M264&lt;&gt;"","60 Đã xuất",IF($L264&lt;&gt;"","50 QC đạt",IF($K264&lt;&gt;"","40 NCC đã gửi",IF($I264&lt;&gt;"","30 Đã đặt NCC",IF($H264&lt;&gt;"","20 Đã xác nhận","10 Mới")))))))))))</f>
        <v/>
      </c>
      <c r="U264" s="33" t="str">
        <f aca="false">IF($T264="","",IFERROR(VLOOKUP($T264,DS!$A$2:$B$12,2,FALSE()),""))</f>
        <v/>
      </c>
      <c r="V264" s="34" t="str">
        <f aca="true">IF(OR($T264="",LEFT($T264,2)="99",LEFT($T264,2)="95"),"",TODAY()-MAX($E264,$H264:$P264))</f>
        <v/>
      </c>
      <c r="W264" s="34" t="str">
        <f aca="true">IF(AND($E264&lt;&gt;"",$I264="",$R264=""),IF(TODAY()-$E264&gt;1,"⚑",""),"")</f>
        <v/>
      </c>
      <c r="X264" s="34" t="str">
        <f aca="true">IF(AND($J264&lt;&gt;"",$K264="",$R264=""),IF(TODAY()-$J264&gt;2,"⚑",""),"")</f>
        <v/>
      </c>
      <c r="Y264" s="34" t="str">
        <f aca="true">IF(AND($G264&lt;&gt;"",$M264="",$R264=""),IF(AND($G264-TODAY()&lt;=14,$G264&gt;=TODAY()),"⚑",""),"")</f>
        <v/>
      </c>
      <c r="Z264" s="34" t="str">
        <f aca="true">IF(AND($G264&lt;&gt;"",$P264="",$R264=""),IF(TODAY()&gt;$G264,"⚑",""),"")</f>
        <v/>
      </c>
      <c r="AA264" s="34" t="str">
        <f aca="true">IF(AND($E264&lt;&gt;"",$P264="",$R264=""),IF(TODAY()-MAX($E264,$H264,$M264,$S264)&gt;7,"⚑",""),"")</f>
        <v/>
      </c>
      <c r="AB264" s="34" t="str">
        <f aca="false">IF(OR($P264="",$G264=""),"",IF($P264&lt;=$G264,"Có","Không"))</f>
        <v/>
      </c>
      <c r="AC264" s="34" t="str">
        <f aca="false">IF(OR($P264="",$E264=""),"",$P264-$E264)</f>
        <v/>
      </c>
      <c r="AD264" s="35" t="str">
        <f aca="false">IF($A264="","",COUNTIF(CASE!$B$3:$B$202,$A264))</f>
        <v/>
      </c>
      <c r="AE264" s="34" t="str">
        <f aca="false">IF(OR($I264="",$E264=""),"",$I264-$E264)</f>
        <v/>
      </c>
      <c r="AF264" s="34" t="str">
        <f aca="false">IF(OR($K264="",$I264=""),"",$K264-$I264)</f>
        <v/>
      </c>
      <c r="AG264" s="34" t="str">
        <f aca="false">IF(OR($L264="",$K264=""),"",$L264-$K264)</f>
        <v/>
      </c>
      <c r="AH264" s="34" t="str">
        <f aca="false">IF(OR($M264="",$L264=""),"",$M264-$L264)</f>
        <v/>
      </c>
      <c r="AI264" s="34" t="str">
        <f aca="false">IF(OR($P264="",$M264=""),"",$P264-$M264)</f>
        <v/>
      </c>
    </row>
    <row r="265" customFormat="false" ht="15" hidden="false" customHeight="false" outlineLevel="0" collapsed="false">
      <c r="A265" s="29"/>
      <c r="B265" s="29"/>
      <c r="C265" s="29"/>
      <c r="D265" s="30"/>
      <c r="E265" s="31"/>
      <c r="F265" s="32" t="str">
        <f aca="false">IF($E265="","",$E265+7*IFERROR(VLOOKUP($B265,DS!$K$2:$M$4,2,FALSE()),12))</f>
        <v/>
      </c>
      <c r="G265" s="32" t="str">
        <f aca="false">IF($E265="","",$E265+7*IFERROR(VLOOKUP($B265,DS!$K$2:$M$4,3,FALSE()),12))</f>
        <v/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3" t="str">
        <f aca="false">IF($A265="","",IF($R265&lt;&gt;"","95 Hủy/hoàn",IF($Q265&lt;&gt;"","99 Đóng",IF($P265&lt;&gt;"","90 Đã giao",IF($O265&lt;&gt;"","80 Đang giao",IF($N265&lt;&gt;"","70 Thông quan",IF($M265&lt;&gt;"","60 Đã xuất",IF($L265&lt;&gt;"","50 QC đạt",IF($K265&lt;&gt;"","40 NCC đã gửi",IF($I265&lt;&gt;"","30 Đã đặt NCC",IF($H265&lt;&gt;"","20 Đã xác nhận","10 Mới")))))))))))</f>
        <v/>
      </c>
      <c r="U265" s="33" t="str">
        <f aca="false">IF($T265="","",IFERROR(VLOOKUP($T265,DS!$A$2:$B$12,2,FALSE()),""))</f>
        <v/>
      </c>
      <c r="V265" s="34" t="str">
        <f aca="true">IF(OR($T265="",LEFT($T265,2)="99",LEFT($T265,2)="95"),"",TODAY()-MAX($E265,$H265:$P265))</f>
        <v/>
      </c>
      <c r="W265" s="34" t="str">
        <f aca="true">IF(AND($E265&lt;&gt;"",$I265="",$R265=""),IF(TODAY()-$E265&gt;1,"⚑",""),"")</f>
        <v/>
      </c>
      <c r="X265" s="34" t="str">
        <f aca="true">IF(AND($J265&lt;&gt;"",$K265="",$R265=""),IF(TODAY()-$J265&gt;2,"⚑",""),"")</f>
        <v/>
      </c>
      <c r="Y265" s="34" t="str">
        <f aca="true">IF(AND($G265&lt;&gt;"",$M265="",$R265=""),IF(AND($G265-TODAY()&lt;=14,$G265&gt;=TODAY()),"⚑",""),"")</f>
        <v/>
      </c>
      <c r="Z265" s="34" t="str">
        <f aca="true">IF(AND($G265&lt;&gt;"",$P265="",$R265=""),IF(TODAY()&gt;$G265,"⚑",""),"")</f>
        <v/>
      </c>
      <c r="AA265" s="34" t="str">
        <f aca="true">IF(AND($E265&lt;&gt;"",$P265="",$R265=""),IF(TODAY()-MAX($E265,$H265,$M265,$S265)&gt;7,"⚑",""),"")</f>
        <v/>
      </c>
      <c r="AB265" s="34" t="str">
        <f aca="false">IF(OR($P265="",$G265=""),"",IF($P265&lt;=$G265,"Có","Không"))</f>
        <v/>
      </c>
      <c r="AC265" s="34" t="str">
        <f aca="false">IF(OR($P265="",$E265=""),"",$P265-$E265)</f>
        <v/>
      </c>
      <c r="AD265" s="35" t="str">
        <f aca="false">IF($A265="","",COUNTIF(CASE!$B$3:$B$202,$A265))</f>
        <v/>
      </c>
      <c r="AE265" s="34" t="str">
        <f aca="false">IF(OR($I265="",$E265=""),"",$I265-$E265)</f>
        <v/>
      </c>
      <c r="AF265" s="34" t="str">
        <f aca="false">IF(OR($K265="",$I265=""),"",$K265-$I265)</f>
        <v/>
      </c>
      <c r="AG265" s="34" t="str">
        <f aca="false">IF(OR($L265="",$K265=""),"",$L265-$K265)</f>
        <v/>
      </c>
      <c r="AH265" s="34" t="str">
        <f aca="false">IF(OR($M265="",$L265=""),"",$M265-$L265)</f>
        <v/>
      </c>
      <c r="AI265" s="34" t="str">
        <f aca="false">IF(OR($P265="",$M265=""),"",$P265-$M265)</f>
        <v/>
      </c>
    </row>
    <row r="266" customFormat="false" ht="15" hidden="false" customHeight="false" outlineLevel="0" collapsed="false">
      <c r="A266" s="29"/>
      <c r="B266" s="29"/>
      <c r="C266" s="29"/>
      <c r="D266" s="30"/>
      <c r="E266" s="31"/>
      <c r="F266" s="32" t="str">
        <f aca="false">IF($E266="","",$E266+7*IFERROR(VLOOKUP($B266,DS!$K$2:$M$4,2,FALSE()),12))</f>
        <v/>
      </c>
      <c r="G266" s="32" t="str">
        <f aca="false">IF($E266="","",$E266+7*IFERROR(VLOOKUP($B266,DS!$K$2:$M$4,3,FALSE()),12))</f>
        <v/>
      </c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3" t="str">
        <f aca="false">IF($A266="","",IF($R266&lt;&gt;"","95 Hủy/hoàn",IF($Q266&lt;&gt;"","99 Đóng",IF($P266&lt;&gt;"","90 Đã giao",IF($O266&lt;&gt;"","80 Đang giao",IF($N266&lt;&gt;"","70 Thông quan",IF($M266&lt;&gt;"","60 Đã xuất",IF($L266&lt;&gt;"","50 QC đạt",IF($K266&lt;&gt;"","40 NCC đã gửi",IF($I266&lt;&gt;"","30 Đã đặt NCC",IF($H266&lt;&gt;"","20 Đã xác nhận","10 Mới")))))))))))</f>
        <v/>
      </c>
      <c r="U266" s="33" t="str">
        <f aca="false">IF($T266="","",IFERROR(VLOOKUP($T266,DS!$A$2:$B$12,2,FALSE()),""))</f>
        <v/>
      </c>
      <c r="V266" s="34" t="str">
        <f aca="true">IF(OR($T266="",LEFT($T266,2)="99",LEFT($T266,2)="95"),"",TODAY()-MAX($E266,$H266:$P266))</f>
        <v/>
      </c>
      <c r="W266" s="34" t="str">
        <f aca="true">IF(AND($E266&lt;&gt;"",$I266="",$R266=""),IF(TODAY()-$E266&gt;1,"⚑",""),"")</f>
        <v/>
      </c>
      <c r="X266" s="34" t="str">
        <f aca="true">IF(AND($J266&lt;&gt;"",$K266="",$R266=""),IF(TODAY()-$J266&gt;2,"⚑",""),"")</f>
        <v/>
      </c>
      <c r="Y266" s="34" t="str">
        <f aca="true">IF(AND($G266&lt;&gt;"",$M266="",$R266=""),IF(AND($G266-TODAY()&lt;=14,$G266&gt;=TODAY()),"⚑",""),"")</f>
        <v/>
      </c>
      <c r="Z266" s="34" t="str">
        <f aca="true">IF(AND($G266&lt;&gt;"",$P266="",$R266=""),IF(TODAY()&gt;$G266,"⚑",""),"")</f>
        <v/>
      </c>
      <c r="AA266" s="34" t="str">
        <f aca="true">IF(AND($E266&lt;&gt;"",$P266="",$R266=""),IF(TODAY()-MAX($E266,$H266,$M266,$S266)&gt;7,"⚑",""),"")</f>
        <v/>
      </c>
      <c r="AB266" s="34" t="str">
        <f aca="false">IF(OR($P266="",$G266=""),"",IF($P266&lt;=$G266,"Có","Không"))</f>
        <v/>
      </c>
      <c r="AC266" s="34" t="str">
        <f aca="false">IF(OR($P266="",$E266=""),"",$P266-$E266)</f>
        <v/>
      </c>
      <c r="AD266" s="35" t="str">
        <f aca="false">IF($A266="","",COUNTIF(CASE!$B$3:$B$202,$A266))</f>
        <v/>
      </c>
      <c r="AE266" s="34" t="str">
        <f aca="false">IF(OR($I266="",$E266=""),"",$I266-$E266)</f>
        <v/>
      </c>
      <c r="AF266" s="34" t="str">
        <f aca="false">IF(OR($K266="",$I266=""),"",$K266-$I266)</f>
        <v/>
      </c>
      <c r="AG266" s="34" t="str">
        <f aca="false">IF(OR($L266="",$K266=""),"",$L266-$K266)</f>
        <v/>
      </c>
      <c r="AH266" s="34" t="str">
        <f aca="false">IF(OR($M266="",$L266=""),"",$M266-$L266)</f>
        <v/>
      </c>
      <c r="AI266" s="34" t="str">
        <f aca="false">IF(OR($P266="",$M266=""),"",$P266-$M266)</f>
        <v/>
      </c>
    </row>
    <row r="267" customFormat="false" ht="15" hidden="false" customHeight="false" outlineLevel="0" collapsed="false">
      <c r="A267" s="29"/>
      <c r="B267" s="29"/>
      <c r="C267" s="29"/>
      <c r="D267" s="30"/>
      <c r="E267" s="31"/>
      <c r="F267" s="32" t="str">
        <f aca="false">IF($E267="","",$E267+7*IFERROR(VLOOKUP($B267,DS!$K$2:$M$4,2,FALSE()),12))</f>
        <v/>
      </c>
      <c r="G267" s="32" t="str">
        <f aca="false">IF($E267="","",$E267+7*IFERROR(VLOOKUP($B267,DS!$K$2:$M$4,3,FALSE()),12))</f>
        <v/>
      </c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3" t="str">
        <f aca="false">IF($A267="","",IF($R267&lt;&gt;"","95 Hủy/hoàn",IF($Q267&lt;&gt;"","99 Đóng",IF($P267&lt;&gt;"","90 Đã giao",IF($O267&lt;&gt;"","80 Đang giao",IF($N267&lt;&gt;"","70 Thông quan",IF($M267&lt;&gt;"","60 Đã xuất",IF($L267&lt;&gt;"","50 QC đạt",IF($K267&lt;&gt;"","40 NCC đã gửi",IF($I267&lt;&gt;"","30 Đã đặt NCC",IF($H267&lt;&gt;"","20 Đã xác nhận","10 Mới")))))))))))</f>
        <v/>
      </c>
      <c r="U267" s="33" t="str">
        <f aca="false">IF($T267="","",IFERROR(VLOOKUP($T267,DS!$A$2:$B$12,2,FALSE()),""))</f>
        <v/>
      </c>
      <c r="V267" s="34" t="str">
        <f aca="true">IF(OR($T267="",LEFT($T267,2)="99",LEFT($T267,2)="95"),"",TODAY()-MAX($E267,$H267:$P267))</f>
        <v/>
      </c>
      <c r="W267" s="34" t="str">
        <f aca="true">IF(AND($E267&lt;&gt;"",$I267="",$R267=""),IF(TODAY()-$E267&gt;1,"⚑",""),"")</f>
        <v/>
      </c>
      <c r="X267" s="34" t="str">
        <f aca="true">IF(AND($J267&lt;&gt;"",$K267="",$R267=""),IF(TODAY()-$J267&gt;2,"⚑",""),"")</f>
        <v/>
      </c>
      <c r="Y267" s="34" t="str">
        <f aca="true">IF(AND($G267&lt;&gt;"",$M267="",$R267=""),IF(AND($G267-TODAY()&lt;=14,$G267&gt;=TODAY()),"⚑",""),"")</f>
        <v/>
      </c>
      <c r="Z267" s="34" t="str">
        <f aca="true">IF(AND($G267&lt;&gt;"",$P267="",$R267=""),IF(TODAY()&gt;$G267,"⚑",""),"")</f>
        <v/>
      </c>
      <c r="AA267" s="34" t="str">
        <f aca="true">IF(AND($E267&lt;&gt;"",$P267="",$R267=""),IF(TODAY()-MAX($E267,$H267,$M267,$S267)&gt;7,"⚑",""),"")</f>
        <v/>
      </c>
      <c r="AB267" s="34" t="str">
        <f aca="false">IF(OR($P267="",$G267=""),"",IF($P267&lt;=$G267,"Có","Không"))</f>
        <v/>
      </c>
      <c r="AC267" s="34" t="str">
        <f aca="false">IF(OR($P267="",$E267=""),"",$P267-$E267)</f>
        <v/>
      </c>
      <c r="AD267" s="35" t="str">
        <f aca="false">IF($A267="","",COUNTIF(CASE!$B$3:$B$202,$A267))</f>
        <v/>
      </c>
      <c r="AE267" s="34" t="str">
        <f aca="false">IF(OR($I267="",$E267=""),"",$I267-$E267)</f>
        <v/>
      </c>
      <c r="AF267" s="34" t="str">
        <f aca="false">IF(OR($K267="",$I267=""),"",$K267-$I267)</f>
        <v/>
      </c>
      <c r="AG267" s="34" t="str">
        <f aca="false">IF(OR($L267="",$K267=""),"",$L267-$K267)</f>
        <v/>
      </c>
      <c r="AH267" s="34" t="str">
        <f aca="false">IF(OR($M267="",$L267=""),"",$M267-$L267)</f>
        <v/>
      </c>
      <c r="AI267" s="34" t="str">
        <f aca="false">IF(OR($P267="",$M267=""),"",$P267-$M267)</f>
        <v/>
      </c>
    </row>
    <row r="268" customFormat="false" ht="15" hidden="false" customHeight="false" outlineLevel="0" collapsed="false">
      <c r="A268" s="29"/>
      <c r="B268" s="29"/>
      <c r="C268" s="29"/>
      <c r="D268" s="30"/>
      <c r="E268" s="31"/>
      <c r="F268" s="32" t="str">
        <f aca="false">IF($E268="","",$E268+7*IFERROR(VLOOKUP($B268,DS!$K$2:$M$4,2,FALSE()),12))</f>
        <v/>
      </c>
      <c r="G268" s="32" t="str">
        <f aca="false">IF($E268="","",$E268+7*IFERROR(VLOOKUP($B268,DS!$K$2:$M$4,3,FALSE()),12))</f>
        <v/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3" t="str">
        <f aca="false">IF($A268="","",IF($R268&lt;&gt;"","95 Hủy/hoàn",IF($Q268&lt;&gt;"","99 Đóng",IF($P268&lt;&gt;"","90 Đã giao",IF($O268&lt;&gt;"","80 Đang giao",IF($N268&lt;&gt;"","70 Thông quan",IF($M268&lt;&gt;"","60 Đã xuất",IF($L268&lt;&gt;"","50 QC đạt",IF($K268&lt;&gt;"","40 NCC đã gửi",IF($I268&lt;&gt;"","30 Đã đặt NCC",IF($H268&lt;&gt;"","20 Đã xác nhận","10 Mới")))))))))))</f>
        <v/>
      </c>
      <c r="U268" s="33" t="str">
        <f aca="false">IF($T268="","",IFERROR(VLOOKUP($T268,DS!$A$2:$B$12,2,FALSE()),""))</f>
        <v/>
      </c>
      <c r="V268" s="34" t="str">
        <f aca="true">IF(OR($T268="",LEFT($T268,2)="99",LEFT($T268,2)="95"),"",TODAY()-MAX($E268,$H268:$P268))</f>
        <v/>
      </c>
      <c r="W268" s="34" t="str">
        <f aca="true">IF(AND($E268&lt;&gt;"",$I268="",$R268=""),IF(TODAY()-$E268&gt;1,"⚑",""),"")</f>
        <v/>
      </c>
      <c r="X268" s="34" t="str">
        <f aca="true">IF(AND($J268&lt;&gt;"",$K268="",$R268=""),IF(TODAY()-$J268&gt;2,"⚑",""),"")</f>
        <v/>
      </c>
      <c r="Y268" s="34" t="str">
        <f aca="true">IF(AND($G268&lt;&gt;"",$M268="",$R268=""),IF(AND($G268-TODAY()&lt;=14,$G268&gt;=TODAY()),"⚑",""),"")</f>
        <v/>
      </c>
      <c r="Z268" s="34" t="str">
        <f aca="true">IF(AND($G268&lt;&gt;"",$P268="",$R268=""),IF(TODAY()&gt;$G268,"⚑",""),"")</f>
        <v/>
      </c>
      <c r="AA268" s="34" t="str">
        <f aca="true">IF(AND($E268&lt;&gt;"",$P268="",$R268=""),IF(TODAY()-MAX($E268,$H268,$M268,$S268)&gt;7,"⚑",""),"")</f>
        <v/>
      </c>
      <c r="AB268" s="34" t="str">
        <f aca="false">IF(OR($P268="",$G268=""),"",IF($P268&lt;=$G268,"Có","Không"))</f>
        <v/>
      </c>
      <c r="AC268" s="34" t="str">
        <f aca="false">IF(OR($P268="",$E268=""),"",$P268-$E268)</f>
        <v/>
      </c>
      <c r="AD268" s="35" t="str">
        <f aca="false">IF($A268="","",COUNTIF(CASE!$B$3:$B$202,$A268))</f>
        <v/>
      </c>
      <c r="AE268" s="34" t="str">
        <f aca="false">IF(OR($I268="",$E268=""),"",$I268-$E268)</f>
        <v/>
      </c>
      <c r="AF268" s="34" t="str">
        <f aca="false">IF(OR($K268="",$I268=""),"",$K268-$I268)</f>
        <v/>
      </c>
      <c r="AG268" s="34" t="str">
        <f aca="false">IF(OR($L268="",$K268=""),"",$L268-$K268)</f>
        <v/>
      </c>
      <c r="AH268" s="34" t="str">
        <f aca="false">IF(OR($M268="",$L268=""),"",$M268-$L268)</f>
        <v/>
      </c>
      <c r="AI268" s="34" t="str">
        <f aca="false">IF(OR($P268="",$M268=""),"",$P268-$M268)</f>
        <v/>
      </c>
    </row>
    <row r="269" customFormat="false" ht="15" hidden="false" customHeight="false" outlineLevel="0" collapsed="false">
      <c r="A269" s="29"/>
      <c r="B269" s="29"/>
      <c r="C269" s="29"/>
      <c r="D269" s="30"/>
      <c r="E269" s="31"/>
      <c r="F269" s="32" t="str">
        <f aca="false">IF($E269="","",$E269+7*IFERROR(VLOOKUP($B269,DS!$K$2:$M$4,2,FALSE()),12))</f>
        <v/>
      </c>
      <c r="G269" s="32" t="str">
        <f aca="false">IF($E269="","",$E269+7*IFERROR(VLOOKUP($B269,DS!$K$2:$M$4,3,FALSE()),12))</f>
        <v/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3" t="str">
        <f aca="false">IF($A269="","",IF($R269&lt;&gt;"","95 Hủy/hoàn",IF($Q269&lt;&gt;"","99 Đóng",IF($P269&lt;&gt;"","90 Đã giao",IF($O269&lt;&gt;"","80 Đang giao",IF($N269&lt;&gt;"","70 Thông quan",IF($M269&lt;&gt;"","60 Đã xuất",IF($L269&lt;&gt;"","50 QC đạt",IF($K269&lt;&gt;"","40 NCC đã gửi",IF($I269&lt;&gt;"","30 Đã đặt NCC",IF($H269&lt;&gt;"","20 Đã xác nhận","10 Mới")))))))))))</f>
        <v/>
      </c>
      <c r="U269" s="33" t="str">
        <f aca="false">IF($T269="","",IFERROR(VLOOKUP($T269,DS!$A$2:$B$12,2,FALSE()),""))</f>
        <v/>
      </c>
      <c r="V269" s="34" t="str">
        <f aca="true">IF(OR($T269="",LEFT($T269,2)="99",LEFT($T269,2)="95"),"",TODAY()-MAX($E269,$H269:$P269))</f>
        <v/>
      </c>
      <c r="W269" s="34" t="str">
        <f aca="true">IF(AND($E269&lt;&gt;"",$I269="",$R269=""),IF(TODAY()-$E269&gt;1,"⚑",""),"")</f>
        <v/>
      </c>
      <c r="X269" s="34" t="str">
        <f aca="true">IF(AND($J269&lt;&gt;"",$K269="",$R269=""),IF(TODAY()-$J269&gt;2,"⚑",""),"")</f>
        <v/>
      </c>
      <c r="Y269" s="34" t="str">
        <f aca="true">IF(AND($G269&lt;&gt;"",$M269="",$R269=""),IF(AND($G269-TODAY()&lt;=14,$G269&gt;=TODAY()),"⚑",""),"")</f>
        <v/>
      </c>
      <c r="Z269" s="34" t="str">
        <f aca="true">IF(AND($G269&lt;&gt;"",$P269="",$R269=""),IF(TODAY()&gt;$G269,"⚑",""),"")</f>
        <v/>
      </c>
      <c r="AA269" s="34" t="str">
        <f aca="true">IF(AND($E269&lt;&gt;"",$P269="",$R269=""),IF(TODAY()-MAX($E269,$H269,$M269,$S269)&gt;7,"⚑",""),"")</f>
        <v/>
      </c>
      <c r="AB269" s="34" t="str">
        <f aca="false">IF(OR($P269="",$G269=""),"",IF($P269&lt;=$G269,"Có","Không"))</f>
        <v/>
      </c>
      <c r="AC269" s="34" t="str">
        <f aca="false">IF(OR($P269="",$E269=""),"",$P269-$E269)</f>
        <v/>
      </c>
      <c r="AD269" s="35" t="str">
        <f aca="false">IF($A269="","",COUNTIF(CASE!$B$3:$B$202,$A269))</f>
        <v/>
      </c>
      <c r="AE269" s="34" t="str">
        <f aca="false">IF(OR($I269="",$E269=""),"",$I269-$E269)</f>
        <v/>
      </c>
      <c r="AF269" s="34" t="str">
        <f aca="false">IF(OR($K269="",$I269=""),"",$K269-$I269)</f>
        <v/>
      </c>
      <c r="AG269" s="34" t="str">
        <f aca="false">IF(OR($L269="",$K269=""),"",$L269-$K269)</f>
        <v/>
      </c>
      <c r="AH269" s="34" t="str">
        <f aca="false">IF(OR($M269="",$L269=""),"",$M269-$L269)</f>
        <v/>
      </c>
      <c r="AI269" s="34" t="str">
        <f aca="false">IF(OR($P269="",$M269=""),"",$P269-$M269)</f>
        <v/>
      </c>
    </row>
    <row r="270" customFormat="false" ht="15" hidden="false" customHeight="false" outlineLevel="0" collapsed="false">
      <c r="A270" s="29"/>
      <c r="B270" s="29"/>
      <c r="C270" s="29"/>
      <c r="D270" s="30"/>
      <c r="E270" s="31"/>
      <c r="F270" s="32" t="str">
        <f aca="false">IF($E270="","",$E270+7*IFERROR(VLOOKUP($B270,DS!$K$2:$M$4,2,FALSE()),12))</f>
        <v/>
      </c>
      <c r="G270" s="32" t="str">
        <f aca="false">IF($E270="","",$E270+7*IFERROR(VLOOKUP($B270,DS!$K$2:$M$4,3,FALSE()),12))</f>
        <v/>
      </c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3" t="str">
        <f aca="false">IF($A270="","",IF($R270&lt;&gt;"","95 Hủy/hoàn",IF($Q270&lt;&gt;"","99 Đóng",IF($P270&lt;&gt;"","90 Đã giao",IF($O270&lt;&gt;"","80 Đang giao",IF($N270&lt;&gt;"","70 Thông quan",IF($M270&lt;&gt;"","60 Đã xuất",IF($L270&lt;&gt;"","50 QC đạt",IF($K270&lt;&gt;"","40 NCC đã gửi",IF($I270&lt;&gt;"","30 Đã đặt NCC",IF($H270&lt;&gt;"","20 Đã xác nhận","10 Mới")))))))))))</f>
        <v/>
      </c>
      <c r="U270" s="33" t="str">
        <f aca="false">IF($T270="","",IFERROR(VLOOKUP($T270,DS!$A$2:$B$12,2,FALSE()),""))</f>
        <v/>
      </c>
      <c r="V270" s="34" t="str">
        <f aca="true">IF(OR($T270="",LEFT($T270,2)="99",LEFT($T270,2)="95"),"",TODAY()-MAX($E270,$H270:$P270))</f>
        <v/>
      </c>
      <c r="W270" s="34" t="str">
        <f aca="true">IF(AND($E270&lt;&gt;"",$I270="",$R270=""),IF(TODAY()-$E270&gt;1,"⚑",""),"")</f>
        <v/>
      </c>
      <c r="X270" s="34" t="str">
        <f aca="true">IF(AND($J270&lt;&gt;"",$K270="",$R270=""),IF(TODAY()-$J270&gt;2,"⚑",""),"")</f>
        <v/>
      </c>
      <c r="Y270" s="34" t="str">
        <f aca="true">IF(AND($G270&lt;&gt;"",$M270="",$R270=""),IF(AND($G270-TODAY()&lt;=14,$G270&gt;=TODAY()),"⚑",""),"")</f>
        <v/>
      </c>
      <c r="Z270" s="34" t="str">
        <f aca="true">IF(AND($G270&lt;&gt;"",$P270="",$R270=""),IF(TODAY()&gt;$G270,"⚑",""),"")</f>
        <v/>
      </c>
      <c r="AA270" s="34" t="str">
        <f aca="true">IF(AND($E270&lt;&gt;"",$P270="",$R270=""),IF(TODAY()-MAX($E270,$H270,$M270,$S270)&gt;7,"⚑",""),"")</f>
        <v/>
      </c>
      <c r="AB270" s="34" t="str">
        <f aca="false">IF(OR($P270="",$G270=""),"",IF($P270&lt;=$G270,"Có","Không"))</f>
        <v/>
      </c>
      <c r="AC270" s="34" t="str">
        <f aca="false">IF(OR($P270="",$E270=""),"",$P270-$E270)</f>
        <v/>
      </c>
      <c r="AD270" s="35" t="str">
        <f aca="false">IF($A270="","",COUNTIF(CASE!$B$3:$B$202,$A270))</f>
        <v/>
      </c>
      <c r="AE270" s="34" t="str">
        <f aca="false">IF(OR($I270="",$E270=""),"",$I270-$E270)</f>
        <v/>
      </c>
      <c r="AF270" s="34" t="str">
        <f aca="false">IF(OR($K270="",$I270=""),"",$K270-$I270)</f>
        <v/>
      </c>
      <c r="AG270" s="34" t="str">
        <f aca="false">IF(OR($L270="",$K270=""),"",$L270-$K270)</f>
        <v/>
      </c>
      <c r="AH270" s="34" t="str">
        <f aca="false">IF(OR($M270="",$L270=""),"",$M270-$L270)</f>
        <v/>
      </c>
      <c r="AI270" s="34" t="str">
        <f aca="false">IF(OR($P270="",$M270=""),"",$P270-$M270)</f>
        <v/>
      </c>
    </row>
    <row r="271" customFormat="false" ht="15" hidden="false" customHeight="false" outlineLevel="0" collapsed="false">
      <c r="A271" s="29"/>
      <c r="B271" s="29"/>
      <c r="C271" s="29"/>
      <c r="D271" s="30"/>
      <c r="E271" s="31"/>
      <c r="F271" s="32" t="str">
        <f aca="false">IF($E271="","",$E271+7*IFERROR(VLOOKUP($B271,DS!$K$2:$M$4,2,FALSE()),12))</f>
        <v/>
      </c>
      <c r="G271" s="32" t="str">
        <f aca="false">IF($E271="","",$E271+7*IFERROR(VLOOKUP($B271,DS!$K$2:$M$4,3,FALSE()),12))</f>
        <v/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3" t="str">
        <f aca="false">IF($A271="","",IF($R271&lt;&gt;"","95 Hủy/hoàn",IF($Q271&lt;&gt;"","99 Đóng",IF($P271&lt;&gt;"","90 Đã giao",IF($O271&lt;&gt;"","80 Đang giao",IF($N271&lt;&gt;"","70 Thông quan",IF($M271&lt;&gt;"","60 Đã xuất",IF($L271&lt;&gt;"","50 QC đạt",IF($K271&lt;&gt;"","40 NCC đã gửi",IF($I271&lt;&gt;"","30 Đã đặt NCC",IF($H271&lt;&gt;"","20 Đã xác nhận","10 Mới")))))))))))</f>
        <v/>
      </c>
      <c r="U271" s="33" t="str">
        <f aca="false">IF($T271="","",IFERROR(VLOOKUP($T271,DS!$A$2:$B$12,2,FALSE()),""))</f>
        <v/>
      </c>
      <c r="V271" s="34" t="str">
        <f aca="true">IF(OR($T271="",LEFT($T271,2)="99",LEFT($T271,2)="95"),"",TODAY()-MAX($E271,$H271:$P271))</f>
        <v/>
      </c>
      <c r="W271" s="34" t="str">
        <f aca="true">IF(AND($E271&lt;&gt;"",$I271="",$R271=""),IF(TODAY()-$E271&gt;1,"⚑",""),"")</f>
        <v/>
      </c>
      <c r="X271" s="34" t="str">
        <f aca="true">IF(AND($J271&lt;&gt;"",$K271="",$R271=""),IF(TODAY()-$J271&gt;2,"⚑",""),"")</f>
        <v/>
      </c>
      <c r="Y271" s="34" t="str">
        <f aca="true">IF(AND($G271&lt;&gt;"",$M271="",$R271=""),IF(AND($G271-TODAY()&lt;=14,$G271&gt;=TODAY()),"⚑",""),"")</f>
        <v/>
      </c>
      <c r="Z271" s="34" t="str">
        <f aca="true">IF(AND($G271&lt;&gt;"",$P271="",$R271=""),IF(TODAY()&gt;$G271,"⚑",""),"")</f>
        <v/>
      </c>
      <c r="AA271" s="34" t="str">
        <f aca="true">IF(AND($E271&lt;&gt;"",$P271="",$R271=""),IF(TODAY()-MAX($E271,$H271,$M271,$S271)&gt;7,"⚑",""),"")</f>
        <v/>
      </c>
      <c r="AB271" s="34" t="str">
        <f aca="false">IF(OR($P271="",$G271=""),"",IF($P271&lt;=$G271,"Có","Không"))</f>
        <v/>
      </c>
      <c r="AC271" s="34" t="str">
        <f aca="false">IF(OR($P271="",$E271=""),"",$P271-$E271)</f>
        <v/>
      </c>
      <c r="AD271" s="35" t="str">
        <f aca="false">IF($A271="","",COUNTIF(CASE!$B$3:$B$202,$A271))</f>
        <v/>
      </c>
      <c r="AE271" s="34" t="str">
        <f aca="false">IF(OR($I271="",$E271=""),"",$I271-$E271)</f>
        <v/>
      </c>
      <c r="AF271" s="34" t="str">
        <f aca="false">IF(OR($K271="",$I271=""),"",$K271-$I271)</f>
        <v/>
      </c>
      <c r="AG271" s="34" t="str">
        <f aca="false">IF(OR($L271="",$K271=""),"",$L271-$K271)</f>
        <v/>
      </c>
      <c r="AH271" s="34" t="str">
        <f aca="false">IF(OR($M271="",$L271=""),"",$M271-$L271)</f>
        <v/>
      </c>
      <c r="AI271" s="34" t="str">
        <f aca="false">IF(OR($P271="",$M271=""),"",$P271-$M271)</f>
        <v/>
      </c>
    </row>
    <row r="272" customFormat="false" ht="15" hidden="false" customHeight="false" outlineLevel="0" collapsed="false">
      <c r="A272" s="29"/>
      <c r="B272" s="29"/>
      <c r="C272" s="29"/>
      <c r="D272" s="30"/>
      <c r="E272" s="31"/>
      <c r="F272" s="32" t="str">
        <f aca="false">IF($E272="","",$E272+7*IFERROR(VLOOKUP($B272,DS!$K$2:$M$4,2,FALSE()),12))</f>
        <v/>
      </c>
      <c r="G272" s="32" t="str">
        <f aca="false">IF($E272="","",$E272+7*IFERROR(VLOOKUP($B272,DS!$K$2:$M$4,3,FALSE()),12))</f>
        <v/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3" t="str">
        <f aca="false">IF($A272="","",IF($R272&lt;&gt;"","95 Hủy/hoàn",IF($Q272&lt;&gt;"","99 Đóng",IF($P272&lt;&gt;"","90 Đã giao",IF($O272&lt;&gt;"","80 Đang giao",IF($N272&lt;&gt;"","70 Thông quan",IF($M272&lt;&gt;"","60 Đã xuất",IF($L272&lt;&gt;"","50 QC đạt",IF($K272&lt;&gt;"","40 NCC đã gửi",IF($I272&lt;&gt;"","30 Đã đặt NCC",IF($H272&lt;&gt;"","20 Đã xác nhận","10 Mới")))))))))))</f>
        <v/>
      </c>
      <c r="U272" s="33" t="str">
        <f aca="false">IF($T272="","",IFERROR(VLOOKUP($T272,DS!$A$2:$B$12,2,FALSE()),""))</f>
        <v/>
      </c>
      <c r="V272" s="34" t="str">
        <f aca="true">IF(OR($T272="",LEFT($T272,2)="99",LEFT($T272,2)="95"),"",TODAY()-MAX($E272,$H272:$P272))</f>
        <v/>
      </c>
      <c r="W272" s="34" t="str">
        <f aca="true">IF(AND($E272&lt;&gt;"",$I272="",$R272=""),IF(TODAY()-$E272&gt;1,"⚑",""),"")</f>
        <v/>
      </c>
      <c r="X272" s="34" t="str">
        <f aca="true">IF(AND($J272&lt;&gt;"",$K272="",$R272=""),IF(TODAY()-$J272&gt;2,"⚑",""),"")</f>
        <v/>
      </c>
      <c r="Y272" s="34" t="str">
        <f aca="true">IF(AND($G272&lt;&gt;"",$M272="",$R272=""),IF(AND($G272-TODAY()&lt;=14,$G272&gt;=TODAY()),"⚑",""),"")</f>
        <v/>
      </c>
      <c r="Z272" s="34" t="str">
        <f aca="true">IF(AND($G272&lt;&gt;"",$P272="",$R272=""),IF(TODAY()&gt;$G272,"⚑",""),"")</f>
        <v/>
      </c>
      <c r="AA272" s="34" t="str">
        <f aca="true">IF(AND($E272&lt;&gt;"",$P272="",$R272=""),IF(TODAY()-MAX($E272,$H272,$M272,$S272)&gt;7,"⚑",""),"")</f>
        <v/>
      </c>
      <c r="AB272" s="34" t="str">
        <f aca="false">IF(OR($P272="",$G272=""),"",IF($P272&lt;=$G272,"Có","Không"))</f>
        <v/>
      </c>
      <c r="AC272" s="34" t="str">
        <f aca="false">IF(OR($P272="",$E272=""),"",$P272-$E272)</f>
        <v/>
      </c>
      <c r="AD272" s="35" t="str">
        <f aca="false">IF($A272="","",COUNTIF(CASE!$B$3:$B$202,$A272))</f>
        <v/>
      </c>
      <c r="AE272" s="34" t="str">
        <f aca="false">IF(OR($I272="",$E272=""),"",$I272-$E272)</f>
        <v/>
      </c>
      <c r="AF272" s="34" t="str">
        <f aca="false">IF(OR($K272="",$I272=""),"",$K272-$I272)</f>
        <v/>
      </c>
      <c r="AG272" s="34" t="str">
        <f aca="false">IF(OR($L272="",$K272=""),"",$L272-$K272)</f>
        <v/>
      </c>
      <c r="AH272" s="34" t="str">
        <f aca="false">IF(OR($M272="",$L272=""),"",$M272-$L272)</f>
        <v/>
      </c>
      <c r="AI272" s="34" t="str">
        <f aca="false">IF(OR($P272="",$M272=""),"",$P272-$M272)</f>
        <v/>
      </c>
    </row>
    <row r="273" customFormat="false" ht="15" hidden="false" customHeight="false" outlineLevel="0" collapsed="false">
      <c r="A273" s="29"/>
      <c r="B273" s="29"/>
      <c r="C273" s="29"/>
      <c r="D273" s="30"/>
      <c r="E273" s="31"/>
      <c r="F273" s="32" t="str">
        <f aca="false">IF($E273="","",$E273+7*IFERROR(VLOOKUP($B273,DS!$K$2:$M$4,2,FALSE()),12))</f>
        <v/>
      </c>
      <c r="G273" s="32" t="str">
        <f aca="false">IF($E273="","",$E273+7*IFERROR(VLOOKUP($B273,DS!$K$2:$M$4,3,FALSE()),12))</f>
        <v/>
      </c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3" t="str">
        <f aca="false">IF($A273="","",IF($R273&lt;&gt;"","95 Hủy/hoàn",IF($Q273&lt;&gt;"","99 Đóng",IF($P273&lt;&gt;"","90 Đã giao",IF($O273&lt;&gt;"","80 Đang giao",IF($N273&lt;&gt;"","70 Thông quan",IF($M273&lt;&gt;"","60 Đã xuất",IF($L273&lt;&gt;"","50 QC đạt",IF($K273&lt;&gt;"","40 NCC đã gửi",IF($I273&lt;&gt;"","30 Đã đặt NCC",IF($H273&lt;&gt;"","20 Đã xác nhận","10 Mới")))))))))))</f>
        <v/>
      </c>
      <c r="U273" s="33" t="str">
        <f aca="false">IF($T273="","",IFERROR(VLOOKUP($T273,DS!$A$2:$B$12,2,FALSE()),""))</f>
        <v/>
      </c>
      <c r="V273" s="34" t="str">
        <f aca="true">IF(OR($T273="",LEFT($T273,2)="99",LEFT($T273,2)="95"),"",TODAY()-MAX($E273,$H273:$P273))</f>
        <v/>
      </c>
      <c r="W273" s="34" t="str">
        <f aca="true">IF(AND($E273&lt;&gt;"",$I273="",$R273=""),IF(TODAY()-$E273&gt;1,"⚑",""),"")</f>
        <v/>
      </c>
      <c r="X273" s="34" t="str">
        <f aca="true">IF(AND($J273&lt;&gt;"",$K273="",$R273=""),IF(TODAY()-$J273&gt;2,"⚑",""),"")</f>
        <v/>
      </c>
      <c r="Y273" s="34" t="str">
        <f aca="true">IF(AND($G273&lt;&gt;"",$M273="",$R273=""),IF(AND($G273-TODAY()&lt;=14,$G273&gt;=TODAY()),"⚑",""),"")</f>
        <v/>
      </c>
      <c r="Z273" s="34" t="str">
        <f aca="true">IF(AND($G273&lt;&gt;"",$P273="",$R273=""),IF(TODAY()&gt;$G273,"⚑",""),"")</f>
        <v/>
      </c>
      <c r="AA273" s="34" t="str">
        <f aca="true">IF(AND($E273&lt;&gt;"",$P273="",$R273=""),IF(TODAY()-MAX($E273,$H273,$M273,$S273)&gt;7,"⚑",""),"")</f>
        <v/>
      </c>
      <c r="AB273" s="34" t="str">
        <f aca="false">IF(OR($P273="",$G273=""),"",IF($P273&lt;=$G273,"Có","Không"))</f>
        <v/>
      </c>
      <c r="AC273" s="34" t="str">
        <f aca="false">IF(OR($P273="",$E273=""),"",$P273-$E273)</f>
        <v/>
      </c>
      <c r="AD273" s="35" t="str">
        <f aca="false">IF($A273="","",COUNTIF(CASE!$B$3:$B$202,$A273))</f>
        <v/>
      </c>
      <c r="AE273" s="34" t="str">
        <f aca="false">IF(OR($I273="",$E273=""),"",$I273-$E273)</f>
        <v/>
      </c>
      <c r="AF273" s="34" t="str">
        <f aca="false">IF(OR($K273="",$I273=""),"",$K273-$I273)</f>
        <v/>
      </c>
      <c r="AG273" s="34" t="str">
        <f aca="false">IF(OR($L273="",$K273=""),"",$L273-$K273)</f>
        <v/>
      </c>
      <c r="AH273" s="34" t="str">
        <f aca="false">IF(OR($M273="",$L273=""),"",$M273-$L273)</f>
        <v/>
      </c>
      <c r="AI273" s="34" t="str">
        <f aca="false">IF(OR($P273="",$M273=""),"",$P273-$M273)</f>
        <v/>
      </c>
    </row>
    <row r="274" customFormat="false" ht="15" hidden="false" customHeight="false" outlineLevel="0" collapsed="false">
      <c r="A274" s="29"/>
      <c r="B274" s="29"/>
      <c r="C274" s="29"/>
      <c r="D274" s="30"/>
      <c r="E274" s="31"/>
      <c r="F274" s="32" t="str">
        <f aca="false">IF($E274="","",$E274+7*IFERROR(VLOOKUP($B274,DS!$K$2:$M$4,2,FALSE()),12))</f>
        <v/>
      </c>
      <c r="G274" s="32" t="str">
        <f aca="false">IF($E274="","",$E274+7*IFERROR(VLOOKUP($B274,DS!$K$2:$M$4,3,FALSE()),12))</f>
        <v/>
      </c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3" t="str">
        <f aca="false">IF($A274="","",IF($R274&lt;&gt;"","95 Hủy/hoàn",IF($Q274&lt;&gt;"","99 Đóng",IF($P274&lt;&gt;"","90 Đã giao",IF($O274&lt;&gt;"","80 Đang giao",IF($N274&lt;&gt;"","70 Thông quan",IF($M274&lt;&gt;"","60 Đã xuất",IF($L274&lt;&gt;"","50 QC đạt",IF($K274&lt;&gt;"","40 NCC đã gửi",IF($I274&lt;&gt;"","30 Đã đặt NCC",IF($H274&lt;&gt;"","20 Đã xác nhận","10 Mới")))))))))))</f>
        <v/>
      </c>
      <c r="U274" s="33" t="str">
        <f aca="false">IF($T274="","",IFERROR(VLOOKUP($T274,DS!$A$2:$B$12,2,FALSE()),""))</f>
        <v/>
      </c>
      <c r="V274" s="34" t="str">
        <f aca="true">IF(OR($T274="",LEFT($T274,2)="99",LEFT($T274,2)="95"),"",TODAY()-MAX($E274,$H274:$P274))</f>
        <v/>
      </c>
      <c r="W274" s="34" t="str">
        <f aca="true">IF(AND($E274&lt;&gt;"",$I274="",$R274=""),IF(TODAY()-$E274&gt;1,"⚑",""),"")</f>
        <v/>
      </c>
      <c r="X274" s="34" t="str">
        <f aca="true">IF(AND($J274&lt;&gt;"",$K274="",$R274=""),IF(TODAY()-$J274&gt;2,"⚑",""),"")</f>
        <v/>
      </c>
      <c r="Y274" s="34" t="str">
        <f aca="true">IF(AND($G274&lt;&gt;"",$M274="",$R274=""),IF(AND($G274-TODAY()&lt;=14,$G274&gt;=TODAY()),"⚑",""),"")</f>
        <v/>
      </c>
      <c r="Z274" s="34" t="str">
        <f aca="true">IF(AND($G274&lt;&gt;"",$P274="",$R274=""),IF(TODAY()&gt;$G274,"⚑",""),"")</f>
        <v/>
      </c>
      <c r="AA274" s="34" t="str">
        <f aca="true">IF(AND($E274&lt;&gt;"",$P274="",$R274=""),IF(TODAY()-MAX($E274,$H274,$M274,$S274)&gt;7,"⚑",""),"")</f>
        <v/>
      </c>
      <c r="AB274" s="34" t="str">
        <f aca="false">IF(OR($P274="",$G274=""),"",IF($P274&lt;=$G274,"Có","Không"))</f>
        <v/>
      </c>
      <c r="AC274" s="34" t="str">
        <f aca="false">IF(OR($P274="",$E274=""),"",$P274-$E274)</f>
        <v/>
      </c>
      <c r="AD274" s="35" t="str">
        <f aca="false">IF($A274="","",COUNTIF(CASE!$B$3:$B$202,$A274))</f>
        <v/>
      </c>
      <c r="AE274" s="34" t="str">
        <f aca="false">IF(OR($I274="",$E274=""),"",$I274-$E274)</f>
        <v/>
      </c>
      <c r="AF274" s="34" t="str">
        <f aca="false">IF(OR($K274="",$I274=""),"",$K274-$I274)</f>
        <v/>
      </c>
      <c r="AG274" s="34" t="str">
        <f aca="false">IF(OR($L274="",$K274=""),"",$L274-$K274)</f>
        <v/>
      </c>
      <c r="AH274" s="34" t="str">
        <f aca="false">IF(OR($M274="",$L274=""),"",$M274-$L274)</f>
        <v/>
      </c>
      <c r="AI274" s="34" t="str">
        <f aca="false">IF(OR($P274="",$M274=""),"",$P274-$M274)</f>
        <v/>
      </c>
    </row>
    <row r="275" customFormat="false" ht="15" hidden="false" customHeight="false" outlineLevel="0" collapsed="false">
      <c r="A275" s="29"/>
      <c r="B275" s="29"/>
      <c r="C275" s="29"/>
      <c r="D275" s="30"/>
      <c r="E275" s="31"/>
      <c r="F275" s="32" t="str">
        <f aca="false">IF($E275="","",$E275+7*IFERROR(VLOOKUP($B275,DS!$K$2:$M$4,2,FALSE()),12))</f>
        <v/>
      </c>
      <c r="G275" s="32" t="str">
        <f aca="false">IF($E275="","",$E275+7*IFERROR(VLOOKUP($B275,DS!$K$2:$M$4,3,FALSE()),12))</f>
        <v/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3" t="str">
        <f aca="false">IF($A275="","",IF($R275&lt;&gt;"","95 Hủy/hoàn",IF($Q275&lt;&gt;"","99 Đóng",IF($P275&lt;&gt;"","90 Đã giao",IF($O275&lt;&gt;"","80 Đang giao",IF($N275&lt;&gt;"","70 Thông quan",IF($M275&lt;&gt;"","60 Đã xuất",IF($L275&lt;&gt;"","50 QC đạt",IF($K275&lt;&gt;"","40 NCC đã gửi",IF($I275&lt;&gt;"","30 Đã đặt NCC",IF($H275&lt;&gt;"","20 Đã xác nhận","10 Mới")))))))))))</f>
        <v/>
      </c>
      <c r="U275" s="33" t="str">
        <f aca="false">IF($T275="","",IFERROR(VLOOKUP($T275,DS!$A$2:$B$12,2,FALSE()),""))</f>
        <v/>
      </c>
      <c r="V275" s="34" t="str">
        <f aca="true">IF(OR($T275="",LEFT($T275,2)="99",LEFT($T275,2)="95"),"",TODAY()-MAX($E275,$H275:$P275))</f>
        <v/>
      </c>
      <c r="W275" s="34" t="str">
        <f aca="true">IF(AND($E275&lt;&gt;"",$I275="",$R275=""),IF(TODAY()-$E275&gt;1,"⚑",""),"")</f>
        <v/>
      </c>
      <c r="X275" s="34" t="str">
        <f aca="true">IF(AND($J275&lt;&gt;"",$K275="",$R275=""),IF(TODAY()-$J275&gt;2,"⚑",""),"")</f>
        <v/>
      </c>
      <c r="Y275" s="34" t="str">
        <f aca="true">IF(AND($G275&lt;&gt;"",$M275="",$R275=""),IF(AND($G275-TODAY()&lt;=14,$G275&gt;=TODAY()),"⚑",""),"")</f>
        <v/>
      </c>
      <c r="Z275" s="34" t="str">
        <f aca="true">IF(AND($G275&lt;&gt;"",$P275="",$R275=""),IF(TODAY()&gt;$G275,"⚑",""),"")</f>
        <v/>
      </c>
      <c r="AA275" s="34" t="str">
        <f aca="true">IF(AND($E275&lt;&gt;"",$P275="",$R275=""),IF(TODAY()-MAX($E275,$H275,$M275,$S275)&gt;7,"⚑",""),"")</f>
        <v/>
      </c>
      <c r="AB275" s="34" t="str">
        <f aca="false">IF(OR($P275="",$G275=""),"",IF($P275&lt;=$G275,"Có","Không"))</f>
        <v/>
      </c>
      <c r="AC275" s="34" t="str">
        <f aca="false">IF(OR($P275="",$E275=""),"",$P275-$E275)</f>
        <v/>
      </c>
      <c r="AD275" s="35" t="str">
        <f aca="false">IF($A275="","",COUNTIF(CASE!$B$3:$B$202,$A275))</f>
        <v/>
      </c>
      <c r="AE275" s="34" t="str">
        <f aca="false">IF(OR($I275="",$E275=""),"",$I275-$E275)</f>
        <v/>
      </c>
      <c r="AF275" s="34" t="str">
        <f aca="false">IF(OR($K275="",$I275=""),"",$K275-$I275)</f>
        <v/>
      </c>
      <c r="AG275" s="34" t="str">
        <f aca="false">IF(OR($L275="",$K275=""),"",$L275-$K275)</f>
        <v/>
      </c>
      <c r="AH275" s="34" t="str">
        <f aca="false">IF(OR($M275="",$L275=""),"",$M275-$L275)</f>
        <v/>
      </c>
      <c r="AI275" s="34" t="str">
        <f aca="false">IF(OR($P275="",$M275=""),"",$P275-$M275)</f>
        <v/>
      </c>
    </row>
    <row r="276" customFormat="false" ht="15" hidden="false" customHeight="false" outlineLevel="0" collapsed="false">
      <c r="A276" s="29"/>
      <c r="B276" s="29"/>
      <c r="C276" s="29"/>
      <c r="D276" s="30"/>
      <c r="E276" s="31"/>
      <c r="F276" s="32" t="str">
        <f aca="false">IF($E276="","",$E276+7*IFERROR(VLOOKUP($B276,DS!$K$2:$M$4,2,FALSE()),12))</f>
        <v/>
      </c>
      <c r="G276" s="32" t="str">
        <f aca="false">IF($E276="","",$E276+7*IFERROR(VLOOKUP($B276,DS!$K$2:$M$4,3,FALSE()),12))</f>
        <v/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3" t="str">
        <f aca="false">IF($A276="","",IF($R276&lt;&gt;"","95 Hủy/hoàn",IF($Q276&lt;&gt;"","99 Đóng",IF($P276&lt;&gt;"","90 Đã giao",IF($O276&lt;&gt;"","80 Đang giao",IF($N276&lt;&gt;"","70 Thông quan",IF($M276&lt;&gt;"","60 Đã xuất",IF($L276&lt;&gt;"","50 QC đạt",IF($K276&lt;&gt;"","40 NCC đã gửi",IF($I276&lt;&gt;"","30 Đã đặt NCC",IF($H276&lt;&gt;"","20 Đã xác nhận","10 Mới")))))))))))</f>
        <v/>
      </c>
      <c r="U276" s="33" t="str">
        <f aca="false">IF($T276="","",IFERROR(VLOOKUP($T276,DS!$A$2:$B$12,2,FALSE()),""))</f>
        <v/>
      </c>
      <c r="V276" s="34" t="str">
        <f aca="true">IF(OR($T276="",LEFT($T276,2)="99",LEFT($T276,2)="95"),"",TODAY()-MAX($E276,$H276:$P276))</f>
        <v/>
      </c>
      <c r="W276" s="34" t="str">
        <f aca="true">IF(AND($E276&lt;&gt;"",$I276="",$R276=""),IF(TODAY()-$E276&gt;1,"⚑",""),"")</f>
        <v/>
      </c>
      <c r="X276" s="34" t="str">
        <f aca="true">IF(AND($J276&lt;&gt;"",$K276="",$R276=""),IF(TODAY()-$J276&gt;2,"⚑",""),"")</f>
        <v/>
      </c>
      <c r="Y276" s="34" t="str">
        <f aca="true">IF(AND($G276&lt;&gt;"",$M276="",$R276=""),IF(AND($G276-TODAY()&lt;=14,$G276&gt;=TODAY()),"⚑",""),"")</f>
        <v/>
      </c>
      <c r="Z276" s="34" t="str">
        <f aca="true">IF(AND($G276&lt;&gt;"",$P276="",$R276=""),IF(TODAY()&gt;$G276,"⚑",""),"")</f>
        <v/>
      </c>
      <c r="AA276" s="34" t="str">
        <f aca="true">IF(AND($E276&lt;&gt;"",$P276="",$R276=""),IF(TODAY()-MAX($E276,$H276,$M276,$S276)&gt;7,"⚑",""),"")</f>
        <v/>
      </c>
      <c r="AB276" s="34" t="str">
        <f aca="false">IF(OR($P276="",$G276=""),"",IF($P276&lt;=$G276,"Có","Không"))</f>
        <v/>
      </c>
      <c r="AC276" s="34" t="str">
        <f aca="false">IF(OR($P276="",$E276=""),"",$P276-$E276)</f>
        <v/>
      </c>
      <c r="AD276" s="35" t="str">
        <f aca="false">IF($A276="","",COUNTIF(CASE!$B$3:$B$202,$A276))</f>
        <v/>
      </c>
      <c r="AE276" s="34" t="str">
        <f aca="false">IF(OR($I276="",$E276=""),"",$I276-$E276)</f>
        <v/>
      </c>
      <c r="AF276" s="34" t="str">
        <f aca="false">IF(OR($K276="",$I276=""),"",$K276-$I276)</f>
        <v/>
      </c>
      <c r="AG276" s="34" t="str">
        <f aca="false">IF(OR($L276="",$K276=""),"",$L276-$K276)</f>
        <v/>
      </c>
      <c r="AH276" s="34" t="str">
        <f aca="false">IF(OR($M276="",$L276=""),"",$M276-$L276)</f>
        <v/>
      </c>
      <c r="AI276" s="34" t="str">
        <f aca="false">IF(OR($P276="",$M276=""),"",$P276-$M276)</f>
        <v/>
      </c>
    </row>
    <row r="277" customFormat="false" ht="15" hidden="false" customHeight="false" outlineLevel="0" collapsed="false">
      <c r="A277" s="29"/>
      <c r="B277" s="29"/>
      <c r="C277" s="29"/>
      <c r="D277" s="30"/>
      <c r="E277" s="31"/>
      <c r="F277" s="32" t="str">
        <f aca="false">IF($E277="","",$E277+7*IFERROR(VLOOKUP($B277,DS!$K$2:$M$4,2,FALSE()),12))</f>
        <v/>
      </c>
      <c r="G277" s="32" t="str">
        <f aca="false">IF($E277="","",$E277+7*IFERROR(VLOOKUP($B277,DS!$K$2:$M$4,3,FALSE()),12))</f>
        <v/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3" t="str">
        <f aca="false">IF($A277="","",IF($R277&lt;&gt;"","95 Hủy/hoàn",IF($Q277&lt;&gt;"","99 Đóng",IF($P277&lt;&gt;"","90 Đã giao",IF($O277&lt;&gt;"","80 Đang giao",IF($N277&lt;&gt;"","70 Thông quan",IF($M277&lt;&gt;"","60 Đã xuất",IF($L277&lt;&gt;"","50 QC đạt",IF($K277&lt;&gt;"","40 NCC đã gửi",IF($I277&lt;&gt;"","30 Đã đặt NCC",IF($H277&lt;&gt;"","20 Đã xác nhận","10 Mới")))))))))))</f>
        <v/>
      </c>
      <c r="U277" s="33" t="str">
        <f aca="false">IF($T277="","",IFERROR(VLOOKUP($T277,DS!$A$2:$B$12,2,FALSE()),""))</f>
        <v/>
      </c>
      <c r="V277" s="34" t="str">
        <f aca="true">IF(OR($T277="",LEFT($T277,2)="99",LEFT($T277,2)="95"),"",TODAY()-MAX($E277,$H277:$P277))</f>
        <v/>
      </c>
      <c r="W277" s="34" t="str">
        <f aca="true">IF(AND($E277&lt;&gt;"",$I277="",$R277=""),IF(TODAY()-$E277&gt;1,"⚑",""),"")</f>
        <v/>
      </c>
      <c r="X277" s="34" t="str">
        <f aca="true">IF(AND($J277&lt;&gt;"",$K277="",$R277=""),IF(TODAY()-$J277&gt;2,"⚑",""),"")</f>
        <v/>
      </c>
      <c r="Y277" s="34" t="str">
        <f aca="true">IF(AND($G277&lt;&gt;"",$M277="",$R277=""),IF(AND($G277-TODAY()&lt;=14,$G277&gt;=TODAY()),"⚑",""),"")</f>
        <v/>
      </c>
      <c r="Z277" s="34" t="str">
        <f aca="true">IF(AND($G277&lt;&gt;"",$P277="",$R277=""),IF(TODAY()&gt;$G277,"⚑",""),"")</f>
        <v/>
      </c>
      <c r="AA277" s="34" t="str">
        <f aca="true">IF(AND($E277&lt;&gt;"",$P277="",$R277=""),IF(TODAY()-MAX($E277,$H277,$M277,$S277)&gt;7,"⚑",""),"")</f>
        <v/>
      </c>
      <c r="AB277" s="34" t="str">
        <f aca="false">IF(OR($P277="",$G277=""),"",IF($P277&lt;=$G277,"Có","Không"))</f>
        <v/>
      </c>
      <c r="AC277" s="34" t="str">
        <f aca="false">IF(OR($P277="",$E277=""),"",$P277-$E277)</f>
        <v/>
      </c>
      <c r="AD277" s="35" t="str">
        <f aca="false">IF($A277="","",COUNTIF(CASE!$B$3:$B$202,$A277))</f>
        <v/>
      </c>
      <c r="AE277" s="34" t="str">
        <f aca="false">IF(OR($I277="",$E277=""),"",$I277-$E277)</f>
        <v/>
      </c>
      <c r="AF277" s="34" t="str">
        <f aca="false">IF(OR($K277="",$I277=""),"",$K277-$I277)</f>
        <v/>
      </c>
      <c r="AG277" s="34" t="str">
        <f aca="false">IF(OR($L277="",$K277=""),"",$L277-$K277)</f>
        <v/>
      </c>
      <c r="AH277" s="34" t="str">
        <f aca="false">IF(OR($M277="",$L277=""),"",$M277-$L277)</f>
        <v/>
      </c>
      <c r="AI277" s="34" t="str">
        <f aca="false">IF(OR($P277="",$M277=""),"",$P277-$M277)</f>
        <v/>
      </c>
    </row>
    <row r="278" customFormat="false" ht="15" hidden="false" customHeight="false" outlineLevel="0" collapsed="false">
      <c r="A278" s="29"/>
      <c r="B278" s="29"/>
      <c r="C278" s="29"/>
      <c r="D278" s="30"/>
      <c r="E278" s="31"/>
      <c r="F278" s="32" t="str">
        <f aca="false">IF($E278="","",$E278+7*IFERROR(VLOOKUP($B278,DS!$K$2:$M$4,2,FALSE()),12))</f>
        <v/>
      </c>
      <c r="G278" s="32" t="str">
        <f aca="false">IF($E278="","",$E278+7*IFERROR(VLOOKUP($B278,DS!$K$2:$M$4,3,FALSE()),12))</f>
        <v/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3" t="str">
        <f aca="false">IF($A278="","",IF($R278&lt;&gt;"","95 Hủy/hoàn",IF($Q278&lt;&gt;"","99 Đóng",IF($P278&lt;&gt;"","90 Đã giao",IF($O278&lt;&gt;"","80 Đang giao",IF($N278&lt;&gt;"","70 Thông quan",IF($M278&lt;&gt;"","60 Đã xuất",IF($L278&lt;&gt;"","50 QC đạt",IF($K278&lt;&gt;"","40 NCC đã gửi",IF($I278&lt;&gt;"","30 Đã đặt NCC",IF($H278&lt;&gt;"","20 Đã xác nhận","10 Mới")))))))))))</f>
        <v/>
      </c>
      <c r="U278" s="33" t="str">
        <f aca="false">IF($T278="","",IFERROR(VLOOKUP($T278,DS!$A$2:$B$12,2,FALSE()),""))</f>
        <v/>
      </c>
      <c r="V278" s="34" t="str">
        <f aca="true">IF(OR($T278="",LEFT($T278,2)="99",LEFT($T278,2)="95"),"",TODAY()-MAX($E278,$H278:$P278))</f>
        <v/>
      </c>
      <c r="W278" s="34" t="str">
        <f aca="true">IF(AND($E278&lt;&gt;"",$I278="",$R278=""),IF(TODAY()-$E278&gt;1,"⚑",""),"")</f>
        <v/>
      </c>
      <c r="X278" s="34" t="str">
        <f aca="true">IF(AND($J278&lt;&gt;"",$K278="",$R278=""),IF(TODAY()-$J278&gt;2,"⚑",""),"")</f>
        <v/>
      </c>
      <c r="Y278" s="34" t="str">
        <f aca="true">IF(AND($G278&lt;&gt;"",$M278="",$R278=""),IF(AND($G278-TODAY()&lt;=14,$G278&gt;=TODAY()),"⚑",""),"")</f>
        <v/>
      </c>
      <c r="Z278" s="34" t="str">
        <f aca="true">IF(AND($G278&lt;&gt;"",$P278="",$R278=""),IF(TODAY()&gt;$G278,"⚑",""),"")</f>
        <v/>
      </c>
      <c r="AA278" s="34" t="str">
        <f aca="true">IF(AND($E278&lt;&gt;"",$P278="",$R278=""),IF(TODAY()-MAX($E278,$H278,$M278,$S278)&gt;7,"⚑",""),"")</f>
        <v/>
      </c>
      <c r="AB278" s="34" t="str">
        <f aca="false">IF(OR($P278="",$G278=""),"",IF($P278&lt;=$G278,"Có","Không"))</f>
        <v/>
      </c>
      <c r="AC278" s="34" t="str">
        <f aca="false">IF(OR($P278="",$E278=""),"",$P278-$E278)</f>
        <v/>
      </c>
      <c r="AD278" s="35" t="str">
        <f aca="false">IF($A278="","",COUNTIF(CASE!$B$3:$B$202,$A278))</f>
        <v/>
      </c>
      <c r="AE278" s="34" t="str">
        <f aca="false">IF(OR($I278="",$E278=""),"",$I278-$E278)</f>
        <v/>
      </c>
      <c r="AF278" s="34" t="str">
        <f aca="false">IF(OR($K278="",$I278=""),"",$K278-$I278)</f>
        <v/>
      </c>
      <c r="AG278" s="34" t="str">
        <f aca="false">IF(OR($L278="",$K278=""),"",$L278-$K278)</f>
        <v/>
      </c>
      <c r="AH278" s="34" t="str">
        <f aca="false">IF(OR($M278="",$L278=""),"",$M278-$L278)</f>
        <v/>
      </c>
      <c r="AI278" s="34" t="str">
        <f aca="false">IF(OR($P278="",$M278=""),"",$P278-$M278)</f>
        <v/>
      </c>
    </row>
    <row r="279" customFormat="false" ht="15" hidden="false" customHeight="false" outlineLevel="0" collapsed="false">
      <c r="A279" s="29"/>
      <c r="B279" s="29"/>
      <c r="C279" s="29"/>
      <c r="D279" s="30"/>
      <c r="E279" s="31"/>
      <c r="F279" s="32" t="str">
        <f aca="false">IF($E279="","",$E279+7*IFERROR(VLOOKUP($B279,DS!$K$2:$M$4,2,FALSE()),12))</f>
        <v/>
      </c>
      <c r="G279" s="32" t="str">
        <f aca="false">IF($E279="","",$E279+7*IFERROR(VLOOKUP($B279,DS!$K$2:$M$4,3,FALSE()),12))</f>
        <v/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3" t="str">
        <f aca="false">IF($A279="","",IF($R279&lt;&gt;"","95 Hủy/hoàn",IF($Q279&lt;&gt;"","99 Đóng",IF($P279&lt;&gt;"","90 Đã giao",IF($O279&lt;&gt;"","80 Đang giao",IF($N279&lt;&gt;"","70 Thông quan",IF($M279&lt;&gt;"","60 Đã xuất",IF($L279&lt;&gt;"","50 QC đạt",IF($K279&lt;&gt;"","40 NCC đã gửi",IF($I279&lt;&gt;"","30 Đã đặt NCC",IF($H279&lt;&gt;"","20 Đã xác nhận","10 Mới")))))))))))</f>
        <v/>
      </c>
      <c r="U279" s="33" t="str">
        <f aca="false">IF($T279="","",IFERROR(VLOOKUP($T279,DS!$A$2:$B$12,2,FALSE()),""))</f>
        <v/>
      </c>
      <c r="V279" s="34" t="str">
        <f aca="true">IF(OR($T279="",LEFT($T279,2)="99",LEFT($T279,2)="95"),"",TODAY()-MAX($E279,$H279:$P279))</f>
        <v/>
      </c>
      <c r="W279" s="34" t="str">
        <f aca="true">IF(AND($E279&lt;&gt;"",$I279="",$R279=""),IF(TODAY()-$E279&gt;1,"⚑",""),"")</f>
        <v/>
      </c>
      <c r="X279" s="34" t="str">
        <f aca="true">IF(AND($J279&lt;&gt;"",$K279="",$R279=""),IF(TODAY()-$J279&gt;2,"⚑",""),"")</f>
        <v/>
      </c>
      <c r="Y279" s="34" t="str">
        <f aca="true">IF(AND($G279&lt;&gt;"",$M279="",$R279=""),IF(AND($G279-TODAY()&lt;=14,$G279&gt;=TODAY()),"⚑",""),"")</f>
        <v/>
      </c>
      <c r="Z279" s="34" t="str">
        <f aca="true">IF(AND($G279&lt;&gt;"",$P279="",$R279=""),IF(TODAY()&gt;$G279,"⚑",""),"")</f>
        <v/>
      </c>
      <c r="AA279" s="34" t="str">
        <f aca="true">IF(AND($E279&lt;&gt;"",$P279="",$R279=""),IF(TODAY()-MAX($E279,$H279,$M279,$S279)&gt;7,"⚑",""),"")</f>
        <v/>
      </c>
      <c r="AB279" s="34" t="str">
        <f aca="false">IF(OR($P279="",$G279=""),"",IF($P279&lt;=$G279,"Có","Không"))</f>
        <v/>
      </c>
      <c r="AC279" s="34" t="str">
        <f aca="false">IF(OR($P279="",$E279=""),"",$P279-$E279)</f>
        <v/>
      </c>
      <c r="AD279" s="35" t="str">
        <f aca="false">IF($A279="","",COUNTIF(CASE!$B$3:$B$202,$A279))</f>
        <v/>
      </c>
      <c r="AE279" s="34" t="str">
        <f aca="false">IF(OR($I279="",$E279=""),"",$I279-$E279)</f>
        <v/>
      </c>
      <c r="AF279" s="34" t="str">
        <f aca="false">IF(OR($K279="",$I279=""),"",$K279-$I279)</f>
        <v/>
      </c>
      <c r="AG279" s="34" t="str">
        <f aca="false">IF(OR($L279="",$K279=""),"",$L279-$K279)</f>
        <v/>
      </c>
      <c r="AH279" s="34" t="str">
        <f aca="false">IF(OR($M279="",$L279=""),"",$M279-$L279)</f>
        <v/>
      </c>
      <c r="AI279" s="34" t="str">
        <f aca="false">IF(OR($P279="",$M279=""),"",$P279-$M279)</f>
        <v/>
      </c>
    </row>
    <row r="280" customFormat="false" ht="15" hidden="false" customHeight="false" outlineLevel="0" collapsed="false">
      <c r="A280" s="29"/>
      <c r="B280" s="29"/>
      <c r="C280" s="29"/>
      <c r="D280" s="30"/>
      <c r="E280" s="31"/>
      <c r="F280" s="32" t="str">
        <f aca="false">IF($E280="","",$E280+7*IFERROR(VLOOKUP($B280,DS!$K$2:$M$4,2,FALSE()),12))</f>
        <v/>
      </c>
      <c r="G280" s="32" t="str">
        <f aca="false">IF($E280="","",$E280+7*IFERROR(VLOOKUP($B280,DS!$K$2:$M$4,3,FALSE()),12))</f>
        <v/>
      </c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3" t="str">
        <f aca="false">IF($A280="","",IF($R280&lt;&gt;"","95 Hủy/hoàn",IF($Q280&lt;&gt;"","99 Đóng",IF($P280&lt;&gt;"","90 Đã giao",IF($O280&lt;&gt;"","80 Đang giao",IF($N280&lt;&gt;"","70 Thông quan",IF($M280&lt;&gt;"","60 Đã xuất",IF($L280&lt;&gt;"","50 QC đạt",IF($K280&lt;&gt;"","40 NCC đã gửi",IF($I280&lt;&gt;"","30 Đã đặt NCC",IF($H280&lt;&gt;"","20 Đã xác nhận","10 Mới")))))))))))</f>
        <v/>
      </c>
      <c r="U280" s="33" t="str">
        <f aca="false">IF($T280="","",IFERROR(VLOOKUP($T280,DS!$A$2:$B$12,2,FALSE()),""))</f>
        <v/>
      </c>
      <c r="V280" s="34" t="str">
        <f aca="true">IF(OR($T280="",LEFT($T280,2)="99",LEFT($T280,2)="95"),"",TODAY()-MAX($E280,$H280:$P280))</f>
        <v/>
      </c>
      <c r="W280" s="34" t="str">
        <f aca="true">IF(AND($E280&lt;&gt;"",$I280="",$R280=""),IF(TODAY()-$E280&gt;1,"⚑",""),"")</f>
        <v/>
      </c>
      <c r="X280" s="34" t="str">
        <f aca="true">IF(AND($J280&lt;&gt;"",$K280="",$R280=""),IF(TODAY()-$J280&gt;2,"⚑",""),"")</f>
        <v/>
      </c>
      <c r="Y280" s="34" t="str">
        <f aca="true">IF(AND($G280&lt;&gt;"",$M280="",$R280=""),IF(AND($G280-TODAY()&lt;=14,$G280&gt;=TODAY()),"⚑",""),"")</f>
        <v/>
      </c>
      <c r="Z280" s="34" t="str">
        <f aca="true">IF(AND($G280&lt;&gt;"",$P280="",$R280=""),IF(TODAY()&gt;$G280,"⚑",""),"")</f>
        <v/>
      </c>
      <c r="AA280" s="34" t="str">
        <f aca="true">IF(AND($E280&lt;&gt;"",$P280="",$R280=""),IF(TODAY()-MAX($E280,$H280,$M280,$S280)&gt;7,"⚑",""),"")</f>
        <v/>
      </c>
      <c r="AB280" s="34" t="str">
        <f aca="false">IF(OR($P280="",$G280=""),"",IF($P280&lt;=$G280,"Có","Không"))</f>
        <v/>
      </c>
      <c r="AC280" s="34" t="str">
        <f aca="false">IF(OR($P280="",$E280=""),"",$P280-$E280)</f>
        <v/>
      </c>
      <c r="AD280" s="35" t="str">
        <f aca="false">IF($A280="","",COUNTIF(CASE!$B$3:$B$202,$A280))</f>
        <v/>
      </c>
      <c r="AE280" s="34" t="str">
        <f aca="false">IF(OR($I280="",$E280=""),"",$I280-$E280)</f>
        <v/>
      </c>
      <c r="AF280" s="34" t="str">
        <f aca="false">IF(OR($K280="",$I280=""),"",$K280-$I280)</f>
        <v/>
      </c>
      <c r="AG280" s="34" t="str">
        <f aca="false">IF(OR($L280="",$K280=""),"",$L280-$K280)</f>
        <v/>
      </c>
      <c r="AH280" s="34" t="str">
        <f aca="false">IF(OR($M280="",$L280=""),"",$M280-$L280)</f>
        <v/>
      </c>
      <c r="AI280" s="34" t="str">
        <f aca="false">IF(OR($P280="",$M280=""),"",$P280-$M280)</f>
        <v/>
      </c>
    </row>
    <row r="281" customFormat="false" ht="15" hidden="false" customHeight="false" outlineLevel="0" collapsed="false">
      <c r="A281" s="29"/>
      <c r="B281" s="29"/>
      <c r="C281" s="29"/>
      <c r="D281" s="30"/>
      <c r="E281" s="31"/>
      <c r="F281" s="32" t="str">
        <f aca="false">IF($E281="","",$E281+7*IFERROR(VLOOKUP($B281,DS!$K$2:$M$4,2,FALSE()),12))</f>
        <v/>
      </c>
      <c r="G281" s="32" t="str">
        <f aca="false">IF($E281="","",$E281+7*IFERROR(VLOOKUP($B281,DS!$K$2:$M$4,3,FALSE()),12))</f>
        <v/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3" t="str">
        <f aca="false">IF($A281="","",IF($R281&lt;&gt;"","95 Hủy/hoàn",IF($Q281&lt;&gt;"","99 Đóng",IF($P281&lt;&gt;"","90 Đã giao",IF($O281&lt;&gt;"","80 Đang giao",IF($N281&lt;&gt;"","70 Thông quan",IF($M281&lt;&gt;"","60 Đã xuất",IF($L281&lt;&gt;"","50 QC đạt",IF($K281&lt;&gt;"","40 NCC đã gửi",IF($I281&lt;&gt;"","30 Đã đặt NCC",IF($H281&lt;&gt;"","20 Đã xác nhận","10 Mới")))))))))))</f>
        <v/>
      </c>
      <c r="U281" s="33" t="str">
        <f aca="false">IF($T281="","",IFERROR(VLOOKUP($T281,DS!$A$2:$B$12,2,FALSE()),""))</f>
        <v/>
      </c>
      <c r="V281" s="34" t="str">
        <f aca="true">IF(OR($T281="",LEFT($T281,2)="99",LEFT($T281,2)="95"),"",TODAY()-MAX($E281,$H281:$P281))</f>
        <v/>
      </c>
      <c r="W281" s="34" t="str">
        <f aca="true">IF(AND($E281&lt;&gt;"",$I281="",$R281=""),IF(TODAY()-$E281&gt;1,"⚑",""),"")</f>
        <v/>
      </c>
      <c r="X281" s="34" t="str">
        <f aca="true">IF(AND($J281&lt;&gt;"",$K281="",$R281=""),IF(TODAY()-$J281&gt;2,"⚑",""),"")</f>
        <v/>
      </c>
      <c r="Y281" s="34" t="str">
        <f aca="true">IF(AND($G281&lt;&gt;"",$M281="",$R281=""),IF(AND($G281-TODAY()&lt;=14,$G281&gt;=TODAY()),"⚑",""),"")</f>
        <v/>
      </c>
      <c r="Z281" s="34" t="str">
        <f aca="true">IF(AND($G281&lt;&gt;"",$P281="",$R281=""),IF(TODAY()&gt;$G281,"⚑",""),"")</f>
        <v/>
      </c>
      <c r="AA281" s="34" t="str">
        <f aca="true">IF(AND($E281&lt;&gt;"",$P281="",$R281=""),IF(TODAY()-MAX($E281,$H281,$M281,$S281)&gt;7,"⚑",""),"")</f>
        <v/>
      </c>
      <c r="AB281" s="34" t="str">
        <f aca="false">IF(OR($P281="",$G281=""),"",IF($P281&lt;=$G281,"Có","Không"))</f>
        <v/>
      </c>
      <c r="AC281" s="34" t="str">
        <f aca="false">IF(OR($P281="",$E281=""),"",$P281-$E281)</f>
        <v/>
      </c>
      <c r="AD281" s="35" t="str">
        <f aca="false">IF($A281="","",COUNTIF(CASE!$B$3:$B$202,$A281))</f>
        <v/>
      </c>
      <c r="AE281" s="34" t="str">
        <f aca="false">IF(OR($I281="",$E281=""),"",$I281-$E281)</f>
        <v/>
      </c>
      <c r="AF281" s="34" t="str">
        <f aca="false">IF(OR($K281="",$I281=""),"",$K281-$I281)</f>
        <v/>
      </c>
      <c r="AG281" s="34" t="str">
        <f aca="false">IF(OR($L281="",$K281=""),"",$L281-$K281)</f>
        <v/>
      </c>
      <c r="AH281" s="34" t="str">
        <f aca="false">IF(OR($M281="",$L281=""),"",$M281-$L281)</f>
        <v/>
      </c>
      <c r="AI281" s="34" t="str">
        <f aca="false">IF(OR($P281="",$M281=""),"",$P281-$M281)</f>
        <v/>
      </c>
    </row>
    <row r="282" customFormat="false" ht="15" hidden="false" customHeight="false" outlineLevel="0" collapsed="false">
      <c r="A282" s="29"/>
      <c r="B282" s="29"/>
      <c r="C282" s="29"/>
      <c r="D282" s="30"/>
      <c r="E282" s="31"/>
      <c r="F282" s="32" t="str">
        <f aca="false">IF($E282="","",$E282+7*IFERROR(VLOOKUP($B282,DS!$K$2:$M$4,2,FALSE()),12))</f>
        <v/>
      </c>
      <c r="G282" s="32" t="str">
        <f aca="false">IF($E282="","",$E282+7*IFERROR(VLOOKUP($B282,DS!$K$2:$M$4,3,FALSE()),12))</f>
        <v/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3" t="str">
        <f aca="false">IF($A282="","",IF($R282&lt;&gt;"","95 Hủy/hoàn",IF($Q282&lt;&gt;"","99 Đóng",IF($P282&lt;&gt;"","90 Đã giao",IF($O282&lt;&gt;"","80 Đang giao",IF($N282&lt;&gt;"","70 Thông quan",IF($M282&lt;&gt;"","60 Đã xuất",IF($L282&lt;&gt;"","50 QC đạt",IF($K282&lt;&gt;"","40 NCC đã gửi",IF($I282&lt;&gt;"","30 Đã đặt NCC",IF($H282&lt;&gt;"","20 Đã xác nhận","10 Mới")))))))))))</f>
        <v/>
      </c>
      <c r="U282" s="33" t="str">
        <f aca="false">IF($T282="","",IFERROR(VLOOKUP($T282,DS!$A$2:$B$12,2,FALSE()),""))</f>
        <v/>
      </c>
      <c r="V282" s="34" t="str">
        <f aca="true">IF(OR($T282="",LEFT($T282,2)="99",LEFT($T282,2)="95"),"",TODAY()-MAX($E282,$H282:$P282))</f>
        <v/>
      </c>
      <c r="W282" s="34" t="str">
        <f aca="true">IF(AND($E282&lt;&gt;"",$I282="",$R282=""),IF(TODAY()-$E282&gt;1,"⚑",""),"")</f>
        <v/>
      </c>
      <c r="X282" s="34" t="str">
        <f aca="true">IF(AND($J282&lt;&gt;"",$K282="",$R282=""),IF(TODAY()-$J282&gt;2,"⚑",""),"")</f>
        <v/>
      </c>
      <c r="Y282" s="34" t="str">
        <f aca="true">IF(AND($G282&lt;&gt;"",$M282="",$R282=""),IF(AND($G282-TODAY()&lt;=14,$G282&gt;=TODAY()),"⚑",""),"")</f>
        <v/>
      </c>
      <c r="Z282" s="34" t="str">
        <f aca="true">IF(AND($G282&lt;&gt;"",$P282="",$R282=""),IF(TODAY()&gt;$G282,"⚑",""),"")</f>
        <v/>
      </c>
      <c r="AA282" s="34" t="str">
        <f aca="true">IF(AND($E282&lt;&gt;"",$P282="",$R282=""),IF(TODAY()-MAX($E282,$H282,$M282,$S282)&gt;7,"⚑",""),"")</f>
        <v/>
      </c>
      <c r="AB282" s="34" t="str">
        <f aca="false">IF(OR($P282="",$G282=""),"",IF($P282&lt;=$G282,"Có","Không"))</f>
        <v/>
      </c>
      <c r="AC282" s="34" t="str">
        <f aca="false">IF(OR($P282="",$E282=""),"",$P282-$E282)</f>
        <v/>
      </c>
      <c r="AD282" s="35" t="str">
        <f aca="false">IF($A282="","",COUNTIF(CASE!$B$3:$B$202,$A282))</f>
        <v/>
      </c>
      <c r="AE282" s="34" t="str">
        <f aca="false">IF(OR($I282="",$E282=""),"",$I282-$E282)</f>
        <v/>
      </c>
      <c r="AF282" s="34" t="str">
        <f aca="false">IF(OR($K282="",$I282=""),"",$K282-$I282)</f>
        <v/>
      </c>
      <c r="AG282" s="34" t="str">
        <f aca="false">IF(OR($L282="",$K282=""),"",$L282-$K282)</f>
        <v/>
      </c>
      <c r="AH282" s="34" t="str">
        <f aca="false">IF(OR($M282="",$L282=""),"",$M282-$L282)</f>
        <v/>
      </c>
      <c r="AI282" s="34" t="str">
        <f aca="false">IF(OR($P282="",$M282=""),"",$P282-$M282)</f>
        <v/>
      </c>
    </row>
    <row r="283" customFormat="false" ht="15" hidden="false" customHeight="false" outlineLevel="0" collapsed="false">
      <c r="A283" s="29"/>
      <c r="B283" s="29"/>
      <c r="C283" s="29"/>
      <c r="D283" s="30"/>
      <c r="E283" s="31"/>
      <c r="F283" s="32" t="str">
        <f aca="false">IF($E283="","",$E283+7*IFERROR(VLOOKUP($B283,DS!$K$2:$M$4,2,FALSE()),12))</f>
        <v/>
      </c>
      <c r="G283" s="32" t="str">
        <f aca="false">IF($E283="","",$E283+7*IFERROR(VLOOKUP($B283,DS!$K$2:$M$4,3,FALSE()),12))</f>
        <v/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3" t="str">
        <f aca="false">IF($A283="","",IF($R283&lt;&gt;"","95 Hủy/hoàn",IF($Q283&lt;&gt;"","99 Đóng",IF($P283&lt;&gt;"","90 Đã giao",IF($O283&lt;&gt;"","80 Đang giao",IF($N283&lt;&gt;"","70 Thông quan",IF($M283&lt;&gt;"","60 Đã xuất",IF($L283&lt;&gt;"","50 QC đạt",IF($K283&lt;&gt;"","40 NCC đã gửi",IF($I283&lt;&gt;"","30 Đã đặt NCC",IF($H283&lt;&gt;"","20 Đã xác nhận","10 Mới")))))))))))</f>
        <v/>
      </c>
      <c r="U283" s="33" t="str">
        <f aca="false">IF($T283="","",IFERROR(VLOOKUP($T283,DS!$A$2:$B$12,2,FALSE()),""))</f>
        <v/>
      </c>
      <c r="V283" s="34" t="str">
        <f aca="true">IF(OR($T283="",LEFT($T283,2)="99",LEFT($T283,2)="95"),"",TODAY()-MAX($E283,$H283:$P283))</f>
        <v/>
      </c>
      <c r="W283" s="34" t="str">
        <f aca="true">IF(AND($E283&lt;&gt;"",$I283="",$R283=""),IF(TODAY()-$E283&gt;1,"⚑",""),"")</f>
        <v/>
      </c>
      <c r="X283" s="34" t="str">
        <f aca="true">IF(AND($J283&lt;&gt;"",$K283="",$R283=""),IF(TODAY()-$J283&gt;2,"⚑",""),"")</f>
        <v/>
      </c>
      <c r="Y283" s="34" t="str">
        <f aca="true">IF(AND($G283&lt;&gt;"",$M283="",$R283=""),IF(AND($G283-TODAY()&lt;=14,$G283&gt;=TODAY()),"⚑",""),"")</f>
        <v/>
      </c>
      <c r="Z283" s="34" t="str">
        <f aca="true">IF(AND($G283&lt;&gt;"",$P283="",$R283=""),IF(TODAY()&gt;$G283,"⚑",""),"")</f>
        <v/>
      </c>
      <c r="AA283" s="34" t="str">
        <f aca="true">IF(AND($E283&lt;&gt;"",$P283="",$R283=""),IF(TODAY()-MAX($E283,$H283,$M283,$S283)&gt;7,"⚑",""),"")</f>
        <v/>
      </c>
      <c r="AB283" s="34" t="str">
        <f aca="false">IF(OR($P283="",$G283=""),"",IF($P283&lt;=$G283,"Có","Không"))</f>
        <v/>
      </c>
      <c r="AC283" s="34" t="str">
        <f aca="false">IF(OR($P283="",$E283=""),"",$P283-$E283)</f>
        <v/>
      </c>
      <c r="AD283" s="35" t="str">
        <f aca="false">IF($A283="","",COUNTIF(CASE!$B$3:$B$202,$A283))</f>
        <v/>
      </c>
      <c r="AE283" s="34" t="str">
        <f aca="false">IF(OR($I283="",$E283=""),"",$I283-$E283)</f>
        <v/>
      </c>
      <c r="AF283" s="34" t="str">
        <f aca="false">IF(OR($K283="",$I283=""),"",$K283-$I283)</f>
        <v/>
      </c>
      <c r="AG283" s="34" t="str">
        <f aca="false">IF(OR($L283="",$K283=""),"",$L283-$K283)</f>
        <v/>
      </c>
      <c r="AH283" s="34" t="str">
        <f aca="false">IF(OR($M283="",$L283=""),"",$M283-$L283)</f>
        <v/>
      </c>
      <c r="AI283" s="34" t="str">
        <f aca="false">IF(OR($P283="",$M283=""),"",$P283-$M283)</f>
        <v/>
      </c>
    </row>
    <row r="284" customFormat="false" ht="15" hidden="false" customHeight="false" outlineLevel="0" collapsed="false">
      <c r="A284" s="29"/>
      <c r="B284" s="29"/>
      <c r="C284" s="29"/>
      <c r="D284" s="30"/>
      <c r="E284" s="31"/>
      <c r="F284" s="32" t="str">
        <f aca="false">IF($E284="","",$E284+7*IFERROR(VLOOKUP($B284,DS!$K$2:$M$4,2,FALSE()),12))</f>
        <v/>
      </c>
      <c r="G284" s="32" t="str">
        <f aca="false">IF($E284="","",$E284+7*IFERROR(VLOOKUP($B284,DS!$K$2:$M$4,3,FALSE()),12))</f>
        <v/>
      </c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3" t="str">
        <f aca="false">IF($A284="","",IF($R284&lt;&gt;"","95 Hủy/hoàn",IF($Q284&lt;&gt;"","99 Đóng",IF($P284&lt;&gt;"","90 Đã giao",IF($O284&lt;&gt;"","80 Đang giao",IF($N284&lt;&gt;"","70 Thông quan",IF($M284&lt;&gt;"","60 Đã xuất",IF($L284&lt;&gt;"","50 QC đạt",IF($K284&lt;&gt;"","40 NCC đã gửi",IF($I284&lt;&gt;"","30 Đã đặt NCC",IF($H284&lt;&gt;"","20 Đã xác nhận","10 Mới")))))))))))</f>
        <v/>
      </c>
      <c r="U284" s="33" t="str">
        <f aca="false">IF($T284="","",IFERROR(VLOOKUP($T284,DS!$A$2:$B$12,2,FALSE()),""))</f>
        <v/>
      </c>
      <c r="V284" s="34" t="str">
        <f aca="true">IF(OR($T284="",LEFT($T284,2)="99",LEFT($T284,2)="95"),"",TODAY()-MAX($E284,$H284:$P284))</f>
        <v/>
      </c>
      <c r="W284" s="34" t="str">
        <f aca="true">IF(AND($E284&lt;&gt;"",$I284="",$R284=""),IF(TODAY()-$E284&gt;1,"⚑",""),"")</f>
        <v/>
      </c>
      <c r="X284" s="34" t="str">
        <f aca="true">IF(AND($J284&lt;&gt;"",$K284="",$R284=""),IF(TODAY()-$J284&gt;2,"⚑",""),"")</f>
        <v/>
      </c>
      <c r="Y284" s="34" t="str">
        <f aca="true">IF(AND($G284&lt;&gt;"",$M284="",$R284=""),IF(AND($G284-TODAY()&lt;=14,$G284&gt;=TODAY()),"⚑",""),"")</f>
        <v/>
      </c>
      <c r="Z284" s="34" t="str">
        <f aca="true">IF(AND($G284&lt;&gt;"",$P284="",$R284=""),IF(TODAY()&gt;$G284,"⚑",""),"")</f>
        <v/>
      </c>
      <c r="AA284" s="34" t="str">
        <f aca="true">IF(AND($E284&lt;&gt;"",$P284="",$R284=""),IF(TODAY()-MAX($E284,$H284,$M284,$S284)&gt;7,"⚑",""),"")</f>
        <v/>
      </c>
      <c r="AB284" s="34" t="str">
        <f aca="false">IF(OR($P284="",$G284=""),"",IF($P284&lt;=$G284,"Có","Không"))</f>
        <v/>
      </c>
      <c r="AC284" s="34" t="str">
        <f aca="false">IF(OR($P284="",$E284=""),"",$P284-$E284)</f>
        <v/>
      </c>
      <c r="AD284" s="35" t="str">
        <f aca="false">IF($A284="","",COUNTIF(CASE!$B$3:$B$202,$A284))</f>
        <v/>
      </c>
      <c r="AE284" s="34" t="str">
        <f aca="false">IF(OR($I284="",$E284=""),"",$I284-$E284)</f>
        <v/>
      </c>
      <c r="AF284" s="34" t="str">
        <f aca="false">IF(OR($K284="",$I284=""),"",$K284-$I284)</f>
        <v/>
      </c>
      <c r="AG284" s="34" t="str">
        <f aca="false">IF(OR($L284="",$K284=""),"",$L284-$K284)</f>
        <v/>
      </c>
      <c r="AH284" s="34" t="str">
        <f aca="false">IF(OR($M284="",$L284=""),"",$M284-$L284)</f>
        <v/>
      </c>
      <c r="AI284" s="34" t="str">
        <f aca="false">IF(OR($P284="",$M284=""),"",$P284-$M284)</f>
        <v/>
      </c>
    </row>
    <row r="285" customFormat="false" ht="15" hidden="false" customHeight="false" outlineLevel="0" collapsed="false">
      <c r="A285" s="29"/>
      <c r="B285" s="29"/>
      <c r="C285" s="29"/>
      <c r="D285" s="30"/>
      <c r="E285" s="31"/>
      <c r="F285" s="32" t="str">
        <f aca="false">IF($E285="","",$E285+7*IFERROR(VLOOKUP($B285,DS!$K$2:$M$4,2,FALSE()),12))</f>
        <v/>
      </c>
      <c r="G285" s="32" t="str">
        <f aca="false">IF($E285="","",$E285+7*IFERROR(VLOOKUP($B285,DS!$K$2:$M$4,3,FALSE()),12))</f>
        <v/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3" t="str">
        <f aca="false">IF($A285="","",IF($R285&lt;&gt;"","95 Hủy/hoàn",IF($Q285&lt;&gt;"","99 Đóng",IF($P285&lt;&gt;"","90 Đã giao",IF($O285&lt;&gt;"","80 Đang giao",IF($N285&lt;&gt;"","70 Thông quan",IF($M285&lt;&gt;"","60 Đã xuất",IF($L285&lt;&gt;"","50 QC đạt",IF($K285&lt;&gt;"","40 NCC đã gửi",IF($I285&lt;&gt;"","30 Đã đặt NCC",IF($H285&lt;&gt;"","20 Đã xác nhận","10 Mới")))))))))))</f>
        <v/>
      </c>
      <c r="U285" s="33" t="str">
        <f aca="false">IF($T285="","",IFERROR(VLOOKUP($T285,DS!$A$2:$B$12,2,FALSE()),""))</f>
        <v/>
      </c>
      <c r="V285" s="34" t="str">
        <f aca="true">IF(OR($T285="",LEFT($T285,2)="99",LEFT($T285,2)="95"),"",TODAY()-MAX($E285,$H285:$P285))</f>
        <v/>
      </c>
      <c r="W285" s="34" t="str">
        <f aca="true">IF(AND($E285&lt;&gt;"",$I285="",$R285=""),IF(TODAY()-$E285&gt;1,"⚑",""),"")</f>
        <v/>
      </c>
      <c r="X285" s="34" t="str">
        <f aca="true">IF(AND($J285&lt;&gt;"",$K285="",$R285=""),IF(TODAY()-$J285&gt;2,"⚑",""),"")</f>
        <v/>
      </c>
      <c r="Y285" s="34" t="str">
        <f aca="true">IF(AND($G285&lt;&gt;"",$M285="",$R285=""),IF(AND($G285-TODAY()&lt;=14,$G285&gt;=TODAY()),"⚑",""),"")</f>
        <v/>
      </c>
      <c r="Z285" s="34" t="str">
        <f aca="true">IF(AND($G285&lt;&gt;"",$P285="",$R285=""),IF(TODAY()&gt;$G285,"⚑",""),"")</f>
        <v/>
      </c>
      <c r="AA285" s="34" t="str">
        <f aca="true">IF(AND($E285&lt;&gt;"",$P285="",$R285=""),IF(TODAY()-MAX($E285,$H285,$M285,$S285)&gt;7,"⚑",""),"")</f>
        <v/>
      </c>
      <c r="AB285" s="34" t="str">
        <f aca="false">IF(OR($P285="",$G285=""),"",IF($P285&lt;=$G285,"Có","Không"))</f>
        <v/>
      </c>
      <c r="AC285" s="34" t="str">
        <f aca="false">IF(OR($P285="",$E285=""),"",$P285-$E285)</f>
        <v/>
      </c>
      <c r="AD285" s="35" t="str">
        <f aca="false">IF($A285="","",COUNTIF(CASE!$B$3:$B$202,$A285))</f>
        <v/>
      </c>
      <c r="AE285" s="34" t="str">
        <f aca="false">IF(OR($I285="",$E285=""),"",$I285-$E285)</f>
        <v/>
      </c>
      <c r="AF285" s="34" t="str">
        <f aca="false">IF(OR($K285="",$I285=""),"",$K285-$I285)</f>
        <v/>
      </c>
      <c r="AG285" s="34" t="str">
        <f aca="false">IF(OR($L285="",$K285=""),"",$L285-$K285)</f>
        <v/>
      </c>
      <c r="AH285" s="34" t="str">
        <f aca="false">IF(OR($M285="",$L285=""),"",$M285-$L285)</f>
        <v/>
      </c>
      <c r="AI285" s="34" t="str">
        <f aca="false">IF(OR($P285="",$M285=""),"",$P285-$M285)</f>
        <v/>
      </c>
    </row>
    <row r="286" customFormat="false" ht="15" hidden="false" customHeight="false" outlineLevel="0" collapsed="false">
      <c r="A286" s="29"/>
      <c r="B286" s="29"/>
      <c r="C286" s="29"/>
      <c r="D286" s="30"/>
      <c r="E286" s="31"/>
      <c r="F286" s="32" t="str">
        <f aca="false">IF($E286="","",$E286+7*IFERROR(VLOOKUP($B286,DS!$K$2:$M$4,2,FALSE()),12))</f>
        <v/>
      </c>
      <c r="G286" s="32" t="str">
        <f aca="false">IF($E286="","",$E286+7*IFERROR(VLOOKUP($B286,DS!$K$2:$M$4,3,FALSE()),12))</f>
        <v/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3" t="str">
        <f aca="false">IF($A286="","",IF($R286&lt;&gt;"","95 Hủy/hoàn",IF($Q286&lt;&gt;"","99 Đóng",IF($P286&lt;&gt;"","90 Đã giao",IF($O286&lt;&gt;"","80 Đang giao",IF($N286&lt;&gt;"","70 Thông quan",IF($M286&lt;&gt;"","60 Đã xuất",IF($L286&lt;&gt;"","50 QC đạt",IF($K286&lt;&gt;"","40 NCC đã gửi",IF($I286&lt;&gt;"","30 Đã đặt NCC",IF($H286&lt;&gt;"","20 Đã xác nhận","10 Mới")))))))))))</f>
        <v/>
      </c>
      <c r="U286" s="33" t="str">
        <f aca="false">IF($T286="","",IFERROR(VLOOKUP($T286,DS!$A$2:$B$12,2,FALSE()),""))</f>
        <v/>
      </c>
      <c r="V286" s="34" t="str">
        <f aca="true">IF(OR($T286="",LEFT($T286,2)="99",LEFT($T286,2)="95"),"",TODAY()-MAX($E286,$H286:$P286))</f>
        <v/>
      </c>
      <c r="W286" s="34" t="str">
        <f aca="true">IF(AND($E286&lt;&gt;"",$I286="",$R286=""),IF(TODAY()-$E286&gt;1,"⚑",""),"")</f>
        <v/>
      </c>
      <c r="X286" s="34" t="str">
        <f aca="true">IF(AND($J286&lt;&gt;"",$K286="",$R286=""),IF(TODAY()-$J286&gt;2,"⚑",""),"")</f>
        <v/>
      </c>
      <c r="Y286" s="34" t="str">
        <f aca="true">IF(AND($G286&lt;&gt;"",$M286="",$R286=""),IF(AND($G286-TODAY()&lt;=14,$G286&gt;=TODAY()),"⚑",""),"")</f>
        <v/>
      </c>
      <c r="Z286" s="34" t="str">
        <f aca="true">IF(AND($G286&lt;&gt;"",$P286="",$R286=""),IF(TODAY()&gt;$G286,"⚑",""),"")</f>
        <v/>
      </c>
      <c r="AA286" s="34" t="str">
        <f aca="true">IF(AND($E286&lt;&gt;"",$P286="",$R286=""),IF(TODAY()-MAX($E286,$H286,$M286,$S286)&gt;7,"⚑",""),"")</f>
        <v/>
      </c>
      <c r="AB286" s="34" t="str">
        <f aca="false">IF(OR($P286="",$G286=""),"",IF($P286&lt;=$G286,"Có","Không"))</f>
        <v/>
      </c>
      <c r="AC286" s="34" t="str">
        <f aca="false">IF(OR($P286="",$E286=""),"",$P286-$E286)</f>
        <v/>
      </c>
      <c r="AD286" s="35" t="str">
        <f aca="false">IF($A286="","",COUNTIF(CASE!$B$3:$B$202,$A286))</f>
        <v/>
      </c>
      <c r="AE286" s="34" t="str">
        <f aca="false">IF(OR($I286="",$E286=""),"",$I286-$E286)</f>
        <v/>
      </c>
      <c r="AF286" s="34" t="str">
        <f aca="false">IF(OR($K286="",$I286=""),"",$K286-$I286)</f>
        <v/>
      </c>
      <c r="AG286" s="34" t="str">
        <f aca="false">IF(OR($L286="",$K286=""),"",$L286-$K286)</f>
        <v/>
      </c>
      <c r="AH286" s="34" t="str">
        <f aca="false">IF(OR($M286="",$L286=""),"",$M286-$L286)</f>
        <v/>
      </c>
      <c r="AI286" s="34" t="str">
        <f aca="false">IF(OR($P286="",$M286=""),"",$P286-$M286)</f>
        <v/>
      </c>
    </row>
    <row r="287" customFormat="false" ht="15" hidden="false" customHeight="false" outlineLevel="0" collapsed="false">
      <c r="A287" s="29"/>
      <c r="B287" s="29"/>
      <c r="C287" s="29"/>
      <c r="D287" s="30"/>
      <c r="E287" s="31"/>
      <c r="F287" s="32" t="str">
        <f aca="false">IF($E287="","",$E287+7*IFERROR(VLOOKUP($B287,DS!$K$2:$M$4,2,FALSE()),12))</f>
        <v/>
      </c>
      <c r="G287" s="32" t="str">
        <f aca="false">IF($E287="","",$E287+7*IFERROR(VLOOKUP($B287,DS!$K$2:$M$4,3,FALSE()),12))</f>
        <v/>
      </c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3" t="str">
        <f aca="false">IF($A287="","",IF($R287&lt;&gt;"","95 Hủy/hoàn",IF($Q287&lt;&gt;"","99 Đóng",IF($P287&lt;&gt;"","90 Đã giao",IF($O287&lt;&gt;"","80 Đang giao",IF($N287&lt;&gt;"","70 Thông quan",IF($M287&lt;&gt;"","60 Đã xuất",IF($L287&lt;&gt;"","50 QC đạt",IF($K287&lt;&gt;"","40 NCC đã gửi",IF($I287&lt;&gt;"","30 Đã đặt NCC",IF($H287&lt;&gt;"","20 Đã xác nhận","10 Mới")))))))))))</f>
        <v/>
      </c>
      <c r="U287" s="33" t="str">
        <f aca="false">IF($T287="","",IFERROR(VLOOKUP($T287,DS!$A$2:$B$12,2,FALSE()),""))</f>
        <v/>
      </c>
      <c r="V287" s="34" t="str">
        <f aca="true">IF(OR($T287="",LEFT($T287,2)="99",LEFT($T287,2)="95"),"",TODAY()-MAX($E287,$H287:$P287))</f>
        <v/>
      </c>
      <c r="W287" s="34" t="str">
        <f aca="true">IF(AND($E287&lt;&gt;"",$I287="",$R287=""),IF(TODAY()-$E287&gt;1,"⚑",""),"")</f>
        <v/>
      </c>
      <c r="X287" s="34" t="str">
        <f aca="true">IF(AND($J287&lt;&gt;"",$K287="",$R287=""),IF(TODAY()-$J287&gt;2,"⚑",""),"")</f>
        <v/>
      </c>
      <c r="Y287" s="34" t="str">
        <f aca="true">IF(AND($G287&lt;&gt;"",$M287="",$R287=""),IF(AND($G287-TODAY()&lt;=14,$G287&gt;=TODAY()),"⚑",""),"")</f>
        <v/>
      </c>
      <c r="Z287" s="34" t="str">
        <f aca="true">IF(AND($G287&lt;&gt;"",$P287="",$R287=""),IF(TODAY()&gt;$G287,"⚑",""),"")</f>
        <v/>
      </c>
      <c r="AA287" s="34" t="str">
        <f aca="true">IF(AND($E287&lt;&gt;"",$P287="",$R287=""),IF(TODAY()-MAX($E287,$H287,$M287,$S287)&gt;7,"⚑",""),"")</f>
        <v/>
      </c>
      <c r="AB287" s="34" t="str">
        <f aca="false">IF(OR($P287="",$G287=""),"",IF($P287&lt;=$G287,"Có","Không"))</f>
        <v/>
      </c>
      <c r="AC287" s="34" t="str">
        <f aca="false">IF(OR($P287="",$E287=""),"",$P287-$E287)</f>
        <v/>
      </c>
      <c r="AD287" s="35" t="str">
        <f aca="false">IF($A287="","",COUNTIF(CASE!$B$3:$B$202,$A287))</f>
        <v/>
      </c>
      <c r="AE287" s="34" t="str">
        <f aca="false">IF(OR($I287="",$E287=""),"",$I287-$E287)</f>
        <v/>
      </c>
      <c r="AF287" s="34" t="str">
        <f aca="false">IF(OR($K287="",$I287=""),"",$K287-$I287)</f>
        <v/>
      </c>
      <c r="AG287" s="34" t="str">
        <f aca="false">IF(OR($L287="",$K287=""),"",$L287-$K287)</f>
        <v/>
      </c>
      <c r="AH287" s="34" t="str">
        <f aca="false">IF(OR($M287="",$L287=""),"",$M287-$L287)</f>
        <v/>
      </c>
      <c r="AI287" s="34" t="str">
        <f aca="false">IF(OR($P287="",$M287=""),"",$P287-$M287)</f>
        <v/>
      </c>
    </row>
    <row r="288" customFormat="false" ht="15" hidden="false" customHeight="false" outlineLevel="0" collapsed="false">
      <c r="A288" s="29"/>
      <c r="B288" s="29"/>
      <c r="C288" s="29"/>
      <c r="D288" s="30"/>
      <c r="E288" s="31"/>
      <c r="F288" s="32" t="str">
        <f aca="false">IF($E288="","",$E288+7*IFERROR(VLOOKUP($B288,DS!$K$2:$M$4,2,FALSE()),12))</f>
        <v/>
      </c>
      <c r="G288" s="32" t="str">
        <f aca="false">IF($E288="","",$E288+7*IFERROR(VLOOKUP($B288,DS!$K$2:$M$4,3,FALSE()),12))</f>
        <v/>
      </c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3" t="str">
        <f aca="false">IF($A288="","",IF($R288&lt;&gt;"","95 Hủy/hoàn",IF($Q288&lt;&gt;"","99 Đóng",IF($P288&lt;&gt;"","90 Đã giao",IF($O288&lt;&gt;"","80 Đang giao",IF($N288&lt;&gt;"","70 Thông quan",IF($M288&lt;&gt;"","60 Đã xuất",IF($L288&lt;&gt;"","50 QC đạt",IF($K288&lt;&gt;"","40 NCC đã gửi",IF($I288&lt;&gt;"","30 Đã đặt NCC",IF($H288&lt;&gt;"","20 Đã xác nhận","10 Mới")))))))))))</f>
        <v/>
      </c>
      <c r="U288" s="33" t="str">
        <f aca="false">IF($T288="","",IFERROR(VLOOKUP($T288,DS!$A$2:$B$12,2,FALSE()),""))</f>
        <v/>
      </c>
      <c r="V288" s="34" t="str">
        <f aca="true">IF(OR($T288="",LEFT($T288,2)="99",LEFT($T288,2)="95"),"",TODAY()-MAX($E288,$H288:$P288))</f>
        <v/>
      </c>
      <c r="W288" s="34" t="str">
        <f aca="true">IF(AND($E288&lt;&gt;"",$I288="",$R288=""),IF(TODAY()-$E288&gt;1,"⚑",""),"")</f>
        <v/>
      </c>
      <c r="X288" s="34" t="str">
        <f aca="true">IF(AND($J288&lt;&gt;"",$K288="",$R288=""),IF(TODAY()-$J288&gt;2,"⚑",""),"")</f>
        <v/>
      </c>
      <c r="Y288" s="34" t="str">
        <f aca="true">IF(AND($G288&lt;&gt;"",$M288="",$R288=""),IF(AND($G288-TODAY()&lt;=14,$G288&gt;=TODAY()),"⚑",""),"")</f>
        <v/>
      </c>
      <c r="Z288" s="34" t="str">
        <f aca="true">IF(AND($G288&lt;&gt;"",$P288="",$R288=""),IF(TODAY()&gt;$G288,"⚑",""),"")</f>
        <v/>
      </c>
      <c r="AA288" s="34" t="str">
        <f aca="true">IF(AND($E288&lt;&gt;"",$P288="",$R288=""),IF(TODAY()-MAX($E288,$H288,$M288,$S288)&gt;7,"⚑",""),"")</f>
        <v/>
      </c>
      <c r="AB288" s="34" t="str">
        <f aca="false">IF(OR($P288="",$G288=""),"",IF($P288&lt;=$G288,"Có","Không"))</f>
        <v/>
      </c>
      <c r="AC288" s="34" t="str">
        <f aca="false">IF(OR($P288="",$E288=""),"",$P288-$E288)</f>
        <v/>
      </c>
      <c r="AD288" s="35" t="str">
        <f aca="false">IF($A288="","",COUNTIF(CASE!$B$3:$B$202,$A288))</f>
        <v/>
      </c>
      <c r="AE288" s="34" t="str">
        <f aca="false">IF(OR($I288="",$E288=""),"",$I288-$E288)</f>
        <v/>
      </c>
      <c r="AF288" s="34" t="str">
        <f aca="false">IF(OR($K288="",$I288=""),"",$K288-$I288)</f>
        <v/>
      </c>
      <c r="AG288" s="34" t="str">
        <f aca="false">IF(OR($L288="",$K288=""),"",$L288-$K288)</f>
        <v/>
      </c>
      <c r="AH288" s="34" t="str">
        <f aca="false">IF(OR($M288="",$L288=""),"",$M288-$L288)</f>
        <v/>
      </c>
      <c r="AI288" s="34" t="str">
        <f aca="false">IF(OR($P288="",$M288=""),"",$P288-$M288)</f>
        <v/>
      </c>
    </row>
    <row r="289" customFormat="false" ht="15" hidden="false" customHeight="false" outlineLevel="0" collapsed="false">
      <c r="A289" s="29"/>
      <c r="B289" s="29"/>
      <c r="C289" s="29"/>
      <c r="D289" s="30"/>
      <c r="E289" s="31"/>
      <c r="F289" s="32" t="str">
        <f aca="false">IF($E289="","",$E289+7*IFERROR(VLOOKUP($B289,DS!$K$2:$M$4,2,FALSE()),12))</f>
        <v/>
      </c>
      <c r="G289" s="32" t="str">
        <f aca="false">IF($E289="","",$E289+7*IFERROR(VLOOKUP($B289,DS!$K$2:$M$4,3,FALSE()),12))</f>
        <v/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3" t="str">
        <f aca="false">IF($A289="","",IF($R289&lt;&gt;"","95 Hủy/hoàn",IF($Q289&lt;&gt;"","99 Đóng",IF($P289&lt;&gt;"","90 Đã giao",IF($O289&lt;&gt;"","80 Đang giao",IF($N289&lt;&gt;"","70 Thông quan",IF($M289&lt;&gt;"","60 Đã xuất",IF($L289&lt;&gt;"","50 QC đạt",IF($K289&lt;&gt;"","40 NCC đã gửi",IF($I289&lt;&gt;"","30 Đã đặt NCC",IF($H289&lt;&gt;"","20 Đã xác nhận","10 Mới")))))))))))</f>
        <v/>
      </c>
      <c r="U289" s="33" t="str">
        <f aca="false">IF($T289="","",IFERROR(VLOOKUP($T289,DS!$A$2:$B$12,2,FALSE()),""))</f>
        <v/>
      </c>
      <c r="V289" s="34" t="str">
        <f aca="true">IF(OR($T289="",LEFT($T289,2)="99",LEFT($T289,2)="95"),"",TODAY()-MAX($E289,$H289:$P289))</f>
        <v/>
      </c>
      <c r="W289" s="34" t="str">
        <f aca="true">IF(AND($E289&lt;&gt;"",$I289="",$R289=""),IF(TODAY()-$E289&gt;1,"⚑",""),"")</f>
        <v/>
      </c>
      <c r="X289" s="34" t="str">
        <f aca="true">IF(AND($J289&lt;&gt;"",$K289="",$R289=""),IF(TODAY()-$J289&gt;2,"⚑",""),"")</f>
        <v/>
      </c>
      <c r="Y289" s="34" t="str">
        <f aca="true">IF(AND($G289&lt;&gt;"",$M289="",$R289=""),IF(AND($G289-TODAY()&lt;=14,$G289&gt;=TODAY()),"⚑",""),"")</f>
        <v/>
      </c>
      <c r="Z289" s="34" t="str">
        <f aca="true">IF(AND($G289&lt;&gt;"",$P289="",$R289=""),IF(TODAY()&gt;$G289,"⚑",""),"")</f>
        <v/>
      </c>
      <c r="AA289" s="34" t="str">
        <f aca="true">IF(AND($E289&lt;&gt;"",$P289="",$R289=""),IF(TODAY()-MAX($E289,$H289,$M289,$S289)&gt;7,"⚑",""),"")</f>
        <v/>
      </c>
      <c r="AB289" s="34" t="str">
        <f aca="false">IF(OR($P289="",$G289=""),"",IF($P289&lt;=$G289,"Có","Không"))</f>
        <v/>
      </c>
      <c r="AC289" s="34" t="str">
        <f aca="false">IF(OR($P289="",$E289=""),"",$P289-$E289)</f>
        <v/>
      </c>
      <c r="AD289" s="35" t="str">
        <f aca="false">IF($A289="","",COUNTIF(CASE!$B$3:$B$202,$A289))</f>
        <v/>
      </c>
      <c r="AE289" s="34" t="str">
        <f aca="false">IF(OR($I289="",$E289=""),"",$I289-$E289)</f>
        <v/>
      </c>
      <c r="AF289" s="34" t="str">
        <f aca="false">IF(OR($K289="",$I289=""),"",$K289-$I289)</f>
        <v/>
      </c>
      <c r="AG289" s="34" t="str">
        <f aca="false">IF(OR($L289="",$K289=""),"",$L289-$K289)</f>
        <v/>
      </c>
      <c r="AH289" s="34" t="str">
        <f aca="false">IF(OR($M289="",$L289=""),"",$M289-$L289)</f>
        <v/>
      </c>
      <c r="AI289" s="34" t="str">
        <f aca="false">IF(OR($P289="",$M289=""),"",$P289-$M289)</f>
        <v/>
      </c>
    </row>
    <row r="290" customFormat="false" ht="15" hidden="false" customHeight="false" outlineLevel="0" collapsed="false">
      <c r="A290" s="29"/>
      <c r="B290" s="29"/>
      <c r="C290" s="29"/>
      <c r="D290" s="30"/>
      <c r="E290" s="31"/>
      <c r="F290" s="32" t="str">
        <f aca="false">IF($E290="","",$E290+7*IFERROR(VLOOKUP($B290,DS!$K$2:$M$4,2,FALSE()),12))</f>
        <v/>
      </c>
      <c r="G290" s="32" t="str">
        <f aca="false">IF($E290="","",$E290+7*IFERROR(VLOOKUP($B290,DS!$K$2:$M$4,3,FALSE()),12))</f>
        <v/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3" t="str">
        <f aca="false">IF($A290="","",IF($R290&lt;&gt;"","95 Hủy/hoàn",IF($Q290&lt;&gt;"","99 Đóng",IF($P290&lt;&gt;"","90 Đã giao",IF($O290&lt;&gt;"","80 Đang giao",IF($N290&lt;&gt;"","70 Thông quan",IF($M290&lt;&gt;"","60 Đã xuất",IF($L290&lt;&gt;"","50 QC đạt",IF($K290&lt;&gt;"","40 NCC đã gửi",IF($I290&lt;&gt;"","30 Đã đặt NCC",IF($H290&lt;&gt;"","20 Đã xác nhận","10 Mới")))))))))))</f>
        <v/>
      </c>
      <c r="U290" s="33" t="str">
        <f aca="false">IF($T290="","",IFERROR(VLOOKUP($T290,DS!$A$2:$B$12,2,FALSE()),""))</f>
        <v/>
      </c>
      <c r="V290" s="34" t="str">
        <f aca="true">IF(OR($T290="",LEFT($T290,2)="99",LEFT($T290,2)="95"),"",TODAY()-MAX($E290,$H290:$P290))</f>
        <v/>
      </c>
      <c r="W290" s="34" t="str">
        <f aca="true">IF(AND($E290&lt;&gt;"",$I290="",$R290=""),IF(TODAY()-$E290&gt;1,"⚑",""),"")</f>
        <v/>
      </c>
      <c r="X290" s="34" t="str">
        <f aca="true">IF(AND($J290&lt;&gt;"",$K290="",$R290=""),IF(TODAY()-$J290&gt;2,"⚑",""),"")</f>
        <v/>
      </c>
      <c r="Y290" s="34" t="str">
        <f aca="true">IF(AND($G290&lt;&gt;"",$M290="",$R290=""),IF(AND($G290-TODAY()&lt;=14,$G290&gt;=TODAY()),"⚑",""),"")</f>
        <v/>
      </c>
      <c r="Z290" s="34" t="str">
        <f aca="true">IF(AND($G290&lt;&gt;"",$P290="",$R290=""),IF(TODAY()&gt;$G290,"⚑",""),"")</f>
        <v/>
      </c>
      <c r="AA290" s="34" t="str">
        <f aca="true">IF(AND($E290&lt;&gt;"",$P290="",$R290=""),IF(TODAY()-MAX($E290,$H290,$M290,$S290)&gt;7,"⚑",""),"")</f>
        <v/>
      </c>
      <c r="AB290" s="34" t="str">
        <f aca="false">IF(OR($P290="",$G290=""),"",IF($P290&lt;=$G290,"Có","Không"))</f>
        <v/>
      </c>
      <c r="AC290" s="34" t="str">
        <f aca="false">IF(OR($P290="",$E290=""),"",$P290-$E290)</f>
        <v/>
      </c>
      <c r="AD290" s="35" t="str">
        <f aca="false">IF($A290="","",COUNTIF(CASE!$B$3:$B$202,$A290))</f>
        <v/>
      </c>
      <c r="AE290" s="34" t="str">
        <f aca="false">IF(OR($I290="",$E290=""),"",$I290-$E290)</f>
        <v/>
      </c>
      <c r="AF290" s="34" t="str">
        <f aca="false">IF(OR($K290="",$I290=""),"",$K290-$I290)</f>
        <v/>
      </c>
      <c r="AG290" s="34" t="str">
        <f aca="false">IF(OR($L290="",$K290=""),"",$L290-$K290)</f>
        <v/>
      </c>
      <c r="AH290" s="34" t="str">
        <f aca="false">IF(OR($M290="",$L290=""),"",$M290-$L290)</f>
        <v/>
      </c>
      <c r="AI290" s="34" t="str">
        <f aca="false">IF(OR($P290="",$M290=""),"",$P290-$M290)</f>
        <v/>
      </c>
    </row>
    <row r="291" customFormat="false" ht="15" hidden="false" customHeight="false" outlineLevel="0" collapsed="false">
      <c r="A291" s="29"/>
      <c r="B291" s="29"/>
      <c r="C291" s="29"/>
      <c r="D291" s="30"/>
      <c r="E291" s="31"/>
      <c r="F291" s="32" t="str">
        <f aca="false">IF($E291="","",$E291+7*IFERROR(VLOOKUP($B291,DS!$K$2:$M$4,2,FALSE()),12))</f>
        <v/>
      </c>
      <c r="G291" s="32" t="str">
        <f aca="false">IF($E291="","",$E291+7*IFERROR(VLOOKUP($B291,DS!$K$2:$M$4,3,FALSE()),12))</f>
        <v/>
      </c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3" t="str">
        <f aca="false">IF($A291="","",IF($R291&lt;&gt;"","95 Hủy/hoàn",IF($Q291&lt;&gt;"","99 Đóng",IF($P291&lt;&gt;"","90 Đã giao",IF($O291&lt;&gt;"","80 Đang giao",IF($N291&lt;&gt;"","70 Thông quan",IF($M291&lt;&gt;"","60 Đã xuất",IF($L291&lt;&gt;"","50 QC đạt",IF($K291&lt;&gt;"","40 NCC đã gửi",IF($I291&lt;&gt;"","30 Đã đặt NCC",IF($H291&lt;&gt;"","20 Đã xác nhận","10 Mới")))))))))))</f>
        <v/>
      </c>
      <c r="U291" s="33" t="str">
        <f aca="false">IF($T291="","",IFERROR(VLOOKUP($T291,DS!$A$2:$B$12,2,FALSE()),""))</f>
        <v/>
      </c>
      <c r="V291" s="34" t="str">
        <f aca="true">IF(OR($T291="",LEFT($T291,2)="99",LEFT($T291,2)="95"),"",TODAY()-MAX($E291,$H291:$P291))</f>
        <v/>
      </c>
      <c r="W291" s="34" t="str">
        <f aca="true">IF(AND($E291&lt;&gt;"",$I291="",$R291=""),IF(TODAY()-$E291&gt;1,"⚑",""),"")</f>
        <v/>
      </c>
      <c r="X291" s="34" t="str">
        <f aca="true">IF(AND($J291&lt;&gt;"",$K291="",$R291=""),IF(TODAY()-$J291&gt;2,"⚑",""),"")</f>
        <v/>
      </c>
      <c r="Y291" s="34" t="str">
        <f aca="true">IF(AND($G291&lt;&gt;"",$M291="",$R291=""),IF(AND($G291-TODAY()&lt;=14,$G291&gt;=TODAY()),"⚑",""),"")</f>
        <v/>
      </c>
      <c r="Z291" s="34" t="str">
        <f aca="true">IF(AND($G291&lt;&gt;"",$P291="",$R291=""),IF(TODAY()&gt;$G291,"⚑",""),"")</f>
        <v/>
      </c>
      <c r="AA291" s="34" t="str">
        <f aca="true">IF(AND($E291&lt;&gt;"",$P291="",$R291=""),IF(TODAY()-MAX($E291,$H291,$M291,$S291)&gt;7,"⚑",""),"")</f>
        <v/>
      </c>
      <c r="AB291" s="34" t="str">
        <f aca="false">IF(OR($P291="",$G291=""),"",IF($P291&lt;=$G291,"Có","Không"))</f>
        <v/>
      </c>
      <c r="AC291" s="34" t="str">
        <f aca="false">IF(OR($P291="",$E291=""),"",$P291-$E291)</f>
        <v/>
      </c>
      <c r="AD291" s="35" t="str">
        <f aca="false">IF($A291="","",COUNTIF(CASE!$B$3:$B$202,$A291))</f>
        <v/>
      </c>
      <c r="AE291" s="34" t="str">
        <f aca="false">IF(OR($I291="",$E291=""),"",$I291-$E291)</f>
        <v/>
      </c>
      <c r="AF291" s="34" t="str">
        <f aca="false">IF(OR($K291="",$I291=""),"",$K291-$I291)</f>
        <v/>
      </c>
      <c r="AG291" s="34" t="str">
        <f aca="false">IF(OR($L291="",$K291=""),"",$L291-$K291)</f>
        <v/>
      </c>
      <c r="AH291" s="34" t="str">
        <f aca="false">IF(OR($M291="",$L291=""),"",$M291-$L291)</f>
        <v/>
      </c>
      <c r="AI291" s="34" t="str">
        <f aca="false">IF(OR($P291="",$M291=""),"",$P291-$M291)</f>
        <v/>
      </c>
    </row>
    <row r="292" customFormat="false" ht="15" hidden="false" customHeight="false" outlineLevel="0" collapsed="false">
      <c r="A292" s="29"/>
      <c r="B292" s="29"/>
      <c r="C292" s="29"/>
      <c r="D292" s="30"/>
      <c r="E292" s="31"/>
      <c r="F292" s="32" t="str">
        <f aca="false">IF($E292="","",$E292+7*IFERROR(VLOOKUP($B292,DS!$K$2:$M$4,2,FALSE()),12))</f>
        <v/>
      </c>
      <c r="G292" s="32" t="str">
        <f aca="false">IF($E292="","",$E292+7*IFERROR(VLOOKUP($B292,DS!$K$2:$M$4,3,FALSE()),12))</f>
        <v/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3" t="str">
        <f aca="false">IF($A292="","",IF($R292&lt;&gt;"","95 Hủy/hoàn",IF($Q292&lt;&gt;"","99 Đóng",IF($P292&lt;&gt;"","90 Đã giao",IF($O292&lt;&gt;"","80 Đang giao",IF($N292&lt;&gt;"","70 Thông quan",IF($M292&lt;&gt;"","60 Đã xuất",IF($L292&lt;&gt;"","50 QC đạt",IF($K292&lt;&gt;"","40 NCC đã gửi",IF($I292&lt;&gt;"","30 Đã đặt NCC",IF($H292&lt;&gt;"","20 Đã xác nhận","10 Mới")))))))))))</f>
        <v/>
      </c>
      <c r="U292" s="33" t="str">
        <f aca="false">IF($T292="","",IFERROR(VLOOKUP($T292,DS!$A$2:$B$12,2,FALSE()),""))</f>
        <v/>
      </c>
      <c r="V292" s="34" t="str">
        <f aca="true">IF(OR($T292="",LEFT($T292,2)="99",LEFT($T292,2)="95"),"",TODAY()-MAX($E292,$H292:$P292))</f>
        <v/>
      </c>
      <c r="W292" s="34" t="str">
        <f aca="true">IF(AND($E292&lt;&gt;"",$I292="",$R292=""),IF(TODAY()-$E292&gt;1,"⚑",""),"")</f>
        <v/>
      </c>
      <c r="X292" s="34" t="str">
        <f aca="true">IF(AND($J292&lt;&gt;"",$K292="",$R292=""),IF(TODAY()-$J292&gt;2,"⚑",""),"")</f>
        <v/>
      </c>
      <c r="Y292" s="34" t="str">
        <f aca="true">IF(AND($G292&lt;&gt;"",$M292="",$R292=""),IF(AND($G292-TODAY()&lt;=14,$G292&gt;=TODAY()),"⚑",""),"")</f>
        <v/>
      </c>
      <c r="Z292" s="34" t="str">
        <f aca="true">IF(AND($G292&lt;&gt;"",$P292="",$R292=""),IF(TODAY()&gt;$G292,"⚑",""),"")</f>
        <v/>
      </c>
      <c r="AA292" s="34" t="str">
        <f aca="true">IF(AND($E292&lt;&gt;"",$P292="",$R292=""),IF(TODAY()-MAX($E292,$H292,$M292,$S292)&gt;7,"⚑",""),"")</f>
        <v/>
      </c>
      <c r="AB292" s="34" t="str">
        <f aca="false">IF(OR($P292="",$G292=""),"",IF($P292&lt;=$G292,"Có","Không"))</f>
        <v/>
      </c>
      <c r="AC292" s="34" t="str">
        <f aca="false">IF(OR($P292="",$E292=""),"",$P292-$E292)</f>
        <v/>
      </c>
      <c r="AD292" s="35" t="str">
        <f aca="false">IF($A292="","",COUNTIF(CASE!$B$3:$B$202,$A292))</f>
        <v/>
      </c>
      <c r="AE292" s="34" t="str">
        <f aca="false">IF(OR($I292="",$E292=""),"",$I292-$E292)</f>
        <v/>
      </c>
      <c r="AF292" s="34" t="str">
        <f aca="false">IF(OR($K292="",$I292=""),"",$K292-$I292)</f>
        <v/>
      </c>
      <c r="AG292" s="34" t="str">
        <f aca="false">IF(OR($L292="",$K292=""),"",$L292-$K292)</f>
        <v/>
      </c>
      <c r="AH292" s="34" t="str">
        <f aca="false">IF(OR($M292="",$L292=""),"",$M292-$L292)</f>
        <v/>
      </c>
      <c r="AI292" s="34" t="str">
        <f aca="false">IF(OR($P292="",$M292=""),"",$P292-$M292)</f>
        <v/>
      </c>
    </row>
    <row r="293" customFormat="false" ht="15" hidden="false" customHeight="false" outlineLevel="0" collapsed="false">
      <c r="A293" s="29"/>
      <c r="B293" s="29"/>
      <c r="C293" s="29"/>
      <c r="D293" s="30"/>
      <c r="E293" s="31"/>
      <c r="F293" s="32" t="str">
        <f aca="false">IF($E293="","",$E293+7*IFERROR(VLOOKUP($B293,DS!$K$2:$M$4,2,FALSE()),12))</f>
        <v/>
      </c>
      <c r="G293" s="32" t="str">
        <f aca="false">IF($E293="","",$E293+7*IFERROR(VLOOKUP($B293,DS!$K$2:$M$4,3,FALSE()),12))</f>
        <v/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3" t="str">
        <f aca="false">IF($A293="","",IF($R293&lt;&gt;"","95 Hủy/hoàn",IF($Q293&lt;&gt;"","99 Đóng",IF($P293&lt;&gt;"","90 Đã giao",IF($O293&lt;&gt;"","80 Đang giao",IF($N293&lt;&gt;"","70 Thông quan",IF($M293&lt;&gt;"","60 Đã xuất",IF($L293&lt;&gt;"","50 QC đạt",IF($K293&lt;&gt;"","40 NCC đã gửi",IF($I293&lt;&gt;"","30 Đã đặt NCC",IF($H293&lt;&gt;"","20 Đã xác nhận","10 Mới")))))))))))</f>
        <v/>
      </c>
      <c r="U293" s="33" t="str">
        <f aca="false">IF($T293="","",IFERROR(VLOOKUP($T293,DS!$A$2:$B$12,2,FALSE()),""))</f>
        <v/>
      </c>
      <c r="V293" s="34" t="str">
        <f aca="true">IF(OR($T293="",LEFT($T293,2)="99",LEFT($T293,2)="95"),"",TODAY()-MAX($E293,$H293:$P293))</f>
        <v/>
      </c>
      <c r="W293" s="34" t="str">
        <f aca="true">IF(AND($E293&lt;&gt;"",$I293="",$R293=""),IF(TODAY()-$E293&gt;1,"⚑",""),"")</f>
        <v/>
      </c>
      <c r="X293" s="34" t="str">
        <f aca="true">IF(AND($J293&lt;&gt;"",$K293="",$R293=""),IF(TODAY()-$J293&gt;2,"⚑",""),"")</f>
        <v/>
      </c>
      <c r="Y293" s="34" t="str">
        <f aca="true">IF(AND($G293&lt;&gt;"",$M293="",$R293=""),IF(AND($G293-TODAY()&lt;=14,$G293&gt;=TODAY()),"⚑",""),"")</f>
        <v/>
      </c>
      <c r="Z293" s="34" t="str">
        <f aca="true">IF(AND($G293&lt;&gt;"",$P293="",$R293=""),IF(TODAY()&gt;$G293,"⚑",""),"")</f>
        <v/>
      </c>
      <c r="AA293" s="34" t="str">
        <f aca="true">IF(AND($E293&lt;&gt;"",$P293="",$R293=""),IF(TODAY()-MAX($E293,$H293,$M293,$S293)&gt;7,"⚑",""),"")</f>
        <v/>
      </c>
      <c r="AB293" s="34" t="str">
        <f aca="false">IF(OR($P293="",$G293=""),"",IF($P293&lt;=$G293,"Có","Không"))</f>
        <v/>
      </c>
      <c r="AC293" s="34" t="str">
        <f aca="false">IF(OR($P293="",$E293=""),"",$P293-$E293)</f>
        <v/>
      </c>
      <c r="AD293" s="35" t="str">
        <f aca="false">IF($A293="","",COUNTIF(CASE!$B$3:$B$202,$A293))</f>
        <v/>
      </c>
      <c r="AE293" s="34" t="str">
        <f aca="false">IF(OR($I293="",$E293=""),"",$I293-$E293)</f>
        <v/>
      </c>
      <c r="AF293" s="34" t="str">
        <f aca="false">IF(OR($K293="",$I293=""),"",$K293-$I293)</f>
        <v/>
      </c>
      <c r="AG293" s="34" t="str">
        <f aca="false">IF(OR($L293="",$K293=""),"",$L293-$K293)</f>
        <v/>
      </c>
      <c r="AH293" s="34" t="str">
        <f aca="false">IF(OR($M293="",$L293=""),"",$M293-$L293)</f>
        <v/>
      </c>
      <c r="AI293" s="34" t="str">
        <f aca="false">IF(OR($P293="",$M293=""),"",$P293-$M293)</f>
        <v/>
      </c>
    </row>
    <row r="294" customFormat="false" ht="15" hidden="false" customHeight="false" outlineLevel="0" collapsed="false">
      <c r="A294" s="29"/>
      <c r="B294" s="29"/>
      <c r="C294" s="29"/>
      <c r="D294" s="30"/>
      <c r="E294" s="31"/>
      <c r="F294" s="32" t="str">
        <f aca="false">IF($E294="","",$E294+7*IFERROR(VLOOKUP($B294,DS!$K$2:$M$4,2,FALSE()),12))</f>
        <v/>
      </c>
      <c r="G294" s="32" t="str">
        <f aca="false">IF($E294="","",$E294+7*IFERROR(VLOOKUP($B294,DS!$K$2:$M$4,3,FALSE()),12))</f>
        <v/>
      </c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3" t="str">
        <f aca="false">IF($A294="","",IF($R294&lt;&gt;"","95 Hủy/hoàn",IF($Q294&lt;&gt;"","99 Đóng",IF($P294&lt;&gt;"","90 Đã giao",IF($O294&lt;&gt;"","80 Đang giao",IF($N294&lt;&gt;"","70 Thông quan",IF($M294&lt;&gt;"","60 Đã xuất",IF($L294&lt;&gt;"","50 QC đạt",IF($K294&lt;&gt;"","40 NCC đã gửi",IF($I294&lt;&gt;"","30 Đã đặt NCC",IF($H294&lt;&gt;"","20 Đã xác nhận","10 Mới")))))))))))</f>
        <v/>
      </c>
      <c r="U294" s="33" t="str">
        <f aca="false">IF($T294="","",IFERROR(VLOOKUP($T294,DS!$A$2:$B$12,2,FALSE()),""))</f>
        <v/>
      </c>
      <c r="V294" s="34" t="str">
        <f aca="true">IF(OR($T294="",LEFT($T294,2)="99",LEFT($T294,2)="95"),"",TODAY()-MAX($E294,$H294:$P294))</f>
        <v/>
      </c>
      <c r="W294" s="34" t="str">
        <f aca="true">IF(AND($E294&lt;&gt;"",$I294="",$R294=""),IF(TODAY()-$E294&gt;1,"⚑",""),"")</f>
        <v/>
      </c>
      <c r="X294" s="34" t="str">
        <f aca="true">IF(AND($J294&lt;&gt;"",$K294="",$R294=""),IF(TODAY()-$J294&gt;2,"⚑",""),"")</f>
        <v/>
      </c>
      <c r="Y294" s="34" t="str">
        <f aca="true">IF(AND($G294&lt;&gt;"",$M294="",$R294=""),IF(AND($G294-TODAY()&lt;=14,$G294&gt;=TODAY()),"⚑",""),"")</f>
        <v/>
      </c>
      <c r="Z294" s="34" t="str">
        <f aca="true">IF(AND($G294&lt;&gt;"",$P294="",$R294=""),IF(TODAY()&gt;$G294,"⚑",""),"")</f>
        <v/>
      </c>
      <c r="AA294" s="34" t="str">
        <f aca="true">IF(AND($E294&lt;&gt;"",$P294="",$R294=""),IF(TODAY()-MAX($E294,$H294,$M294,$S294)&gt;7,"⚑",""),"")</f>
        <v/>
      </c>
      <c r="AB294" s="34" t="str">
        <f aca="false">IF(OR($P294="",$G294=""),"",IF($P294&lt;=$G294,"Có","Không"))</f>
        <v/>
      </c>
      <c r="AC294" s="34" t="str">
        <f aca="false">IF(OR($P294="",$E294=""),"",$P294-$E294)</f>
        <v/>
      </c>
      <c r="AD294" s="35" t="str">
        <f aca="false">IF($A294="","",COUNTIF(CASE!$B$3:$B$202,$A294))</f>
        <v/>
      </c>
      <c r="AE294" s="34" t="str">
        <f aca="false">IF(OR($I294="",$E294=""),"",$I294-$E294)</f>
        <v/>
      </c>
      <c r="AF294" s="34" t="str">
        <f aca="false">IF(OR($K294="",$I294=""),"",$K294-$I294)</f>
        <v/>
      </c>
      <c r="AG294" s="34" t="str">
        <f aca="false">IF(OR($L294="",$K294=""),"",$L294-$K294)</f>
        <v/>
      </c>
      <c r="AH294" s="34" t="str">
        <f aca="false">IF(OR($M294="",$L294=""),"",$M294-$L294)</f>
        <v/>
      </c>
      <c r="AI294" s="34" t="str">
        <f aca="false">IF(OR($P294="",$M294=""),"",$P294-$M294)</f>
        <v/>
      </c>
    </row>
    <row r="295" customFormat="false" ht="15" hidden="false" customHeight="false" outlineLevel="0" collapsed="false">
      <c r="A295" s="29"/>
      <c r="B295" s="29"/>
      <c r="C295" s="29"/>
      <c r="D295" s="30"/>
      <c r="E295" s="31"/>
      <c r="F295" s="32" t="str">
        <f aca="false">IF($E295="","",$E295+7*IFERROR(VLOOKUP($B295,DS!$K$2:$M$4,2,FALSE()),12))</f>
        <v/>
      </c>
      <c r="G295" s="32" t="str">
        <f aca="false">IF($E295="","",$E295+7*IFERROR(VLOOKUP($B295,DS!$K$2:$M$4,3,FALSE()),12))</f>
        <v/>
      </c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3" t="str">
        <f aca="false">IF($A295="","",IF($R295&lt;&gt;"","95 Hủy/hoàn",IF($Q295&lt;&gt;"","99 Đóng",IF($P295&lt;&gt;"","90 Đã giao",IF($O295&lt;&gt;"","80 Đang giao",IF($N295&lt;&gt;"","70 Thông quan",IF($M295&lt;&gt;"","60 Đã xuất",IF($L295&lt;&gt;"","50 QC đạt",IF($K295&lt;&gt;"","40 NCC đã gửi",IF($I295&lt;&gt;"","30 Đã đặt NCC",IF($H295&lt;&gt;"","20 Đã xác nhận","10 Mới")))))))))))</f>
        <v/>
      </c>
      <c r="U295" s="33" t="str">
        <f aca="false">IF($T295="","",IFERROR(VLOOKUP($T295,DS!$A$2:$B$12,2,FALSE()),""))</f>
        <v/>
      </c>
      <c r="V295" s="34" t="str">
        <f aca="true">IF(OR($T295="",LEFT($T295,2)="99",LEFT($T295,2)="95"),"",TODAY()-MAX($E295,$H295:$P295))</f>
        <v/>
      </c>
      <c r="W295" s="34" t="str">
        <f aca="true">IF(AND($E295&lt;&gt;"",$I295="",$R295=""),IF(TODAY()-$E295&gt;1,"⚑",""),"")</f>
        <v/>
      </c>
      <c r="X295" s="34" t="str">
        <f aca="true">IF(AND($J295&lt;&gt;"",$K295="",$R295=""),IF(TODAY()-$J295&gt;2,"⚑",""),"")</f>
        <v/>
      </c>
      <c r="Y295" s="34" t="str">
        <f aca="true">IF(AND($G295&lt;&gt;"",$M295="",$R295=""),IF(AND($G295-TODAY()&lt;=14,$G295&gt;=TODAY()),"⚑",""),"")</f>
        <v/>
      </c>
      <c r="Z295" s="34" t="str">
        <f aca="true">IF(AND($G295&lt;&gt;"",$P295="",$R295=""),IF(TODAY()&gt;$G295,"⚑",""),"")</f>
        <v/>
      </c>
      <c r="AA295" s="34" t="str">
        <f aca="true">IF(AND($E295&lt;&gt;"",$P295="",$R295=""),IF(TODAY()-MAX($E295,$H295,$M295,$S295)&gt;7,"⚑",""),"")</f>
        <v/>
      </c>
      <c r="AB295" s="34" t="str">
        <f aca="false">IF(OR($P295="",$G295=""),"",IF($P295&lt;=$G295,"Có","Không"))</f>
        <v/>
      </c>
      <c r="AC295" s="34" t="str">
        <f aca="false">IF(OR($P295="",$E295=""),"",$P295-$E295)</f>
        <v/>
      </c>
      <c r="AD295" s="35" t="str">
        <f aca="false">IF($A295="","",COUNTIF(CASE!$B$3:$B$202,$A295))</f>
        <v/>
      </c>
      <c r="AE295" s="34" t="str">
        <f aca="false">IF(OR($I295="",$E295=""),"",$I295-$E295)</f>
        <v/>
      </c>
      <c r="AF295" s="34" t="str">
        <f aca="false">IF(OR($K295="",$I295=""),"",$K295-$I295)</f>
        <v/>
      </c>
      <c r="AG295" s="34" t="str">
        <f aca="false">IF(OR($L295="",$K295=""),"",$L295-$K295)</f>
        <v/>
      </c>
      <c r="AH295" s="34" t="str">
        <f aca="false">IF(OR($M295="",$L295=""),"",$M295-$L295)</f>
        <v/>
      </c>
      <c r="AI295" s="34" t="str">
        <f aca="false">IF(OR($P295="",$M295=""),"",$P295-$M295)</f>
        <v/>
      </c>
    </row>
    <row r="296" customFormat="false" ht="15" hidden="false" customHeight="false" outlineLevel="0" collapsed="false">
      <c r="A296" s="29"/>
      <c r="B296" s="29"/>
      <c r="C296" s="29"/>
      <c r="D296" s="30"/>
      <c r="E296" s="31"/>
      <c r="F296" s="32" t="str">
        <f aca="false">IF($E296="","",$E296+7*IFERROR(VLOOKUP($B296,DS!$K$2:$M$4,2,FALSE()),12))</f>
        <v/>
      </c>
      <c r="G296" s="32" t="str">
        <f aca="false">IF($E296="","",$E296+7*IFERROR(VLOOKUP($B296,DS!$K$2:$M$4,3,FALSE()),12))</f>
        <v/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3" t="str">
        <f aca="false">IF($A296="","",IF($R296&lt;&gt;"","95 Hủy/hoàn",IF($Q296&lt;&gt;"","99 Đóng",IF($P296&lt;&gt;"","90 Đã giao",IF($O296&lt;&gt;"","80 Đang giao",IF($N296&lt;&gt;"","70 Thông quan",IF($M296&lt;&gt;"","60 Đã xuất",IF($L296&lt;&gt;"","50 QC đạt",IF($K296&lt;&gt;"","40 NCC đã gửi",IF($I296&lt;&gt;"","30 Đã đặt NCC",IF($H296&lt;&gt;"","20 Đã xác nhận","10 Mới")))))))))))</f>
        <v/>
      </c>
      <c r="U296" s="33" t="str">
        <f aca="false">IF($T296="","",IFERROR(VLOOKUP($T296,DS!$A$2:$B$12,2,FALSE()),""))</f>
        <v/>
      </c>
      <c r="V296" s="34" t="str">
        <f aca="true">IF(OR($T296="",LEFT($T296,2)="99",LEFT($T296,2)="95"),"",TODAY()-MAX($E296,$H296:$P296))</f>
        <v/>
      </c>
      <c r="W296" s="34" t="str">
        <f aca="true">IF(AND($E296&lt;&gt;"",$I296="",$R296=""),IF(TODAY()-$E296&gt;1,"⚑",""),"")</f>
        <v/>
      </c>
      <c r="X296" s="34" t="str">
        <f aca="true">IF(AND($J296&lt;&gt;"",$K296="",$R296=""),IF(TODAY()-$J296&gt;2,"⚑",""),"")</f>
        <v/>
      </c>
      <c r="Y296" s="34" t="str">
        <f aca="true">IF(AND($G296&lt;&gt;"",$M296="",$R296=""),IF(AND($G296-TODAY()&lt;=14,$G296&gt;=TODAY()),"⚑",""),"")</f>
        <v/>
      </c>
      <c r="Z296" s="34" t="str">
        <f aca="true">IF(AND($G296&lt;&gt;"",$P296="",$R296=""),IF(TODAY()&gt;$G296,"⚑",""),"")</f>
        <v/>
      </c>
      <c r="AA296" s="34" t="str">
        <f aca="true">IF(AND($E296&lt;&gt;"",$P296="",$R296=""),IF(TODAY()-MAX($E296,$H296,$M296,$S296)&gt;7,"⚑",""),"")</f>
        <v/>
      </c>
      <c r="AB296" s="34" t="str">
        <f aca="false">IF(OR($P296="",$G296=""),"",IF($P296&lt;=$G296,"Có","Không"))</f>
        <v/>
      </c>
      <c r="AC296" s="34" t="str">
        <f aca="false">IF(OR($P296="",$E296=""),"",$P296-$E296)</f>
        <v/>
      </c>
      <c r="AD296" s="35" t="str">
        <f aca="false">IF($A296="","",COUNTIF(CASE!$B$3:$B$202,$A296))</f>
        <v/>
      </c>
      <c r="AE296" s="34" t="str">
        <f aca="false">IF(OR($I296="",$E296=""),"",$I296-$E296)</f>
        <v/>
      </c>
      <c r="AF296" s="34" t="str">
        <f aca="false">IF(OR($K296="",$I296=""),"",$K296-$I296)</f>
        <v/>
      </c>
      <c r="AG296" s="34" t="str">
        <f aca="false">IF(OR($L296="",$K296=""),"",$L296-$K296)</f>
        <v/>
      </c>
      <c r="AH296" s="34" t="str">
        <f aca="false">IF(OR($M296="",$L296=""),"",$M296-$L296)</f>
        <v/>
      </c>
      <c r="AI296" s="34" t="str">
        <f aca="false">IF(OR($P296="",$M296=""),"",$P296-$M296)</f>
        <v/>
      </c>
    </row>
    <row r="297" customFormat="false" ht="15" hidden="false" customHeight="false" outlineLevel="0" collapsed="false">
      <c r="A297" s="29"/>
      <c r="B297" s="29"/>
      <c r="C297" s="29"/>
      <c r="D297" s="30"/>
      <c r="E297" s="31"/>
      <c r="F297" s="32" t="str">
        <f aca="false">IF($E297="","",$E297+7*IFERROR(VLOOKUP($B297,DS!$K$2:$M$4,2,FALSE()),12))</f>
        <v/>
      </c>
      <c r="G297" s="32" t="str">
        <f aca="false">IF($E297="","",$E297+7*IFERROR(VLOOKUP($B297,DS!$K$2:$M$4,3,FALSE()),12))</f>
        <v/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3" t="str">
        <f aca="false">IF($A297="","",IF($R297&lt;&gt;"","95 Hủy/hoàn",IF($Q297&lt;&gt;"","99 Đóng",IF($P297&lt;&gt;"","90 Đã giao",IF($O297&lt;&gt;"","80 Đang giao",IF($N297&lt;&gt;"","70 Thông quan",IF($M297&lt;&gt;"","60 Đã xuất",IF($L297&lt;&gt;"","50 QC đạt",IF($K297&lt;&gt;"","40 NCC đã gửi",IF($I297&lt;&gt;"","30 Đã đặt NCC",IF($H297&lt;&gt;"","20 Đã xác nhận","10 Mới")))))))))))</f>
        <v/>
      </c>
      <c r="U297" s="33" t="str">
        <f aca="false">IF($T297="","",IFERROR(VLOOKUP($T297,DS!$A$2:$B$12,2,FALSE()),""))</f>
        <v/>
      </c>
      <c r="V297" s="34" t="str">
        <f aca="true">IF(OR($T297="",LEFT($T297,2)="99",LEFT($T297,2)="95"),"",TODAY()-MAX($E297,$H297:$P297))</f>
        <v/>
      </c>
      <c r="W297" s="34" t="str">
        <f aca="true">IF(AND($E297&lt;&gt;"",$I297="",$R297=""),IF(TODAY()-$E297&gt;1,"⚑",""),"")</f>
        <v/>
      </c>
      <c r="X297" s="34" t="str">
        <f aca="true">IF(AND($J297&lt;&gt;"",$K297="",$R297=""),IF(TODAY()-$J297&gt;2,"⚑",""),"")</f>
        <v/>
      </c>
      <c r="Y297" s="34" t="str">
        <f aca="true">IF(AND($G297&lt;&gt;"",$M297="",$R297=""),IF(AND($G297-TODAY()&lt;=14,$G297&gt;=TODAY()),"⚑",""),"")</f>
        <v/>
      </c>
      <c r="Z297" s="34" t="str">
        <f aca="true">IF(AND($G297&lt;&gt;"",$P297="",$R297=""),IF(TODAY()&gt;$G297,"⚑",""),"")</f>
        <v/>
      </c>
      <c r="AA297" s="34" t="str">
        <f aca="true">IF(AND($E297&lt;&gt;"",$P297="",$R297=""),IF(TODAY()-MAX($E297,$H297,$M297,$S297)&gt;7,"⚑",""),"")</f>
        <v/>
      </c>
      <c r="AB297" s="34" t="str">
        <f aca="false">IF(OR($P297="",$G297=""),"",IF($P297&lt;=$G297,"Có","Không"))</f>
        <v/>
      </c>
      <c r="AC297" s="34" t="str">
        <f aca="false">IF(OR($P297="",$E297=""),"",$P297-$E297)</f>
        <v/>
      </c>
      <c r="AD297" s="35" t="str">
        <f aca="false">IF($A297="","",COUNTIF(CASE!$B$3:$B$202,$A297))</f>
        <v/>
      </c>
      <c r="AE297" s="34" t="str">
        <f aca="false">IF(OR($I297="",$E297=""),"",$I297-$E297)</f>
        <v/>
      </c>
      <c r="AF297" s="34" t="str">
        <f aca="false">IF(OR($K297="",$I297=""),"",$K297-$I297)</f>
        <v/>
      </c>
      <c r="AG297" s="34" t="str">
        <f aca="false">IF(OR($L297="",$K297=""),"",$L297-$K297)</f>
        <v/>
      </c>
      <c r="AH297" s="34" t="str">
        <f aca="false">IF(OR($M297="",$L297=""),"",$M297-$L297)</f>
        <v/>
      </c>
      <c r="AI297" s="34" t="str">
        <f aca="false">IF(OR($P297="",$M297=""),"",$P297-$M297)</f>
        <v/>
      </c>
    </row>
    <row r="298" customFormat="false" ht="15" hidden="false" customHeight="false" outlineLevel="0" collapsed="false">
      <c r="A298" s="29"/>
      <c r="B298" s="29"/>
      <c r="C298" s="29"/>
      <c r="D298" s="30"/>
      <c r="E298" s="31"/>
      <c r="F298" s="32" t="str">
        <f aca="false">IF($E298="","",$E298+7*IFERROR(VLOOKUP($B298,DS!$K$2:$M$4,2,FALSE()),12))</f>
        <v/>
      </c>
      <c r="G298" s="32" t="str">
        <f aca="false">IF($E298="","",$E298+7*IFERROR(VLOOKUP($B298,DS!$K$2:$M$4,3,FALSE()),12))</f>
        <v/>
      </c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3" t="str">
        <f aca="false">IF($A298="","",IF($R298&lt;&gt;"","95 Hủy/hoàn",IF($Q298&lt;&gt;"","99 Đóng",IF($P298&lt;&gt;"","90 Đã giao",IF($O298&lt;&gt;"","80 Đang giao",IF($N298&lt;&gt;"","70 Thông quan",IF($M298&lt;&gt;"","60 Đã xuất",IF($L298&lt;&gt;"","50 QC đạt",IF($K298&lt;&gt;"","40 NCC đã gửi",IF($I298&lt;&gt;"","30 Đã đặt NCC",IF($H298&lt;&gt;"","20 Đã xác nhận","10 Mới")))))))))))</f>
        <v/>
      </c>
      <c r="U298" s="33" t="str">
        <f aca="false">IF($T298="","",IFERROR(VLOOKUP($T298,DS!$A$2:$B$12,2,FALSE()),""))</f>
        <v/>
      </c>
      <c r="V298" s="34" t="str">
        <f aca="true">IF(OR($T298="",LEFT($T298,2)="99",LEFT($T298,2)="95"),"",TODAY()-MAX($E298,$H298:$P298))</f>
        <v/>
      </c>
      <c r="W298" s="34" t="str">
        <f aca="true">IF(AND($E298&lt;&gt;"",$I298="",$R298=""),IF(TODAY()-$E298&gt;1,"⚑",""),"")</f>
        <v/>
      </c>
      <c r="X298" s="34" t="str">
        <f aca="true">IF(AND($J298&lt;&gt;"",$K298="",$R298=""),IF(TODAY()-$J298&gt;2,"⚑",""),"")</f>
        <v/>
      </c>
      <c r="Y298" s="34" t="str">
        <f aca="true">IF(AND($G298&lt;&gt;"",$M298="",$R298=""),IF(AND($G298-TODAY()&lt;=14,$G298&gt;=TODAY()),"⚑",""),"")</f>
        <v/>
      </c>
      <c r="Z298" s="34" t="str">
        <f aca="true">IF(AND($G298&lt;&gt;"",$P298="",$R298=""),IF(TODAY()&gt;$G298,"⚑",""),"")</f>
        <v/>
      </c>
      <c r="AA298" s="34" t="str">
        <f aca="true">IF(AND($E298&lt;&gt;"",$P298="",$R298=""),IF(TODAY()-MAX($E298,$H298,$M298,$S298)&gt;7,"⚑",""),"")</f>
        <v/>
      </c>
      <c r="AB298" s="34" t="str">
        <f aca="false">IF(OR($P298="",$G298=""),"",IF($P298&lt;=$G298,"Có","Không"))</f>
        <v/>
      </c>
      <c r="AC298" s="34" t="str">
        <f aca="false">IF(OR($P298="",$E298=""),"",$P298-$E298)</f>
        <v/>
      </c>
      <c r="AD298" s="35" t="str">
        <f aca="false">IF($A298="","",COUNTIF(CASE!$B$3:$B$202,$A298))</f>
        <v/>
      </c>
      <c r="AE298" s="34" t="str">
        <f aca="false">IF(OR($I298="",$E298=""),"",$I298-$E298)</f>
        <v/>
      </c>
      <c r="AF298" s="34" t="str">
        <f aca="false">IF(OR($K298="",$I298=""),"",$K298-$I298)</f>
        <v/>
      </c>
      <c r="AG298" s="34" t="str">
        <f aca="false">IF(OR($L298="",$K298=""),"",$L298-$K298)</f>
        <v/>
      </c>
      <c r="AH298" s="34" t="str">
        <f aca="false">IF(OR($M298="",$L298=""),"",$M298-$L298)</f>
        <v/>
      </c>
      <c r="AI298" s="34" t="str">
        <f aca="false">IF(OR($P298="",$M298=""),"",$P298-$M298)</f>
        <v/>
      </c>
    </row>
    <row r="299" customFormat="false" ht="15" hidden="false" customHeight="false" outlineLevel="0" collapsed="false">
      <c r="A299" s="29"/>
      <c r="B299" s="29"/>
      <c r="C299" s="29"/>
      <c r="D299" s="30"/>
      <c r="E299" s="31"/>
      <c r="F299" s="32" t="str">
        <f aca="false">IF($E299="","",$E299+7*IFERROR(VLOOKUP($B299,DS!$K$2:$M$4,2,FALSE()),12))</f>
        <v/>
      </c>
      <c r="G299" s="32" t="str">
        <f aca="false">IF($E299="","",$E299+7*IFERROR(VLOOKUP($B299,DS!$K$2:$M$4,3,FALSE()),12))</f>
        <v/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3" t="str">
        <f aca="false">IF($A299="","",IF($R299&lt;&gt;"","95 Hủy/hoàn",IF($Q299&lt;&gt;"","99 Đóng",IF($P299&lt;&gt;"","90 Đã giao",IF($O299&lt;&gt;"","80 Đang giao",IF($N299&lt;&gt;"","70 Thông quan",IF($M299&lt;&gt;"","60 Đã xuất",IF($L299&lt;&gt;"","50 QC đạt",IF($K299&lt;&gt;"","40 NCC đã gửi",IF($I299&lt;&gt;"","30 Đã đặt NCC",IF($H299&lt;&gt;"","20 Đã xác nhận","10 Mới")))))))))))</f>
        <v/>
      </c>
      <c r="U299" s="33" t="str">
        <f aca="false">IF($T299="","",IFERROR(VLOOKUP($T299,DS!$A$2:$B$12,2,FALSE()),""))</f>
        <v/>
      </c>
      <c r="V299" s="34" t="str">
        <f aca="true">IF(OR($T299="",LEFT($T299,2)="99",LEFT($T299,2)="95"),"",TODAY()-MAX($E299,$H299:$P299))</f>
        <v/>
      </c>
      <c r="W299" s="34" t="str">
        <f aca="true">IF(AND($E299&lt;&gt;"",$I299="",$R299=""),IF(TODAY()-$E299&gt;1,"⚑",""),"")</f>
        <v/>
      </c>
      <c r="X299" s="34" t="str">
        <f aca="true">IF(AND($J299&lt;&gt;"",$K299="",$R299=""),IF(TODAY()-$J299&gt;2,"⚑",""),"")</f>
        <v/>
      </c>
      <c r="Y299" s="34" t="str">
        <f aca="true">IF(AND($G299&lt;&gt;"",$M299="",$R299=""),IF(AND($G299-TODAY()&lt;=14,$G299&gt;=TODAY()),"⚑",""),"")</f>
        <v/>
      </c>
      <c r="Z299" s="34" t="str">
        <f aca="true">IF(AND($G299&lt;&gt;"",$P299="",$R299=""),IF(TODAY()&gt;$G299,"⚑",""),"")</f>
        <v/>
      </c>
      <c r="AA299" s="34" t="str">
        <f aca="true">IF(AND($E299&lt;&gt;"",$P299="",$R299=""),IF(TODAY()-MAX($E299,$H299,$M299,$S299)&gt;7,"⚑",""),"")</f>
        <v/>
      </c>
      <c r="AB299" s="34" t="str">
        <f aca="false">IF(OR($P299="",$G299=""),"",IF($P299&lt;=$G299,"Có","Không"))</f>
        <v/>
      </c>
      <c r="AC299" s="34" t="str">
        <f aca="false">IF(OR($P299="",$E299=""),"",$P299-$E299)</f>
        <v/>
      </c>
      <c r="AD299" s="35" t="str">
        <f aca="false">IF($A299="","",COUNTIF(CASE!$B$3:$B$202,$A299))</f>
        <v/>
      </c>
      <c r="AE299" s="34" t="str">
        <f aca="false">IF(OR($I299="",$E299=""),"",$I299-$E299)</f>
        <v/>
      </c>
      <c r="AF299" s="34" t="str">
        <f aca="false">IF(OR($K299="",$I299=""),"",$K299-$I299)</f>
        <v/>
      </c>
      <c r="AG299" s="34" t="str">
        <f aca="false">IF(OR($L299="",$K299=""),"",$L299-$K299)</f>
        <v/>
      </c>
      <c r="AH299" s="34" t="str">
        <f aca="false">IF(OR($M299="",$L299=""),"",$M299-$L299)</f>
        <v/>
      </c>
      <c r="AI299" s="34" t="str">
        <f aca="false">IF(OR($P299="",$M299=""),"",$P299-$M299)</f>
        <v/>
      </c>
    </row>
    <row r="300" customFormat="false" ht="15" hidden="false" customHeight="false" outlineLevel="0" collapsed="false">
      <c r="A300" s="29"/>
      <c r="B300" s="29"/>
      <c r="C300" s="29"/>
      <c r="D300" s="30"/>
      <c r="E300" s="31"/>
      <c r="F300" s="32" t="str">
        <f aca="false">IF($E300="","",$E300+7*IFERROR(VLOOKUP($B300,DS!$K$2:$M$4,2,FALSE()),12))</f>
        <v/>
      </c>
      <c r="G300" s="32" t="str">
        <f aca="false">IF($E300="","",$E300+7*IFERROR(VLOOKUP($B300,DS!$K$2:$M$4,3,FALSE()),12))</f>
        <v/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3" t="str">
        <f aca="false">IF($A300="","",IF($R300&lt;&gt;"","95 Hủy/hoàn",IF($Q300&lt;&gt;"","99 Đóng",IF($P300&lt;&gt;"","90 Đã giao",IF($O300&lt;&gt;"","80 Đang giao",IF($N300&lt;&gt;"","70 Thông quan",IF($M300&lt;&gt;"","60 Đã xuất",IF($L300&lt;&gt;"","50 QC đạt",IF($K300&lt;&gt;"","40 NCC đã gửi",IF($I300&lt;&gt;"","30 Đã đặt NCC",IF($H300&lt;&gt;"","20 Đã xác nhận","10 Mới")))))))))))</f>
        <v/>
      </c>
      <c r="U300" s="33" t="str">
        <f aca="false">IF($T300="","",IFERROR(VLOOKUP($T300,DS!$A$2:$B$12,2,FALSE()),""))</f>
        <v/>
      </c>
      <c r="V300" s="34" t="str">
        <f aca="true">IF(OR($T300="",LEFT($T300,2)="99",LEFT($T300,2)="95"),"",TODAY()-MAX($E300,$H300:$P300))</f>
        <v/>
      </c>
      <c r="W300" s="34" t="str">
        <f aca="true">IF(AND($E300&lt;&gt;"",$I300="",$R300=""),IF(TODAY()-$E300&gt;1,"⚑",""),"")</f>
        <v/>
      </c>
      <c r="X300" s="34" t="str">
        <f aca="true">IF(AND($J300&lt;&gt;"",$K300="",$R300=""),IF(TODAY()-$J300&gt;2,"⚑",""),"")</f>
        <v/>
      </c>
      <c r="Y300" s="34" t="str">
        <f aca="true">IF(AND($G300&lt;&gt;"",$M300="",$R300=""),IF(AND($G300-TODAY()&lt;=14,$G300&gt;=TODAY()),"⚑",""),"")</f>
        <v/>
      </c>
      <c r="Z300" s="34" t="str">
        <f aca="true">IF(AND($G300&lt;&gt;"",$P300="",$R300=""),IF(TODAY()&gt;$G300,"⚑",""),"")</f>
        <v/>
      </c>
      <c r="AA300" s="34" t="str">
        <f aca="true">IF(AND($E300&lt;&gt;"",$P300="",$R300=""),IF(TODAY()-MAX($E300,$H300,$M300,$S300)&gt;7,"⚑",""),"")</f>
        <v/>
      </c>
      <c r="AB300" s="34" t="str">
        <f aca="false">IF(OR($P300="",$G300=""),"",IF($P300&lt;=$G300,"Có","Không"))</f>
        <v/>
      </c>
      <c r="AC300" s="34" t="str">
        <f aca="false">IF(OR($P300="",$E300=""),"",$P300-$E300)</f>
        <v/>
      </c>
      <c r="AD300" s="35" t="str">
        <f aca="false">IF($A300="","",COUNTIF(CASE!$B$3:$B$202,$A300))</f>
        <v/>
      </c>
      <c r="AE300" s="34" t="str">
        <f aca="false">IF(OR($I300="",$E300=""),"",$I300-$E300)</f>
        <v/>
      </c>
      <c r="AF300" s="34" t="str">
        <f aca="false">IF(OR($K300="",$I300=""),"",$K300-$I300)</f>
        <v/>
      </c>
      <c r="AG300" s="34" t="str">
        <f aca="false">IF(OR($L300="",$K300=""),"",$L300-$K300)</f>
        <v/>
      </c>
      <c r="AH300" s="34" t="str">
        <f aca="false">IF(OR($M300="",$L300=""),"",$M300-$L300)</f>
        <v/>
      </c>
      <c r="AI300" s="34" t="str">
        <f aca="false">IF(OR($P300="",$M300=""),"",$P300-$M300)</f>
        <v/>
      </c>
    </row>
    <row r="301" customFormat="false" ht="15" hidden="false" customHeight="false" outlineLevel="0" collapsed="false">
      <c r="A301" s="29"/>
      <c r="B301" s="29"/>
      <c r="C301" s="29"/>
      <c r="D301" s="30"/>
      <c r="E301" s="31"/>
      <c r="F301" s="32" t="str">
        <f aca="false">IF($E301="","",$E301+7*IFERROR(VLOOKUP($B301,DS!$K$2:$M$4,2,FALSE()),12))</f>
        <v/>
      </c>
      <c r="G301" s="32" t="str">
        <f aca="false">IF($E301="","",$E301+7*IFERROR(VLOOKUP($B301,DS!$K$2:$M$4,3,FALSE()),12))</f>
        <v/>
      </c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3" t="str">
        <f aca="false">IF($A301="","",IF($R301&lt;&gt;"","95 Hủy/hoàn",IF($Q301&lt;&gt;"","99 Đóng",IF($P301&lt;&gt;"","90 Đã giao",IF($O301&lt;&gt;"","80 Đang giao",IF($N301&lt;&gt;"","70 Thông quan",IF($M301&lt;&gt;"","60 Đã xuất",IF($L301&lt;&gt;"","50 QC đạt",IF($K301&lt;&gt;"","40 NCC đã gửi",IF($I301&lt;&gt;"","30 Đã đặt NCC",IF($H301&lt;&gt;"","20 Đã xác nhận","10 Mới")))))))))))</f>
        <v/>
      </c>
      <c r="U301" s="33" t="str">
        <f aca="false">IF($T301="","",IFERROR(VLOOKUP($T301,DS!$A$2:$B$12,2,FALSE()),""))</f>
        <v/>
      </c>
      <c r="V301" s="34" t="str">
        <f aca="true">IF(OR($T301="",LEFT($T301,2)="99",LEFT($T301,2)="95"),"",TODAY()-MAX($E301,$H301:$P301))</f>
        <v/>
      </c>
      <c r="W301" s="34" t="str">
        <f aca="true">IF(AND($E301&lt;&gt;"",$I301="",$R301=""),IF(TODAY()-$E301&gt;1,"⚑",""),"")</f>
        <v/>
      </c>
      <c r="X301" s="34" t="str">
        <f aca="true">IF(AND($J301&lt;&gt;"",$K301="",$R301=""),IF(TODAY()-$J301&gt;2,"⚑",""),"")</f>
        <v/>
      </c>
      <c r="Y301" s="34" t="str">
        <f aca="true">IF(AND($G301&lt;&gt;"",$M301="",$R301=""),IF(AND($G301-TODAY()&lt;=14,$G301&gt;=TODAY()),"⚑",""),"")</f>
        <v/>
      </c>
      <c r="Z301" s="34" t="str">
        <f aca="true">IF(AND($G301&lt;&gt;"",$P301="",$R301=""),IF(TODAY()&gt;$G301,"⚑",""),"")</f>
        <v/>
      </c>
      <c r="AA301" s="34" t="str">
        <f aca="true">IF(AND($E301&lt;&gt;"",$P301="",$R301=""),IF(TODAY()-MAX($E301,$H301,$M301,$S301)&gt;7,"⚑",""),"")</f>
        <v/>
      </c>
      <c r="AB301" s="34" t="str">
        <f aca="false">IF(OR($P301="",$G301=""),"",IF($P301&lt;=$G301,"Có","Không"))</f>
        <v/>
      </c>
      <c r="AC301" s="34" t="str">
        <f aca="false">IF(OR($P301="",$E301=""),"",$P301-$E301)</f>
        <v/>
      </c>
      <c r="AD301" s="35" t="str">
        <f aca="false">IF($A301="","",COUNTIF(CASE!$B$3:$B$202,$A301))</f>
        <v/>
      </c>
      <c r="AE301" s="34" t="str">
        <f aca="false">IF(OR($I301="",$E301=""),"",$I301-$E301)</f>
        <v/>
      </c>
      <c r="AF301" s="34" t="str">
        <f aca="false">IF(OR($K301="",$I301=""),"",$K301-$I301)</f>
        <v/>
      </c>
      <c r="AG301" s="34" t="str">
        <f aca="false">IF(OR($L301="",$K301=""),"",$L301-$K301)</f>
        <v/>
      </c>
      <c r="AH301" s="34" t="str">
        <f aca="false">IF(OR($M301="",$L301=""),"",$M301-$L301)</f>
        <v/>
      </c>
      <c r="AI301" s="34" t="str">
        <f aca="false">IF(OR($P301="",$M301=""),"",$P301-$M301)</f>
        <v/>
      </c>
    </row>
    <row r="302" customFormat="false" ht="15" hidden="false" customHeight="false" outlineLevel="0" collapsed="false">
      <c r="A302" s="29"/>
      <c r="B302" s="29"/>
      <c r="C302" s="29"/>
      <c r="D302" s="30"/>
      <c r="E302" s="31"/>
      <c r="F302" s="32" t="str">
        <f aca="false">IF($E302="","",$E302+7*IFERROR(VLOOKUP($B302,DS!$K$2:$M$4,2,FALSE()),12))</f>
        <v/>
      </c>
      <c r="G302" s="32" t="str">
        <f aca="false">IF($E302="","",$E302+7*IFERROR(VLOOKUP($B302,DS!$K$2:$M$4,3,FALSE()),12))</f>
        <v/>
      </c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3" t="str">
        <f aca="false">IF($A302="","",IF($R302&lt;&gt;"","95 Hủy/hoàn",IF($Q302&lt;&gt;"","99 Đóng",IF($P302&lt;&gt;"","90 Đã giao",IF($O302&lt;&gt;"","80 Đang giao",IF($N302&lt;&gt;"","70 Thông quan",IF($M302&lt;&gt;"","60 Đã xuất",IF($L302&lt;&gt;"","50 QC đạt",IF($K302&lt;&gt;"","40 NCC đã gửi",IF($I302&lt;&gt;"","30 Đã đặt NCC",IF($H302&lt;&gt;"","20 Đã xác nhận","10 Mới")))))))))))</f>
        <v/>
      </c>
      <c r="U302" s="33" t="str">
        <f aca="false">IF($T302="","",IFERROR(VLOOKUP($T302,DS!$A$2:$B$12,2,FALSE()),""))</f>
        <v/>
      </c>
      <c r="V302" s="34" t="str">
        <f aca="true">IF(OR($T302="",LEFT($T302,2)="99",LEFT($T302,2)="95"),"",TODAY()-MAX($E302,$H302:$P302))</f>
        <v/>
      </c>
      <c r="W302" s="34" t="str">
        <f aca="true">IF(AND($E302&lt;&gt;"",$I302="",$R302=""),IF(TODAY()-$E302&gt;1,"⚑",""),"")</f>
        <v/>
      </c>
      <c r="X302" s="34" t="str">
        <f aca="true">IF(AND($J302&lt;&gt;"",$K302="",$R302=""),IF(TODAY()-$J302&gt;2,"⚑",""),"")</f>
        <v/>
      </c>
      <c r="Y302" s="34" t="str">
        <f aca="true">IF(AND($G302&lt;&gt;"",$M302="",$R302=""),IF(AND($G302-TODAY()&lt;=14,$G302&gt;=TODAY()),"⚑",""),"")</f>
        <v/>
      </c>
      <c r="Z302" s="34" t="str">
        <f aca="true">IF(AND($G302&lt;&gt;"",$P302="",$R302=""),IF(TODAY()&gt;$G302,"⚑",""),"")</f>
        <v/>
      </c>
      <c r="AA302" s="34" t="str">
        <f aca="true">IF(AND($E302&lt;&gt;"",$P302="",$R302=""),IF(TODAY()-MAX($E302,$H302,$M302,$S302)&gt;7,"⚑",""),"")</f>
        <v/>
      </c>
      <c r="AB302" s="34" t="str">
        <f aca="false">IF(OR($P302="",$G302=""),"",IF($P302&lt;=$G302,"Có","Không"))</f>
        <v/>
      </c>
      <c r="AC302" s="34" t="str">
        <f aca="false">IF(OR($P302="",$E302=""),"",$P302-$E302)</f>
        <v/>
      </c>
      <c r="AD302" s="35" t="str">
        <f aca="false">IF($A302="","",COUNTIF(CASE!$B$3:$B$202,$A302))</f>
        <v/>
      </c>
      <c r="AE302" s="34" t="str">
        <f aca="false">IF(OR($I302="",$E302=""),"",$I302-$E302)</f>
        <v/>
      </c>
      <c r="AF302" s="34" t="str">
        <f aca="false">IF(OR($K302="",$I302=""),"",$K302-$I302)</f>
        <v/>
      </c>
      <c r="AG302" s="34" t="str">
        <f aca="false">IF(OR($L302="",$K302=""),"",$L302-$K302)</f>
        <v/>
      </c>
      <c r="AH302" s="34" t="str">
        <f aca="false">IF(OR($M302="",$L302=""),"",$M302-$L302)</f>
        <v/>
      </c>
      <c r="AI302" s="34" t="str">
        <f aca="false">IF(OR($P302="",$M302=""),"",$P302-$M302)</f>
        <v/>
      </c>
    </row>
    <row r="303" customFormat="false" ht="15" hidden="false" customHeight="false" outlineLevel="0" collapsed="false">
      <c r="A303" s="29"/>
      <c r="B303" s="29"/>
      <c r="C303" s="29"/>
      <c r="D303" s="30"/>
      <c r="E303" s="31"/>
      <c r="F303" s="32" t="str">
        <f aca="false">IF($E303="","",$E303+7*IFERROR(VLOOKUP($B303,DS!$K$2:$M$4,2,FALSE()),12))</f>
        <v/>
      </c>
      <c r="G303" s="32" t="str">
        <f aca="false">IF($E303="","",$E303+7*IFERROR(VLOOKUP($B303,DS!$K$2:$M$4,3,FALSE()),12))</f>
        <v/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3" t="str">
        <f aca="false">IF($A303="","",IF($R303&lt;&gt;"","95 Hủy/hoàn",IF($Q303&lt;&gt;"","99 Đóng",IF($P303&lt;&gt;"","90 Đã giao",IF($O303&lt;&gt;"","80 Đang giao",IF($N303&lt;&gt;"","70 Thông quan",IF($M303&lt;&gt;"","60 Đã xuất",IF($L303&lt;&gt;"","50 QC đạt",IF($K303&lt;&gt;"","40 NCC đã gửi",IF($I303&lt;&gt;"","30 Đã đặt NCC",IF($H303&lt;&gt;"","20 Đã xác nhận","10 Mới")))))))))))</f>
        <v/>
      </c>
      <c r="U303" s="33" t="str">
        <f aca="false">IF($T303="","",IFERROR(VLOOKUP($T303,DS!$A$2:$B$12,2,FALSE()),""))</f>
        <v/>
      </c>
      <c r="V303" s="34" t="str">
        <f aca="true">IF(OR($T303="",LEFT($T303,2)="99",LEFT($T303,2)="95"),"",TODAY()-MAX($E303,$H303:$P303))</f>
        <v/>
      </c>
      <c r="W303" s="34" t="str">
        <f aca="true">IF(AND($E303&lt;&gt;"",$I303="",$R303=""),IF(TODAY()-$E303&gt;1,"⚑",""),"")</f>
        <v/>
      </c>
      <c r="X303" s="34" t="str">
        <f aca="true">IF(AND($J303&lt;&gt;"",$K303="",$R303=""),IF(TODAY()-$J303&gt;2,"⚑",""),"")</f>
        <v/>
      </c>
      <c r="Y303" s="34" t="str">
        <f aca="true">IF(AND($G303&lt;&gt;"",$M303="",$R303=""),IF(AND($G303-TODAY()&lt;=14,$G303&gt;=TODAY()),"⚑",""),"")</f>
        <v/>
      </c>
      <c r="Z303" s="34" t="str">
        <f aca="true">IF(AND($G303&lt;&gt;"",$P303="",$R303=""),IF(TODAY()&gt;$G303,"⚑",""),"")</f>
        <v/>
      </c>
      <c r="AA303" s="34" t="str">
        <f aca="true">IF(AND($E303&lt;&gt;"",$P303="",$R303=""),IF(TODAY()-MAX($E303,$H303,$M303,$S303)&gt;7,"⚑",""),"")</f>
        <v/>
      </c>
      <c r="AB303" s="34" t="str">
        <f aca="false">IF(OR($P303="",$G303=""),"",IF($P303&lt;=$G303,"Có","Không"))</f>
        <v/>
      </c>
      <c r="AC303" s="34" t="str">
        <f aca="false">IF(OR($P303="",$E303=""),"",$P303-$E303)</f>
        <v/>
      </c>
      <c r="AD303" s="35" t="str">
        <f aca="false">IF($A303="","",COUNTIF(CASE!$B$3:$B$202,$A303))</f>
        <v/>
      </c>
      <c r="AE303" s="34" t="str">
        <f aca="false">IF(OR($I303="",$E303=""),"",$I303-$E303)</f>
        <v/>
      </c>
      <c r="AF303" s="34" t="str">
        <f aca="false">IF(OR($K303="",$I303=""),"",$K303-$I303)</f>
        <v/>
      </c>
      <c r="AG303" s="34" t="str">
        <f aca="false">IF(OR($L303="",$K303=""),"",$L303-$K303)</f>
        <v/>
      </c>
      <c r="AH303" s="34" t="str">
        <f aca="false">IF(OR($M303="",$L303=""),"",$M303-$L303)</f>
        <v/>
      </c>
      <c r="AI303" s="34" t="str">
        <f aca="false">IF(OR($P303="",$M303=""),"",$P303-$M303)</f>
        <v/>
      </c>
    </row>
    <row r="304" customFormat="false" ht="15" hidden="false" customHeight="false" outlineLevel="0" collapsed="false">
      <c r="A304" s="29"/>
      <c r="B304" s="29"/>
      <c r="C304" s="29"/>
      <c r="D304" s="30"/>
      <c r="E304" s="31"/>
      <c r="F304" s="32" t="str">
        <f aca="false">IF($E304="","",$E304+7*IFERROR(VLOOKUP($B304,DS!$K$2:$M$4,2,FALSE()),12))</f>
        <v/>
      </c>
      <c r="G304" s="32" t="str">
        <f aca="false">IF($E304="","",$E304+7*IFERROR(VLOOKUP($B304,DS!$K$2:$M$4,3,FALSE()),12))</f>
        <v/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3" t="str">
        <f aca="false">IF($A304="","",IF($R304&lt;&gt;"","95 Hủy/hoàn",IF($Q304&lt;&gt;"","99 Đóng",IF($P304&lt;&gt;"","90 Đã giao",IF($O304&lt;&gt;"","80 Đang giao",IF($N304&lt;&gt;"","70 Thông quan",IF($M304&lt;&gt;"","60 Đã xuất",IF($L304&lt;&gt;"","50 QC đạt",IF($K304&lt;&gt;"","40 NCC đã gửi",IF($I304&lt;&gt;"","30 Đã đặt NCC",IF($H304&lt;&gt;"","20 Đã xác nhận","10 Mới")))))))))))</f>
        <v/>
      </c>
      <c r="U304" s="33" t="str">
        <f aca="false">IF($T304="","",IFERROR(VLOOKUP($T304,DS!$A$2:$B$12,2,FALSE()),""))</f>
        <v/>
      </c>
      <c r="V304" s="34" t="str">
        <f aca="true">IF(OR($T304="",LEFT($T304,2)="99",LEFT($T304,2)="95"),"",TODAY()-MAX($E304,$H304:$P304))</f>
        <v/>
      </c>
      <c r="W304" s="34" t="str">
        <f aca="true">IF(AND($E304&lt;&gt;"",$I304="",$R304=""),IF(TODAY()-$E304&gt;1,"⚑",""),"")</f>
        <v/>
      </c>
      <c r="X304" s="34" t="str">
        <f aca="true">IF(AND($J304&lt;&gt;"",$K304="",$R304=""),IF(TODAY()-$J304&gt;2,"⚑",""),"")</f>
        <v/>
      </c>
      <c r="Y304" s="34" t="str">
        <f aca="true">IF(AND($G304&lt;&gt;"",$M304="",$R304=""),IF(AND($G304-TODAY()&lt;=14,$G304&gt;=TODAY()),"⚑",""),"")</f>
        <v/>
      </c>
      <c r="Z304" s="34" t="str">
        <f aca="true">IF(AND($G304&lt;&gt;"",$P304="",$R304=""),IF(TODAY()&gt;$G304,"⚑",""),"")</f>
        <v/>
      </c>
      <c r="AA304" s="34" t="str">
        <f aca="true">IF(AND($E304&lt;&gt;"",$P304="",$R304=""),IF(TODAY()-MAX($E304,$H304,$M304,$S304)&gt;7,"⚑",""),"")</f>
        <v/>
      </c>
      <c r="AB304" s="34" t="str">
        <f aca="false">IF(OR($P304="",$G304=""),"",IF($P304&lt;=$G304,"Có","Không"))</f>
        <v/>
      </c>
      <c r="AC304" s="34" t="str">
        <f aca="false">IF(OR($P304="",$E304=""),"",$P304-$E304)</f>
        <v/>
      </c>
      <c r="AD304" s="35" t="str">
        <f aca="false">IF($A304="","",COUNTIF(CASE!$B$3:$B$202,$A304))</f>
        <v/>
      </c>
      <c r="AE304" s="34" t="str">
        <f aca="false">IF(OR($I304="",$E304=""),"",$I304-$E304)</f>
        <v/>
      </c>
      <c r="AF304" s="34" t="str">
        <f aca="false">IF(OR($K304="",$I304=""),"",$K304-$I304)</f>
        <v/>
      </c>
      <c r="AG304" s="34" t="str">
        <f aca="false">IF(OR($L304="",$K304=""),"",$L304-$K304)</f>
        <v/>
      </c>
      <c r="AH304" s="34" t="str">
        <f aca="false">IF(OR($M304="",$L304=""),"",$M304-$L304)</f>
        <v/>
      </c>
      <c r="AI304" s="34" t="str">
        <f aca="false">IF(OR($P304="",$M304=""),"",$P304-$M304)</f>
        <v/>
      </c>
    </row>
    <row r="305" customFormat="false" ht="15" hidden="false" customHeight="false" outlineLevel="0" collapsed="false">
      <c r="A305" s="29"/>
      <c r="B305" s="29"/>
      <c r="C305" s="29"/>
      <c r="D305" s="30"/>
      <c r="E305" s="31"/>
      <c r="F305" s="32" t="str">
        <f aca="false">IF($E305="","",$E305+7*IFERROR(VLOOKUP($B305,DS!$K$2:$M$4,2,FALSE()),12))</f>
        <v/>
      </c>
      <c r="G305" s="32" t="str">
        <f aca="false">IF($E305="","",$E305+7*IFERROR(VLOOKUP($B305,DS!$K$2:$M$4,3,FALSE()),12))</f>
        <v/>
      </c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3" t="str">
        <f aca="false">IF($A305="","",IF($R305&lt;&gt;"","95 Hủy/hoàn",IF($Q305&lt;&gt;"","99 Đóng",IF($P305&lt;&gt;"","90 Đã giao",IF($O305&lt;&gt;"","80 Đang giao",IF($N305&lt;&gt;"","70 Thông quan",IF($M305&lt;&gt;"","60 Đã xuất",IF($L305&lt;&gt;"","50 QC đạt",IF($K305&lt;&gt;"","40 NCC đã gửi",IF($I305&lt;&gt;"","30 Đã đặt NCC",IF($H305&lt;&gt;"","20 Đã xác nhận","10 Mới")))))))))))</f>
        <v/>
      </c>
      <c r="U305" s="33" t="str">
        <f aca="false">IF($T305="","",IFERROR(VLOOKUP($T305,DS!$A$2:$B$12,2,FALSE()),""))</f>
        <v/>
      </c>
      <c r="V305" s="34" t="str">
        <f aca="true">IF(OR($T305="",LEFT($T305,2)="99",LEFT($T305,2)="95"),"",TODAY()-MAX($E305,$H305:$P305))</f>
        <v/>
      </c>
      <c r="W305" s="34" t="str">
        <f aca="true">IF(AND($E305&lt;&gt;"",$I305="",$R305=""),IF(TODAY()-$E305&gt;1,"⚑",""),"")</f>
        <v/>
      </c>
      <c r="X305" s="34" t="str">
        <f aca="true">IF(AND($J305&lt;&gt;"",$K305="",$R305=""),IF(TODAY()-$J305&gt;2,"⚑",""),"")</f>
        <v/>
      </c>
      <c r="Y305" s="34" t="str">
        <f aca="true">IF(AND($G305&lt;&gt;"",$M305="",$R305=""),IF(AND($G305-TODAY()&lt;=14,$G305&gt;=TODAY()),"⚑",""),"")</f>
        <v/>
      </c>
      <c r="Z305" s="34" t="str">
        <f aca="true">IF(AND($G305&lt;&gt;"",$P305="",$R305=""),IF(TODAY()&gt;$G305,"⚑",""),"")</f>
        <v/>
      </c>
      <c r="AA305" s="34" t="str">
        <f aca="true">IF(AND($E305&lt;&gt;"",$P305="",$R305=""),IF(TODAY()-MAX($E305,$H305,$M305,$S305)&gt;7,"⚑",""),"")</f>
        <v/>
      </c>
      <c r="AB305" s="34" t="str">
        <f aca="false">IF(OR($P305="",$G305=""),"",IF($P305&lt;=$G305,"Có","Không"))</f>
        <v/>
      </c>
      <c r="AC305" s="34" t="str">
        <f aca="false">IF(OR($P305="",$E305=""),"",$P305-$E305)</f>
        <v/>
      </c>
      <c r="AD305" s="35" t="str">
        <f aca="false">IF($A305="","",COUNTIF(CASE!$B$3:$B$202,$A305))</f>
        <v/>
      </c>
      <c r="AE305" s="34" t="str">
        <f aca="false">IF(OR($I305="",$E305=""),"",$I305-$E305)</f>
        <v/>
      </c>
      <c r="AF305" s="34" t="str">
        <f aca="false">IF(OR($K305="",$I305=""),"",$K305-$I305)</f>
        <v/>
      </c>
      <c r="AG305" s="34" t="str">
        <f aca="false">IF(OR($L305="",$K305=""),"",$L305-$K305)</f>
        <v/>
      </c>
      <c r="AH305" s="34" t="str">
        <f aca="false">IF(OR($M305="",$L305=""),"",$M305-$L305)</f>
        <v/>
      </c>
      <c r="AI305" s="34" t="str">
        <f aca="false">IF(OR($P305="",$M305=""),"",$P305-$M305)</f>
        <v/>
      </c>
    </row>
    <row r="306" customFormat="false" ht="15" hidden="false" customHeight="false" outlineLevel="0" collapsed="false">
      <c r="A306" s="29"/>
      <c r="B306" s="29"/>
      <c r="C306" s="29"/>
      <c r="D306" s="30"/>
      <c r="E306" s="31"/>
      <c r="F306" s="32" t="str">
        <f aca="false">IF($E306="","",$E306+7*IFERROR(VLOOKUP($B306,DS!$K$2:$M$4,2,FALSE()),12))</f>
        <v/>
      </c>
      <c r="G306" s="32" t="str">
        <f aca="false">IF($E306="","",$E306+7*IFERROR(VLOOKUP($B306,DS!$K$2:$M$4,3,FALSE()),12))</f>
        <v/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3" t="str">
        <f aca="false">IF($A306="","",IF($R306&lt;&gt;"","95 Hủy/hoàn",IF($Q306&lt;&gt;"","99 Đóng",IF($P306&lt;&gt;"","90 Đã giao",IF($O306&lt;&gt;"","80 Đang giao",IF($N306&lt;&gt;"","70 Thông quan",IF($M306&lt;&gt;"","60 Đã xuất",IF($L306&lt;&gt;"","50 QC đạt",IF($K306&lt;&gt;"","40 NCC đã gửi",IF($I306&lt;&gt;"","30 Đã đặt NCC",IF($H306&lt;&gt;"","20 Đã xác nhận","10 Mới")))))))))))</f>
        <v/>
      </c>
      <c r="U306" s="33" t="str">
        <f aca="false">IF($T306="","",IFERROR(VLOOKUP($T306,DS!$A$2:$B$12,2,FALSE()),""))</f>
        <v/>
      </c>
      <c r="V306" s="34" t="str">
        <f aca="true">IF(OR($T306="",LEFT($T306,2)="99",LEFT($T306,2)="95"),"",TODAY()-MAX($E306,$H306:$P306))</f>
        <v/>
      </c>
      <c r="W306" s="34" t="str">
        <f aca="true">IF(AND($E306&lt;&gt;"",$I306="",$R306=""),IF(TODAY()-$E306&gt;1,"⚑",""),"")</f>
        <v/>
      </c>
      <c r="X306" s="34" t="str">
        <f aca="true">IF(AND($J306&lt;&gt;"",$K306="",$R306=""),IF(TODAY()-$J306&gt;2,"⚑",""),"")</f>
        <v/>
      </c>
      <c r="Y306" s="34" t="str">
        <f aca="true">IF(AND($G306&lt;&gt;"",$M306="",$R306=""),IF(AND($G306-TODAY()&lt;=14,$G306&gt;=TODAY()),"⚑",""),"")</f>
        <v/>
      </c>
      <c r="Z306" s="34" t="str">
        <f aca="true">IF(AND($G306&lt;&gt;"",$P306="",$R306=""),IF(TODAY()&gt;$G306,"⚑",""),"")</f>
        <v/>
      </c>
      <c r="AA306" s="34" t="str">
        <f aca="true">IF(AND($E306&lt;&gt;"",$P306="",$R306=""),IF(TODAY()-MAX($E306,$H306,$M306,$S306)&gt;7,"⚑",""),"")</f>
        <v/>
      </c>
      <c r="AB306" s="34" t="str">
        <f aca="false">IF(OR($P306="",$G306=""),"",IF($P306&lt;=$G306,"Có","Không"))</f>
        <v/>
      </c>
      <c r="AC306" s="34" t="str">
        <f aca="false">IF(OR($P306="",$E306=""),"",$P306-$E306)</f>
        <v/>
      </c>
      <c r="AD306" s="35" t="str">
        <f aca="false">IF($A306="","",COUNTIF(CASE!$B$3:$B$202,$A306))</f>
        <v/>
      </c>
      <c r="AE306" s="34" t="str">
        <f aca="false">IF(OR($I306="",$E306=""),"",$I306-$E306)</f>
        <v/>
      </c>
      <c r="AF306" s="34" t="str">
        <f aca="false">IF(OR($K306="",$I306=""),"",$K306-$I306)</f>
        <v/>
      </c>
      <c r="AG306" s="34" t="str">
        <f aca="false">IF(OR($L306="",$K306=""),"",$L306-$K306)</f>
        <v/>
      </c>
      <c r="AH306" s="34" t="str">
        <f aca="false">IF(OR($M306="",$L306=""),"",$M306-$L306)</f>
        <v/>
      </c>
      <c r="AI306" s="34" t="str">
        <f aca="false">IF(OR($P306="",$M306=""),"",$P306-$M306)</f>
        <v/>
      </c>
    </row>
    <row r="307" customFormat="false" ht="15" hidden="false" customHeight="false" outlineLevel="0" collapsed="false">
      <c r="A307" s="29"/>
      <c r="B307" s="29"/>
      <c r="C307" s="29"/>
      <c r="D307" s="30"/>
      <c r="E307" s="31"/>
      <c r="F307" s="32" t="str">
        <f aca="false">IF($E307="","",$E307+7*IFERROR(VLOOKUP($B307,DS!$K$2:$M$4,2,FALSE()),12))</f>
        <v/>
      </c>
      <c r="G307" s="32" t="str">
        <f aca="false">IF($E307="","",$E307+7*IFERROR(VLOOKUP($B307,DS!$K$2:$M$4,3,FALSE()),12))</f>
        <v/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3" t="str">
        <f aca="false">IF($A307="","",IF($R307&lt;&gt;"","95 Hủy/hoàn",IF($Q307&lt;&gt;"","99 Đóng",IF($P307&lt;&gt;"","90 Đã giao",IF($O307&lt;&gt;"","80 Đang giao",IF($N307&lt;&gt;"","70 Thông quan",IF($M307&lt;&gt;"","60 Đã xuất",IF($L307&lt;&gt;"","50 QC đạt",IF($K307&lt;&gt;"","40 NCC đã gửi",IF($I307&lt;&gt;"","30 Đã đặt NCC",IF($H307&lt;&gt;"","20 Đã xác nhận","10 Mới")))))))))))</f>
        <v/>
      </c>
      <c r="U307" s="33" t="str">
        <f aca="false">IF($T307="","",IFERROR(VLOOKUP($T307,DS!$A$2:$B$12,2,FALSE()),""))</f>
        <v/>
      </c>
      <c r="V307" s="34" t="str">
        <f aca="true">IF(OR($T307="",LEFT($T307,2)="99",LEFT($T307,2)="95"),"",TODAY()-MAX($E307,$H307:$P307))</f>
        <v/>
      </c>
      <c r="W307" s="34" t="str">
        <f aca="true">IF(AND($E307&lt;&gt;"",$I307="",$R307=""),IF(TODAY()-$E307&gt;1,"⚑",""),"")</f>
        <v/>
      </c>
      <c r="X307" s="34" t="str">
        <f aca="true">IF(AND($J307&lt;&gt;"",$K307="",$R307=""),IF(TODAY()-$J307&gt;2,"⚑",""),"")</f>
        <v/>
      </c>
      <c r="Y307" s="34" t="str">
        <f aca="true">IF(AND($G307&lt;&gt;"",$M307="",$R307=""),IF(AND($G307-TODAY()&lt;=14,$G307&gt;=TODAY()),"⚑",""),"")</f>
        <v/>
      </c>
      <c r="Z307" s="34" t="str">
        <f aca="true">IF(AND($G307&lt;&gt;"",$P307="",$R307=""),IF(TODAY()&gt;$G307,"⚑",""),"")</f>
        <v/>
      </c>
      <c r="AA307" s="34" t="str">
        <f aca="true">IF(AND($E307&lt;&gt;"",$P307="",$R307=""),IF(TODAY()-MAX($E307,$H307,$M307,$S307)&gt;7,"⚑",""),"")</f>
        <v/>
      </c>
      <c r="AB307" s="34" t="str">
        <f aca="false">IF(OR($P307="",$G307=""),"",IF($P307&lt;=$G307,"Có","Không"))</f>
        <v/>
      </c>
      <c r="AC307" s="34" t="str">
        <f aca="false">IF(OR($P307="",$E307=""),"",$P307-$E307)</f>
        <v/>
      </c>
      <c r="AD307" s="35" t="str">
        <f aca="false">IF($A307="","",COUNTIF(CASE!$B$3:$B$202,$A307))</f>
        <v/>
      </c>
      <c r="AE307" s="34" t="str">
        <f aca="false">IF(OR($I307="",$E307=""),"",$I307-$E307)</f>
        <v/>
      </c>
      <c r="AF307" s="34" t="str">
        <f aca="false">IF(OR($K307="",$I307=""),"",$K307-$I307)</f>
        <v/>
      </c>
      <c r="AG307" s="34" t="str">
        <f aca="false">IF(OR($L307="",$K307=""),"",$L307-$K307)</f>
        <v/>
      </c>
      <c r="AH307" s="34" t="str">
        <f aca="false">IF(OR($M307="",$L307=""),"",$M307-$L307)</f>
        <v/>
      </c>
      <c r="AI307" s="34" t="str">
        <f aca="false">IF(OR($P307="",$M307=""),"",$P307-$M307)</f>
        <v/>
      </c>
    </row>
    <row r="308" customFormat="false" ht="15" hidden="false" customHeight="false" outlineLevel="0" collapsed="false">
      <c r="A308" s="29"/>
      <c r="B308" s="29"/>
      <c r="C308" s="29"/>
      <c r="D308" s="30"/>
      <c r="E308" s="31"/>
      <c r="F308" s="32" t="str">
        <f aca="false">IF($E308="","",$E308+7*IFERROR(VLOOKUP($B308,DS!$K$2:$M$4,2,FALSE()),12))</f>
        <v/>
      </c>
      <c r="G308" s="32" t="str">
        <f aca="false">IF($E308="","",$E308+7*IFERROR(VLOOKUP($B308,DS!$K$2:$M$4,3,FALSE()),12))</f>
        <v/>
      </c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3" t="str">
        <f aca="false">IF($A308="","",IF($R308&lt;&gt;"","95 Hủy/hoàn",IF($Q308&lt;&gt;"","99 Đóng",IF($P308&lt;&gt;"","90 Đã giao",IF($O308&lt;&gt;"","80 Đang giao",IF($N308&lt;&gt;"","70 Thông quan",IF($M308&lt;&gt;"","60 Đã xuất",IF($L308&lt;&gt;"","50 QC đạt",IF($K308&lt;&gt;"","40 NCC đã gửi",IF($I308&lt;&gt;"","30 Đã đặt NCC",IF($H308&lt;&gt;"","20 Đã xác nhận","10 Mới")))))))))))</f>
        <v/>
      </c>
      <c r="U308" s="33" t="str">
        <f aca="false">IF($T308="","",IFERROR(VLOOKUP($T308,DS!$A$2:$B$12,2,FALSE()),""))</f>
        <v/>
      </c>
      <c r="V308" s="34" t="str">
        <f aca="true">IF(OR($T308="",LEFT($T308,2)="99",LEFT($T308,2)="95"),"",TODAY()-MAX($E308,$H308:$P308))</f>
        <v/>
      </c>
      <c r="W308" s="34" t="str">
        <f aca="true">IF(AND($E308&lt;&gt;"",$I308="",$R308=""),IF(TODAY()-$E308&gt;1,"⚑",""),"")</f>
        <v/>
      </c>
      <c r="X308" s="34" t="str">
        <f aca="true">IF(AND($J308&lt;&gt;"",$K308="",$R308=""),IF(TODAY()-$J308&gt;2,"⚑",""),"")</f>
        <v/>
      </c>
      <c r="Y308" s="34" t="str">
        <f aca="true">IF(AND($G308&lt;&gt;"",$M308="",$R308=""),IF(AND($G308-TODAY()&lt;=14,$G308&gt;=TODAY()),"⚑",""),"")</f>
        <v/>
      </c>
      <c r="Z308" s="34" t="str">
        <f aca="true">IF(AND($G308&lt;&gt;"",$P308="",$R308=""),IF(TODAY()&gt;$G308,"⚑",""),"")</f>
        <v/>
      </c>
      <c r="AA308" s="34" t="str">
        <f aca="true">IF(AND($E308&lt;&gt;"",$P308="",$R308=""),IF(TODAY()-MAX($E308,$H308,$M308,$S308)&gt;7,"⚑",""),"")</f>
        <v/>
      </c>
      <c r="AB308" s="34" t="str">
        <f aca="false">IF(OR($P308="",$G308=""),"",IF($P308&lt;=$G308,"Có","Không"))</f>
        <v/>
      </c>
      <c r="AC308" s="34" t="str">
        <f aca="false">IF(OR($P308="",$E308=""),"",$P308-$E308)</f>
        <v/>
      </c>
      <c r="AD308" s="35" t="str">
        <f aca="false">IF($A308="","",COUNTIF(CASE!$B$3:$B$202,$A308))</f>
        <v/>
      </c>
      <c r="AE308" s="34" t="str">
        <f aca="false">IF(OR($I308="",$E308=""),"",$I308-$E308)</f>
        <v/>
      </c>
      <c r="AF308" s="34" t="str">
        <f aca="false">IF(OR($K308="",$I308=""),"",$K308-$I308)</f>
        <v/>
      </c>
      <c r="AG308" s="34" t="str">
        <f aca="false">IF(OR($L308="",$K308=""),"",$L308-$K308)</f>
        <v/>
      </c>
      <c r="AH308" s="34" t="str">
        <f aca="false">IF(OR($M308="",$L308=""),"",$M308-$L308)</f>
        <v/>
      </c>
      <c r="AI308" s="34" t="str">
        <f aca="false">IF(OR($P308="",$M308=""),"",$P308-$M308)</f>
        <v/>
      </c>
    </row>
    <row r="309" customFormat="false" ht="15" hidden="false" customHeight="false" outlineLevel="0" collapsed="false">
      <c r="A309" s="29"/>
      <c r="B309" s="29"/>
      <c r="C309" s="29"/>
      <c r="D309" s="30"/>
      <c r="E309" s="31"/>
      <c r="F309" s="32" t="str">
        <f aca="false">IF($E309="","",$E309+7*IFERROR(VLOOKUP($B309,DS!$K$2:$M$4,2,FALSE()),12))</f>
        <v/>
      </c>
      <c r="G309" s="32" t="str">
        <f aca="false">IF($E309="","",$E309+7*IFERROR(VLOOKUP($B309,DS!$K$2:$M$4,3,FALSE()),12))</f>
        <v/>
      </c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3" t="str">
        <f aca="false">IF($A309="","",IF($R309&lt;&gt;"","95 Hủy/hoàn",IF($Q309&lt;&gt;"","99 Đóng",IF($P309&lt;&gt;"","90 Đã giao",IF($O309&lt;&gt;"","80 Đang giao",IF($N309&lt;&gt;"","70 Thông quan",IF($M309&lt;&gt;"","60 Đã xuất",IF($L309&lt;&gt;"","50 QC đạt",IF($K309&lt;&gt;"","40 NCC đã gửi",IF($I309&lt;&gt;"","30 Đã đặt NCC",IF($H309&lt;&gt;"","20 Đã xác nhận","10 Mới")))))))))))</f>
        <v/>
      </c>
      <c r="U309" s="33" t="str">
        <f aca="false">IF($T309="","",IFERROR(VLOOKUP($T309,DS!$A$2:$B$12,2,FALSE()),""))</f>
        <v/>
      </c>
      <c r="V309" s="34" t="str">
        <f aca="true">IF(OR($T309="",LEFT($T309,2)="99",LEFT($T309,2)="95"),"",TODAY()-MAX($E309,$H309:$P309))</f>
        <v/>
      </c>
      <c r="W309" s="34" t="str">
        <f aca="true">IF(AND($E309&lt;&gt;"",$I309="",$R309=""),IF(TODAY()-$E309&gt;1,"⚑",""),"")</f>
        <v/>
      </c>
      <c r="X309" s="34" t="str">
        <f aca="true">IF(AND($J309&lt;&gt;"",$K309="",$R309=""),IF(TODAY()-$J309&gt;2,"⚑",""),"")</f>
        <v/>
      </c>
      <c r="Y309" s="34" t="str">
        <f aca="true">IF(AND($G309&lt;&gt;"",$M309="",$R309=""),IF(AND($G309-TODAY()&lt;=14,$G309&gt;=TODAY()),"⚑",""),"")</f>
        <v/>
      </c>
      <c r="Z309" s="34" t="str">
        <f aca="true">IF(AND($G309&lt;&gt;"",$P309="",$R309=""),IF(TODAY()&gt;$G309,"⚑",""),"")</f>
        <v/>
      </c>
      <c r="AA309" s="34" t="str">
        <f aca="true">IF(AND($E309&lt;&gt;"",$P309="",$R309=""),IF(TODAY()-MAX($E309,$H309,$M309,$S309)&gt;7,"⚑",""),"")</f>
        <v/>
      </c>
      <c r="AB309" s="34" t="str">
        <f aca="false">IF(OR($P309="",$G309=""),"",IF($P309&lt;=$G309,"Có","Không"))</f>
        <v/>
      </c>
      <c r="AC309" s="34" t="str">
        <f aca="false">IF(OR($P309="",$E309=""),"",$P309-$E309)</f>
        <v/>
      </c>
      <c r="AD309" s="35" t="str">
        <f aca="false">IF($A309="","",COUNTIF(CASE!$B$3:$B$202,$A309))</f>
        <v/>
      </c>
      <c r="AE309" s="34" t="str">
        <f aca="false">IF(OR($I309="",$E309=""),"",$I309-$E309)</f>
        <v/>
      </c>
      <c r="AF309" s="34" t="str">
        <f aca="false">IF(OR($K309="",$I309=""),"",$K309-$I309)</f>
        <v/>
      </c>
      <c r="AG309" s="34" t="str">
        <f aca="false">IF(OR($L309="",$K309=""),"",$L309-$K309)</f>
        <v/>
      </c>
      <c r="AH309" s="34" t="str">
        <f aca="false">IF(OR($M309="",$L309=""),"",$M309-$L309)</f>
        <v/>
      </c>
      <c r="AI309" s="34" t="str">
        <f aca="false">IF(OR($P309="",$M309=""),"",$P309-$M309)</f>
        <v/>
      </c>
    </row>
    <row r="310" customFormat="false" ht="15" hidden="false" customHeight="false" outlineLevel="0" collapsed="false">
      <c r="A310" s="29"/>
      <c r="B310" s="29"/>
      <c r="C310" s="29"/>
      <c r="D310" s="30"/>
      <c r="E310" s="31"/>
      <c r="F310" s="32" t="str">
        <f aca="false">IF($E310="","",$E310+7*IFERROR(VLOOKUP($B310,DS!$K$2:$M$4,2,FALSE()),12))</f>
        <v/>
      </c>
      <c r="G310" s="32" t="str">
        <f aca="false">IF($E310="","",$E310+7*IFERROR(VLOOKUP($B310,DS!$K$2:$M$4,3,FALSE()),12))</f>
        <v/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3" t="str">
        <f aca="false">IF($A310="","",IF($R310&lt;&gt;"","95 Hủy/hoàn",IF($Q310&lt;&gt;"","99 Đóng",IF($P310&lt;&gt;"","90 Đã giao",IF($O310&lt;&gt;"","80 Đang giao",IF($N310&lt;&gt;"","70 Thông quan",IF($M310&lt;&gt;"","60 Đã xuất",IF($L310&lt;&gt;"","50 QC đạt",IF($K310&lt;&gt;"","40 NCC đã gửi",IF($I310&lt;&gt;"","30 Đã đặt NCC",IF($H310&lt;&gt;"","20 Đã xác nhận","10 Mới")))))))))))</f>
        <v/>
      </c>
      <c r="U310" s="33" t="str">
        <f aca="false">IF($T310="","",IFERROR(VLOOKUP($T310,DS!$A$2:$B$12,2,FALSE()),""))</f>
        <v/>
      </c>
      <c r="V310" s="34" t="str">
        <f aca="true">IF(OR($T310="",LEFT($T310,2)="99",LEFT($T310,2)="95"),"",TODAY()-MAX($E310,$H310:$P310))</f>
        <v/>
      </c>
      <c r="W310" s="34" t="str">
        <f aca="true">IF(AND($E310&lt;&gt;"",$I310="",$R310=""),IF(TODAY()-$E310&gt;1,"⚑",""),"")</f>
        <v/>
      </c>
      <c r="X310" s="34" t="str">
        <f aca="true">IF(AND($J310&lt;&gt;"",$K310="",$R310=""),IF(TODAY()-$J310&gt;2,"⚑",""),"")</f>
        <v/>
      </c>
      <c r="Y310" s="34" t="str">
        <f aca="true">IF(AND($G310&lt;&gt;"",$M310="",$R310=""),IF(AND($G310-TODAY()&lt;=14,$G310&gt;=TODAY()),"⚑",""),"")</f>
        <v/>
      </c>
      <c r="Z310" s="34" t="str">
        <f aca="true">IF(AND($G310&lt;&gt;"",$P310="",$R310=""),IF(TODAY()&gt;$G310,"⚑",""),"")</f>
        <v/>
      </c>
      <c r="AA310" s="34" t="str">
        <f aca="true">IF(AND($E310&lt;&gt;"",$P310="",$R310=""),IF(TODAY()-MAX($E310,$H310,$M310,$S310)&gt;7,"⚑",""),"")</f>
        <v/>
      </c>
      <c r="AB310" s="34" t="str">
        <f aca="false">IF(OR($P310="",$G310=""),"",IF($P310&lt;=$G310,"Có","Không"))</f>
        <v/>
      </c>
      <c r="AC310" s="34" t="str">
        <f aca="false">IF(OR($P310="",$E310=""),"",$P310-$E310)</f>
        <v/>
      </c>
      <c r="AD310" s="35" t="str">
        <f aca="false">IF($A310="","",COUNTIF(CASE!$B$3:$B$202,$A310))</f>
        <v/>
      </c>
      <c r="AE310" s="34" t="str">
        <f aca="false">IF(OR($I310="",$E310=""),"",$I310-$E310)</f>
        <v/>
      </c>
      <c r="AF310" s="34" t="str">
        <f aca="false">IF(OR($K310="",$I310=""),"",$K310-$I310)</f>
        <v/>
      </c>
      <c r="AG310" s="34" t="str">
        <f aca="false">IF(OR($L310="",$K310=""),"",$L310-$K310)</f>
        <v/>
      </c>
      <c r="AH310" s="34" t="str">
        <f aca="false">IF(OR($M310="",$L310=""),"",$M310-$L310)</f>
        <v/>
      </c>
      <c r="AI310" s="34" t="str">
        <f aca="false">IF(OR($P310="",$M310=""),"",$P310-$M310)</f>
        <v/>
      </c>
    </row>
    <row r="311" customFormat="false" ht="15" hidden="false" customHeight="false" outlineLevel="0" collapsed="false">
      <c r="A311" s="29"/>
      <c r="B311" s="29"/>
      <c r="C311" s="29"/>
      <c r="D311" s="30"/>
      <c r="E311" s="31"/>
      <c r="F311" s="32" t="str">
        <f aca="false">IF($E311="","",$E311+7*IFERROR(VLOOKUP($B311,DS!$K$2:$M$4,2,FALSE()),12))</f>
        <v/>
      </c>
      <c r="G311" s="32" t="str">
        <f aca="false">IF($E311="","",$E311+7*IFERROR(VLOOKUP($B311,DS!$K$2:$M$4,3,FALSE()),12))</f>
        <v/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3" t="str">
        <f aca="false">IF($A311="","",IF($R311&lt;&gt;"","95 Hủy/hoàn",IF($Q311&lt;&gt;"","99 Đóng",IF($P311&lt;&gt;"","90 Đã giao",IF($O311&lt;&gt;"","80 Đang giao",IF($N311&lt;&gt;"","70 Thông quan",IF($M311&lt;&gt;"","60 Đã xuất",IF($L311&lt;&gt;"","50 QC đạt",IF($K311&lt;&gt;"","40 NCC đã gửi",IF($I311&lt;&gt;"","30 Đã đặt NCC",IF($H311&lt;&gt;"","20 Đã xác nhận","10 Mới")))))))))))</f>
        <v/>
      </c>
      <c r="U311" s="33" t="str">
        <f aca="false">IF($T311="","",IFERROR(VLOOKUP($T311,DS!$A$2:$B$12,2,FALSE()),""))</f>
        <v/>
      </c>
      <c r="V311" s="34" t="str">
        <f aca="true">IF(OR($T311="",LEFT($T311,2)="99",LEFT($T311,2)="95"),"",TODAY()-MAX($E311,$H311:$P311))</f>
        <v/>
      </c>
      <c r="W311" s="34" t="str">
        <f aca="true">IF(AND($E311&lt;&gt;"",$I311="",$R311=""),IF(TODAY()-$E311&gt;1,"⚑",""),"")</f>
        <v/>
      </c>
      <c r="X311" s="34" t="str">
        <f aca="true">IF(AND($J311&lt;&gt;"",$K311="",$R311=""),IF(TODAY()-$J311&gt;2,"⚑",""),"")</f>
        <v/>
      </c>
      <c r="Y311" s="34" t="str">
        <f aca="true">IF(AND($G311&lt;&gt;"",$M311="",$R311=""),IF(AND($G311-TODAY()&lt;=14,$G311&gt;=TODAY()),"⚑",""),"")</f>
        <v/>
      </c>
      <c r="Z311" s="34" t="str">
        <f aca="true">IF(AND($G311&lt;&gt;"",$P311="",$R311=""),IF(TODAY()&gt;$G311,"⚑",""),"")</f>
        <v/>
      </c>
      <c r="AA311" s="34" t="str">
        <f aca="true">IF(AND($E311&lt;&gt;"",$P311="",$R311=""),IF(TODAY()-MAX($E311,$H311,$M311,$S311)&gt;7,"⚑",""),"")</f>
        <v/>
      </c>
      <c r="AB311" s="34" t="str">
        <f aca="false">IF(OR($P311="",$G311=""),"",IF($P311&lt;=$G311,"Có","Không"))</f>
        <v/>
      </c>
      <c r="AC311" s="34" t="str">
        <f aca="false">IF(OR($P311="",$E311=""),"",$P311-$E311)</f>
        <v/>
      </c>
      <c r="AD311" s="35" t="str">
        <f aca="false">IF($A311="","",COUNTIF(CASE!$B$3:$B$202,$A311))</f>
        <v/>
      </c>
      <c r="AE311" s="34" t="str">
        <f aca="false">IF(OR($I311="",$E311=""),"",$I311-$E311)</f>
        <v/>
      </c>
      <c r="AF311" s="34" t="str">
        <f aca="false">IF(OR($K311="",$I311=""),"",$K311-$I311)</f>
        <v/>
      </c>
      <c r="AG311" s="34" t="str">
        <f aca="false">IF(OR($L311="",$K311=""),"",$L311-$K311)</f>
        <v/>
      </c>
      <c r="AH311" s="34" t="str">
        <f aca="false">IF(OR($M311="",$L311=""),"",$M311-$L311)</f>
        <v/>
      </c>
      <c r="AI311" s="34" t="str">
        <f aca="false">IF(OR($P311="",$M311=""),"",$P311-$M311)</f>
        <v/>
      </c>
    </row>
    <row r="312" customFormat="false" ht="15" hidden="false" customHeight="false" outlineLevel="0" collapsed="false">
      <c r="A312" s="29"/>
      <c r="B312" s="29"/>
      <c r="C312" s="29"/>
      <c r="D312" s="30"/>
      <c r="E312" s="31"/>
      <c r="F312" s="32" t="str">
        <f aca="false">IF($E312="","",$E312+7*IFERROR(VLOOKUP($B312,DS!$K$2:$M$4,2,FALSE()),12))</f>
        <v/>
      </c>
      <c r="G312" s="32" t="str">
        <f aca="false">IF($E312="","",$E312+7*IFERROR(VLOOKUP($B312,DS!$K$2:$M$4,3,FALSE()),12))</f>
        <v/>
      </c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3" t="str">
        <f aca="false">IF($A312="","",IF($R312&lt;&gt;"","95 Hủy/hoàn",IF($Q312&lt;&gt;"","99 Đóng",IF($P312&lt;&gt;"","90 Đã giao",IF($O312&lt;&gt;"","80 Đang giao",IF($N312&lt;&gt;"","70 Thông quan",IF($M312&lt;&gt;"","60 Đã xuất",IF($L312&lt;&gt;"","50 QC đạt",IF($K312&lt;&gt;"","40 NCC đã gửi",IF($I312&lt;&gt;"","30 Đã đặt NCC",IF($H312&lt;&gt;"","20 Đã xác nhận","10 Mới")))))))))))</f>
        <v/>
      </c>
      <c r="U312" s="33" t="str">
        <f aca="false">IF($T312="","",IFERROR(VLOOKUP($T312,DS!$A$2:$B$12,2,FALSE()),""))</f>
        <v/>
      </c>
      <c r="V312" s="34" t="str">
        <f aca="true">IF(OR($T312="",LEFT($T312,2)="99",LEFT($T312,2)="95"),"",TODAY()-MAX($E312,$H312:$P312))</f>
        <v/>
      </c>
      <c r="W312" s="34" t="str">
        <f aca="true">IF(AND($E312&lt;&gt;"",$I312="",$R312=""),IF(TODAY()-$E312&gt;1,"⚑",""),"")</f>
        <v/>
      </c>
      <c r="X312" s="34" t="str">
        <f aca="true">IF(AND($J312&lt;&gt;"",$K312="",$R312=""),IF(TODAY()-$J312&gt;2,"⚑",""),"")</f>
        <v/>
      </c>
      <c r="Y312" s="34" t="str">
        <f aca="true">IF(AND($G312&lt;&gt;"",$M312="",$R312=""),IF(AND($G312-TODAY()&lt;=14,$G312&gt;=TODAY()),"⚑",""),"")</f>
        <v/>
      </c>
      <c r="Z312" s="34" t="str">
        <f aca="true">IF(AND($G312&lt;&gt;"",$P312="",$R312=""),IF(TODAY()&gt;$G312,"⚑",""),"")</f>
        <v/>
      </c>
      <c r="AA312" s="34" t="str">
        <f aca="true">IF(AND($E312&lt;&gt;"",$P312="",$R312=""),IF(TODAY()-MAX($E312,$H312,$M312,$S312)&gt;7,"⚑",""),"")</f>
        <v/>
      </c>
      <c r="AB312" s="34" t="str">
        <f aca="false">IF(OR($P312="",$G312=""),"",IF($P312&lt;=$G312,"Có","Không"))</f>
        <v/>
      </c>
      <c r="AC312" s="34" t="str">
        <f aca="false">IF(OR($P312="",$E312=""),"",$P312-$E312)</f>
        <v/>
      </c>
      <c r="AD312" s="35" t="str">
        <f aca="false">IF($A312="","",COUNTIF(CASE!$B$3:$B$202,$A312))</f>
        <v/>
      </c>
      <c r="AE312" s="34" t="str">
        <f aca="false">IF(OR($I312="",$E312=""),"",$I312-$E312)</f>
        <v/>
      </c>
      <c r="AF312" s="34" t="str">
        <f aca="false">IF(OR($K312="",$I312=""),"",$K312-$I312)</f>
        <v/>
      </c>
      <c r="AG312" s="34" t="str">
        <f aca="false">IF(OR($L312="",$K312=""),"",$L312-$K312)</f>
        <v/>
      </c>
      <c r="AH312" s="34" t="str">
        <f aca="false">IF(OR($M312="",$L312=""),"",$M312-$L312)</f>
        <v/>
      </c>
      <c r="AI312" s="34" t="str">
        <f aca="false">IF(OR($P312="",$M312=""),"",$P312-$M312)</f>
        <v/>
      </c>
    </row>
    <row r="313" customFormat="false" ht="15" hidden="false" customHeight="false" outlineLevel="0" collapsed="false">
      <c r="A313" s="29"/>
      <c r="B313" s="29"/>
      <c r="C313" s="29"/>
      <c r="D313" s="30"/>
      <c r="E313" s="31"/>
      <c r="F313" s="32" t="str">
        <f aca="false">IF($E313="","",$E313+7*IFERROR(VLOOKUP($B313,DS!$K$2:$M$4,2,FALSE()),12))</f>
        <v/>
      </c>
      <c r="G313" s="32" t="str">
        <f aca="false">IF($E313="","",$E313+7*IFERROR(VLOOKUP($B313,DS!$K$2:$M$4,3,FALSE()),12))</f>
        <v/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3" t="str">
        <f aca="false">IF($A313="","",IF($R313&lt;&gt;"","95 Hủy/hoàn",IF($Q313&lt;&gt;"","99 Đóng",IF($P313&lt;&gt;"","90 Đã giao",IF($O313&lt;&gt;"","80 Đang giao",IF($N313&lt;&gt;"","70 Thông quan",IF($M313&lt;&gt;"","60 Đã xuất",IF($L313&lt;&gt;"","50 QC đạt",IF($K313&lt;&gt;"","40 NCC đã gửi",IF($I313&lt;&gt;"","30 Đã đặt NCC",IF($H313&lt;&gt;"","20 Đã xác nhận","10 Mới")))))))))))</f>
        <v/>
      </c>
      <c r="U313" s="33" t="str">
        <f aca="false">IF($T313="","",IFERROR(VLOOKUP($T313,DS!$A$2:$B$12,2,FALSE()),""))</f>
        <v/>
      </c>
      <c r="V313" s="34" t="str">
        <f aca="true">IF(OR($T313="",LEFT($T313,2)="99",LEFT($T313,2)="95"),"",TODAY()-MAX($E313,$H313:$P313))</f>
        <v/>
      </c>
      <c r="W313" s="34" t="str">
        <f aca="true">IF(AND($E313&lt;&gt;"",$I313="",$R313=""),IF(TODAY()-$E313&gt;1,"⚑",""),"")</f>
        <v/>
      </c>
      <c r="X313" s="34" t="str">
        <f aca="true">IF(AND($J313&lt;&gt;"",$K313="",$R313=""),IF(TODAY()-$J313&gt;2,"⚑",""),"")</f>
        <v/>
      </c>
      <c r="Y313" s="34" t="str">
        <f aca="true">IF(AND($G313&lt;&gt;"",$M313="",$R313=""),IF(AND($G313-TODAY()&lt;=14,$G313&gt;=TODAY()),"⚑",""),"")</f>
        <v/>
      </c>
      <c r="Z313" s="34" t="str">
        <f aca="true">IF(AND($G313&lt;&gt;"",$P313="",$R313=""),IF(TODAY()&gt;$G313,"⚑",""),"")</f>
        <v/>
      </c>
      <c r="AA313" s="34" t="str">
        <f aca="true">IF(AND($E313&lt;&gt;"",$P313="",$R313=""),IF(TODAY()-MAX($E313,$H313,$M313,$S313)&gt;7,"⚑",""),"")</f>
        <v/>
      </c>
      <c r="AB313" s="34" t="str">
        <f aca="false">IF(OR($P313="",$G313=""),"",IF($P313&lt;=$G313,"Có","Không"))</f>
        <v/>
      </c>
      <c r="AC313" s="34" t="str">
        <f aca="false">IF(OR($P313="",$E313=""),"",$P313-$E313)</f>
        <v/>
      </c>
      <c r="AD313" s="35" t="str">
        <f aca="false">IF($A313="","",COUNTIF(CASE!$B$3:$B$202,$A313))</f>
        <v/>
      </c>
      <c r="AE313" s="34" t="str">
        <f aca="false">IF(OR($I313="",$E313=""),"",$I313-$E313)</f>
        <v/>
      </c>
      <c r="AF313" s="34" t="str">
        <f aca="false">IF(OR($K313="",$I313=""),"",$K313-$I313)</f>
        <v/>
      </c>
      <c r="AG313" s="34" t="str">
        <f aca="false">IF(OR($L313="",$K313=""),"",$L313-$K313)</f>
        <v/>
      </c>
      <c r="AH313" s="34" t="str">
        <f aca="false">IF(OR($M313="",$L313=""),"",$M313-$L313)</f>
        <v/>
      </c>
      <c r="AI313" s="34" t="str">
        <f aca="false">IF(OR($P313="",$M313=""),"",$P313-$M313)</f>
        <v/>
      </c>
    </row>
    <row r="314" customFormat="false" ht="15" hidden="false" customHeight="false" outlineLevel="0" collapsed="false">
      <c r="A314" s="29"/>
      <c r="B314" s="29"/>
      <c r="C314" s="29"/>
      <c r="D314" s="30"/>
      <c r="E314" s="31"/>
      <c r="F314" s="32" t="str">
        <f aca="false">IF($E314="","",$E314+7*IFERROR(VLOOKUP($B314,DS!$K$2:$M$4,2,FALSE()),12))</f>
        <v/>
      </c>
      <c r="G314" s="32" t="str">
        <f aca="false">IF($E314="","",$E314+7*IFERROR(VLOOKUP($B314,DS!$K$2:$M$4,3,FALSE()),12))</f>
        <v/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3" t="str">
        <f aca="false">IF($A314="","",IF($R314&lt;&gt;"","95 Hủy/hoàn",IF($Q314&lt;&gt;"","99 Đóng",IF($P314&lt;&gt;"","90 Đã giao",IF($O314&lt;&gt;"","80 Đang giao",IF($N314&lt;&gt;"","70 Thông quan",IF($M314&lt;&gt;"","60 Đã xuất",IF($L314&lt;&gt;"","50 QC đạt",IF($K314&lt;&gt;"","40 NCC đã gửi",IF($I314&lt;&gt;"","30 Đã đặt NCC",IF($H314&lt;&gt;"","20 Đã xác nhận","10 Mới")))))))))))</f>
        <v/>
      </c>
      <c r="U314" s="33" t="str">
        <f aca="false">IF($T314="","",IFERROR(VLOOKUP($T314,DS!$A$2:$B$12,2,FALSE()),""))</f>
        <v/>
      </c>
      <c r="V314" s="34" t="str">
        <f aca="true">IF(OR($T314="",LEFT($T314,2)="99",LEFT($T314,2)="95"),"",TODAY()-MAX($E314,$H314:$P314))</f>
        <v/>
      </c>
      <c r="W314" s="34" t="str">
        <f aca="true">IF(AND($E314&lt;&gt;"",$I314="",$R314=""),IF(TODAY()-$E314&gt;1,"⚑",""),"")</f>
        <v/>
      </c>
      <c r="X314" s="34" t="str">
        <f aca="true">IF(AND($J314&lt;&gt;"",$K314="",$R314=""),IF(TODAY()-$J314&gt;2,"⚑",""),"")</f>
        <v/>
      </c>
      <c r="Y314" s="34" t="str">
        <f aca="true">IF(AND($G314&lt;&gt;"",$M314="",$R314=""),IF(AND($G314-TODAY()&lt;=14,$G314&gt;=TODAY()),"⚑",""),"")</f>
        <v/>
      </c>
      <c r="Z314" s="34" t="str">
        <f aca="true">IF(AND($G314&lt;&gt;"",$P314="",$R314=""),IF(TODAY()&gt;$G314,"⚑",""),"")</f>
        <v/>
      </c>
      <c r="AA314" s="34" t="str">
        <f aca="true">IF(AND($E314&lt;&gt;"",$P314="",$R314=""),IF(TODAY()-MAX($E314,$H314,$M314,$S314)&gt;7,"⚑",""),"")</f>
        <v/>
      </c>
      <c r="AB314" s="34" t="str">
        <f aca="false">IF(OR($P314="",$G314=""),"",IF($P314&lt;=$G314,"Có","Không"))</f>
        <v/>
      </c>
      <c r="AC314" s="34" t="str">
        <f aca="false">IF(OR($P314="",$E314=""),"",$P314-$E314)</f>
        <v/>
      </c>
      <c r="AD314" s="35" t="str">
        <f aca="false">IF($A314="","",COUNTIF(CASE!$B$3:$B$202,$A314))</f>
        <v/>
      </c>
      <c r="AE314" s="34" t="str">
        <f aca="false">IF(OR($I314="",$E314=""),"",$I314-$E314)</f>
        <v/>
      </c>
      <c r="AF314" s="34" t="str">
        <f aca="false">IF(OR($K314="",$I314=""),"",$K314-$I314)</f>
        <v/>
      </c>
      <c r="AG314" s="34" t="str">
        <f aca="false">IF(OR($L314="",$K314=""),"",$L314-$K314)</f>
        <v/>
      </c>
      <c r="AH314" s="34" t="str">
        <f aca="false">IF(OR($M314="",$L314=""),"",$M314-$L314)</f>
        <v/>
      </c>
      <c r="AI314" s="34" t="str">
        <f aca="false">IF(OR($P314="",$M314=""),"",$P314-$M314)</f>
        <v/>
      </c>
    </row>
    <row r="315" customFormat="false" ht="15" hidden="false" customHeight="false" outlineLevel="0" collapsed="false">
      <c r="A315" s="29"/>
      <c r="B315" s="29"/>
      <c r="C315" s="29"/>
      <c r="D315" s="30"/>
      <c r="E315" s="31"/>
      <c r="F315" s="32" t="str">
        <f aca="false">IF($E315="","",$E315+7*IFERROR(VLOOKUP($B315,DS!$K$2:$M$4,2,FALSE()),12))</f>
        <v/>
      </c>
      <c r="G315" s="32" t="str">
        <f aca="false">IF($E315="","",$E315+7*IFERROR(VLOOKUP($B315,DS!$K$2:$M$4,3,FALSE()),12))</f>
        <v/>
      </c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3" t="str">
        <f aca="false">IF($A315="","",IF($R315&lt;&gt;"","95 Hủy/hoàn",IF($Q315&lt;&gt;"","99 Đóng",IF($P315&lt;&gt;"","90 Đã giao",IF($O315&lt;&gt;"","80 Đang giao",IF($N315&lt;&gt;"","70 Thông quan",IF($M315&lt;&gt;"","60 Đã xuất",IF($L315&lt;&gt;"","50 QC đạt",IF($K315&lt;&gt;"","40 NCC đã gửi",IF($I315&lt;&gt;"","30 Đã đặt NCC",IF($H315&lt;&gt;"","20 Đã xác nhận","10 Mới")))))))))))</f>
        <v/>
      </c>
      <c r="U315" s="33" t="str">
        <f aca="false">IF($T315="","",IFERROR(VLOOKUP($T315,DS!$A$2:$B$12,2,FALSE()),""))</f>
        <v/>
      </c>
      <c r="V315" s="34" t="str">
        <f aca="true">IF(OR($T315="",LEFT($T315,2)="99",LEFT($T315,2)="95"),"",TODAY()-MAX($E315,$H315:$P315))</f>
        <v/>
      </c>
      <c r="W315" s="34" t="str">
        <f aca="true">IF(AND($E315&lt;&gt;"",$I315="",$R315=""),IF(TODAY()-$E315&gt;1,"⚑",""),"")</f>
        <v/>
      </c>
      <c r="X315" s="34" t="str">
        <f aca="true">IF(AND($J315&lt;&gt;"",$K315="",$R315=""),IF(TODAY()-$J315&gt;2,"⚑",""),"")</f>
        <v/>
      </c>
      <c r="Y315" s="34" t="str">
        <f aca="true">IF(AND($G315&lt;&gt;"",$M315="",$R315=""),IF(AND($G315-TODAY()&lt;=14,$G315&gt;=TODAY()),"⚑",""),"")</f>
        <v/>
      </c>
      <c r="Z315" s="34" t="str">
        <f aca="true">IF(AND($G315&lt;&gt;"",$P315="",$R315=""),IF(TODAY()&gt;$G315,"⚑",""),"")</f>
        <v/>
      </c>
      <c r="AA315" s="34" t="str">
        <f aca="true">IF(AND($E315&lt;&gt;"",$P315="",$R315=""),IF(TODAY()-MAX($E315,$H315,$M315,$S315)&gt;7,"⚑",""),"")</f>
        <v/>
      </c>
      <c r="AB315" s="34" t="str">
        <f aca="false">IF(OR($P315="",$G315=""),"",IF($P315&lt;=$G315,"Có","Không"))</f>
        <v/>
      </c>
      <c r="AC315" s="34" t="str">
        <f aca="false">IF(OR($P315="",$E315=""),"",$P315-$E315)</f>
        <v/>
      </c>
      <c r="AD315" s="35" t="str">
        <f aca="false">IF($A315="","",COUNTIF(CASE!$B$3:$B$202,$A315))</f>
        <v/>
      </c>
      <c r="AE315" s="34" t="str">
        <f aca="false">IF(OR($I315="",$E315=""),"",$I315-$E315)</f>
        <v/>
      </c>
      <c r="AF315" s="34" t="str">
        <f aca="false">IF(OR($K315="",$I315=""),"",$K315-$I315)</f>
        <v/>
      </c>
      <c r="AG315" s="34" t="str">
        <f aca="false">IF(OR($L315="",$K315=""),"",$L315-$K315)</f>
        <v/>
      </c>
      <c r="AH315" s="34" t="str">
        <f aca="false">IF(OR($M315="",$L315=""),"",$M315-$L315)</f>
        <v/>
      </c>
      <c r="AI315" s="34" t="str">
        <f aca="false">IF(OR($P315="",$M315=""),"",$P315-$M315)</f>
        <v/>
      </c>
    </row>
    <row r="316" customFormat="false" ht="15" hidden="false" customHeight="false" outlineLevel="0" collapsed="false">
      <c r="A316" s="29"/>
      <c r="B316" s="29"/>
      <c r="C316" s="29"/>
      <c r="D316" s="30"/>
      <c r="E316" s="31"/>
      <c r="F316" s="32" t="str">
        <f aca="false">IF($E316="","",$E316+7*IFERROR(VLOOKUP($B316,DS!$K$2:$M$4,2,FALSE()),12))</f>
        <v/>
      </c>
      <c r="G316" s="32" t="str">
        <f aca="false">IF($E316="","",$E316+7*IFERROR(VLOOKUP($B316,DS!$K$2:$M$4,3,FALSE()),12))</f>
        <v/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3" t="str">
        <f aca="false">IF($A316="","",IF($R316&lt;&gt;"","95 Hủy/hoàn",IF($Q316&lt;&gt;"","99 Đóng",IF($P316&lt;&gt;"","90 Đã giao",IF($O316&lt;&gt;"","80 Đang giao",IF($N316&lt;&gt;"","70 Thông quan",IF($M316&lt;&gt;"","60 Đã xuất",IF($L316&lt;&gt;"","50 QC đạt",IF($K316&lt;&gt;"","40 NCC đã gửi",IF($I316&lt;&gt;"","30 Đã đặt NCC",IF($H316&lt;&gt;"","20 Đã xác nhận","10 Mới")))))))))))</f>
        <v/>
      </c>
      <c r="U316" s="33" t="str">
        <f aca="false">IF($T316="","",IFERROR(VLOOKUP($T316,DS!$A$2:$B$12,2,FALSE()),""))</f>
        <v/>
      </c>
      <c r="V316" s="34" t="str">
        <f aca="true">IF(OR($T316="",LEFT($T316,2)="99",LEFT($T316,2)="95"),"",TODAY()-MAX($E316,$H316:$P316))</f>
        <v/>
      </c>
      <c r="W316" s="34" t="str">
        <f aca="true">IF(AND($E316&lt;&gt;"",$I316="",$R316=""),IF(TODAY()-$E316&gt;1,"⚑",""),"")</f>
        <v/>
      </c>
      <c r="X316" s="34" t="str">
        <f aca="true">IF(AND($J316&lt;&gt;"",$K316="",$R316=""),IF(TODAY()-$J316&gt;2,"⚑",""),"")</f>
        <v/>
      </c>
      <c r="Y316" s="34" t="str">
        <f aca="true">IF(AND($G316&lt;&gt;"",$M316="",$R316=""),IF(AND($G316-TODAY()&lt;=14,$G316&gt;=TODAY()),"⚑",""),"")</f>
        <v/>
      </c>
      <c r="Z316" s="34" t="str">
        <f aca="true">IF(AND($G316&lt;&gt;"",$P316="",$R316=""),IF(TODAY()&gt;$G316,"⚑",""),"")</f>
        <v/>
      </c>
      <c r="AA316" s="34" t="str">
        <f aca="true">IF(AND($E316&lt;&gt;"",$P316="",$R316=""),IF(TODAY()-MAX($E316,$H316,$M316,$S316)&gt;7,"⚑",""),"")</f>
        <v/>
      </c>
      <c r="AB316" s="34" t="str">
        <f aca="false">IF(OR($P316="",$G316=""),"",IF($P316&lt;=$G316,"Có","Không"))</f>
        <v/>
      </c>
      <c r="AC316" s="34" t="str">
        <f aca="false">IF(OR($P316="",$E316=""),"",$P316-$E316)</f>
        <v/>
      </c>
      <c r="AD316" s="35" t="str">
        <f aca="false">IF($A316="","",COUNTIF(CASE!$B$3:$B$202,$A316))</f>
        <v/>
      </c>
      <c r="AE316" s="34" t="str">
        <f aca="false">IF(OR($I316="",$E316=""),"",$I316-$E316)</f>
        <v/>
      </c>
      <c r="AF316" s="34" t="str">
        <f aca="false">IF(OR($K316="",$I316=""),"",$K316-$I316)</f>
        <v/>
      </c>
      <c r="AG316" s="34" t="str">
        <f aca="false">IF(OR($L316="",$K316=""),"",$L316-$K316)</f>
        <v/>
      </c>
      <c r="AH316" s="34" t="str">
        <f aca="false">IF(OR($M316="",$L316=""),"",$M316-$L316)</f>
        <v/>
      </c>
      <c r="AI316" s="34" t="str">
        <f aca="false">IF(OR($P316="",$M316=""),"",$P316-$M316)</f>
        <v/>
      </c>
    </row>
    <row r="317" customFormat="false" ht="15" hidden="false" customHeight="false" outlineLevel="0" collapsed="false">
      <c r="A317" s="29"/>
      <c r="B317" s="29"/>
      <c r="C317" s="29"/>
      <c r="D317" s="30"/>
      <c r="E317" s="31"/>
      <c r="F317" s="32" t="str">
        <f aca="false">IF($E317="","",$E317+7*IFERROR(VLOOKUP($B317,DS!$K$2:$M$4,2,FALSE()),12))</f>
        <v/>
      </c>
      <c r="G317" s="32" t="str">
        <f aca="false">IF($E317="","",$E317+7*IFERROR(VLOOKUP($B317,DS!$K$2:$M$4,3,FALSE()),12))</f>
        <v/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3" t="str">
        <f aca="false">IF($A317="","",IF($R317&lt;&gt;"","95 Hủy/hoàn",IF($Q317&lt;&gt;"","99 Đóng",IF($P317&lt;&gt;"","90 Đã giao",IF($O317&lt;&gt;"","80 Đang giao",IF($N317&lt;&gt;"","70 Thông quan",IF($M317&lt;&gt;"","60 Đã xuất",IF($L317&lt;&gt;"","50 QC đạt",IF($K317&lt;&gt;"","40 NCC đã gửi",IF($I317&lt;&gt;"","30 Đã đặt NCC",IF($H317&lt;&gt;"","20 Đã xác nhận","10 Mới")))))))))))</f>
        <v/>
      </c>
      <c r="U317" s="33" t="str">
        <f aca="false">IF($T317="","",IFERROR(VLOOKUP($T317,DS!$A$2:$B$12,2,FALSE()),""))</f>
        <v/>
      </c>
      <c r="V317" s="34" t="str">
        <f aca="true">IF(OR($T317="",LEFT($T317,2)="99",LEFT($T317,2)="95"),"",TODAY()-MAX($E317,$H317:$P317))</f>
        <v/>
      </c>
      <c r="W317" s="34" t="str">
        <f aca="true">IF(AND($E317&lt;&gt;"",$I317="",$R317=""),IF(TODAY()-$E317&gt;1,"⚑",""),"")</f>
        <v/>
      </c>
      <c r="X317" s="34" t="str">
        <f aca="true">IF(AND($J317&lt;&gt;"",$K317="",$R317=""),IF(TODAY()-$J317&gt;2,"⚑",""),"")</f>
        <v/>
      </c>
      <c r="Y317" s="34" t="str">
        <f aca="true">IF(AND($G317&lt;&gt;"",$M317="",$R317=""),IF(AND($G317-TODAY()&lt;=14,$G317&gt;=TODAY()),"⚑",""),"")</f>
        <v/>
      </c>
      <c r="Z317" s="34" t="str">
        <f aca="true">IF(AND($G317&lt;&gt;"",$P317="",$R317=""),IF(TODAY()&gt;$G317,"⚑",""),"")</f>
        <v/>
      </c>
      <c r="AA317" s="34" t="str">
        <f aca="true">IF(AND($E317&lt;&gt;"",$P317="",$R317=""),IF(TODAY()-MAX($E317,$H317,$M317,$S317)&gt;7,"⚑",""),"")</f>
        <v/>
      </c>
      <c r="AB317" s="34" t="str">
        <f aca="false">IF(OR($P317="",$G317=""),"",IF($P317&lt;=$G317,"Có","Không"))</f>
        <v/>
      </c>
      <c r="AC317" s="34" t="str">
        <f aca="false">IF(OR($P317="",$E317=""),"",$P317-$E317)</f>
        <v/>
      </c>
      <c r="AD317" s="35" t="str">
        <f aca="false">IF($A317="","",COUNTIF(CASE!$B$3:$B$202,$A317))</f>
        <v/>
      </c>
      <c r="AE317" s="34" t="str">
        <f aca="false">IF(OR($I317="",$E317=""),"",$I317-$E317)</f>
        <v/>
      </c>
      <c r="AF317" s="34" t="str">
        <f aca="false">IF(OR($K317="",$I317=""),"",$K317-$I317)</f>
        <v/>
      </c>
      <c r="AG317" s="34" t="str">
        <f aca="false">IF(OR($L317="",$K317=""),"",$L317-$K317)</f>
        <v/>
      </c>
      <c r="AH317" s="34" t="str">
        <f aca="false">IF(OR($M317="",$L317=""),"",$M317-$L317)</f>
        <v/>
      </c>
      <c r="AI317" s="34" t="str">
        <f aca="false">IF(OR($P317="",$M317=""),"",$P317-$M317)</f>
        <v/>
      </c>
    </row>
    <row r="318" customFormat="false" ht="15" hidden="false" customHeight="false" outlineLevel="0" collapsed="false">
      <c r="A318" s="29"/>
      <c r="B318" s="29"/>
      <c r="C318" s="29"/>
      <c r="D318" s="30"/>
      <c r="E318" s="31"/>
      <c r="F318" s="32" t="str">
        <f aca="false">IF($E318="","",$E318+7*IFERROR(VLOOKUP($B318,DS!$K$2:$M$4,2,FALSE()),12))</f>
        <v/>
      </c>
      <c r="G318" s="32" t="str">
        <f aca="false">IF($E318="","",$E318+7*IFERROR(VLOOKUP($B318,DS!$K$2:$M$4,3,FALSE()),12))</f>
        <v/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3" t="str">
        <f aca="false">IF($A318="","",IF($R318&lt;&gt;"","95 Hủy/hoàn",IF($Q318&lt;&gt;"","99 Đóng",IF($P318&lt;&gt;"","90 Đã giao",IF($O318&lt;&gt;"","80 Đang giao",IF($N318&lt;&gt;"","70 Thông quan",IF($M318&lt;&gt;"","60 Đã xuất",IF($L318&lt;&gt;"","50 QC đạt",IF($K318&lt;&gt;"","40 NCC đã gửi",IF($I318&lt;&gt;"","30 Đã đặt NCC",IF($H318&lt;&gt;"","20 Đã xác nhận","10 Mới")))))))))))</f>
        <v/>
      </c>
      <c r="U318" s="33" t="str">
        <f aca="false">IF($T318="","",IFERROR(VLOOKUP($T318,DS!$A$2:$B$12,2,FALSE()),""))</f>
        <v/>
      </c>
      <c r="V318" s="34" t="str">
        <f aca="true">IF(OR($T318="",LEFT($T318,2)="99",LEFT($T318,2)="95"),"",TODAY()-MAX($E318,$H318:$P318))</f>
        <v/>
      </c>
      <c r="W318" s="34" t="str">
        <f aca="true">IF(AND($E318&lt;&gt;"",$I318="",$R318=""),IF(TODAY()-$E318&gt;1,"⚑",""),"")</f>
        <v/>
      </c>
      <c r="X318" s="34" t="str">
        <f aca="true">IF(AND($J318&lt;&gt;"",$K318="",$R318=""),IF(TODAY()-$J318&gt;2,"⚑",""),"")</f>
        <v/>
      </c>
      <c r="Y318" s="34" t="str">
        <f aca="true">IF(AND($G318&lt;&gt;"",$M318="",$R318=""),IF(AND($G318-TODAY()&lt;=14,$G318&gt;=TODAY()),"⚑",""),"")</f>
        <v/>
      </c>
      <c r="Z318" s="34" t="str">
        <f aca="true">IF(AND($G318&lt;&gt;"",$P318="",$R318=""),IF(TODAY()&gt;$G318,"⚑",""),"")</f>
        <v/>
      </c>
      <c r="AA318" s="34" t="str">
        <f aca="true">IF(AND($E318&lt;&gt;"",$P318="",$R318=""),IF(TODAY()-MAX($E318,$H318,$M318,$S318)&gt;7,"⚑",""),"")</f>
        <v/>
      </c>
      <c r="AB318" s="34" t="str">
        <f aca="false">IF(OR($P318="",$G318=""),"",IF($P318&lt;=$G318,"Có","Không"))</f>
        <v/>
      </c>
      <c r="AC318" s="34" t="str">
        <f aca="false">IF(OR($P318="",$E318=""),"",$P318-$E318)</f>
        <v/>
      </c>
      <c r="AD318" s="35" t="str">
        <f aca="false">IF($A318="","",COUNTIF(CASE!$B$3:$B$202,$A318))</f>
        <v/>
      </c>
      <c r="AE318" s="34" t="str">
        <f aca="false">IF(OR($I318="",$E318=""),"",$I318-$E318)</f>
        <v/>
      </c>
      <c r="AF318" s="34" t="str">
        <f aca="false">IF(OR($K318="",$I318=""),"",$K318-$I318)</f>
        <v/>
      </c>
      <c r="AG318" s="34" t="str">
        <f aca="false">IF(OR($L318="",$K318=""),"",$L318-$K318)</f>
        <v/>
      </c>
      <c r="AH318" s="34" t="str">
        <f aca="false">IF(OR($M318="",$L318=""),"",$M318-$L318)</f>
        <v/>
      </c>
      <c r="AI318" s="34" t="str">
        <f aca="false">IF(OR($P318="",$M318=""),"",$P318-$M318)</f>
        <v/>
      </c>
    </row>
    <row r="319" customFormat="false" ht="15" hidden="false" customHeight="false" outlineLevel="0" collapsed="false">
      <c r="A319" s="29"/>
      <c r="B319" s="29"/>
      <c r="C319" s="29"/>
      <c r="D319" s="30"/>
      <c r="E319" s="31"/>
      <c r="F319" s="32" t="str">
        <f aca="false">IF($E319="","",$E319+7*IFERROR(VLOOKUP($B319,DS!$K$2:$M$4,2,FALSE()),12))</f>
        <v/>
      </c>
      <c r="G319" s="32" t="str">
        <f aca="false">IF($E319="","",$E319+7*IFERROR(VLOOKUP($B319,DS!$K$2:$M$4,3,FALSE()),12))</f>
        <v/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3" t="str">
        <f aca="false">IF($A319="","",IF($R319&lt;&gt;"","95 Hủy/hoàn",IF($Q319&lt;&gt;"","99 Đóng",IF($P319&lt;&gt;"","90 Đã giao",IF($O319&lt;&gt;"","80 Đang giao",IF($N319&lt;&gt;"","70 Thông quan",IF($M319&lt;&gt;"","60 Đã xuất",IF($L319&lt;&gt;"","50 QC đạt",IF($K319&lt;&gt;"","40 NCC đã gửi",IF($I319&lt;&gt;"","30 Đã đặt NCC",IF($H319&lt;&gt;"","20 Đã xác nhận","10 Mới")))))))))))</f>
        <v/>
      </c>
      <c r="U319" s="33" t="str">
        <f aca="false">IF($T319="","",IFERROR(VLOOKUP($T319,DS!$A$2:$B$12,2,FALSE()),""))</f>
        <v/>
      </c>
      <c r="V319" s="34" t="str">
        <f aca="true">IF(OR($T319="",LEFT($T319,2)="99",LEFT($T319,2)="95"),"",TODAY()-MAX($E319,$H319:$P319))</f>
        <v/>
      </c>
      <c r="W319" s="34" t="str">
        <f aca="true">IF(AND($E319&lt;&gt;"",$I319="",$R319=""),IF(TODAY()-$E319&gt;1,"⚑",""),"")</f>
        <v/>
      </c>
      <c r="X319" s="34" t="str">
        <f aca="true">IF(AND($J319&lt;&gt;"",$K319="",$R319=""),IF(TODAY()-$J319&gt;2,"⚑",""),"")</f>
        <v/>
      </c>
      <c r="Y319" s="34" t="str">
        <f aca="true">IF(AND($G319&lt;&gt;"",$M319="",$R319=""),IF(AND($G319-TODAY()&lt;=14,$G319&gt;=TODAY()),"⚑",""),"")</f>
        <v/>
      </c>
      <c r="Z319" s="34" t="str">
        <f aca="true">IF(AND($G319&lt;&gt;"",$P319="",$R319=""),IF(TODAY()&gt;$G319,"⚑",""),"")</f>
        <v/>
      </c>
      <c r="AA319" s="34" t="str">
        <f aca="true">IF(AND($E319&lt;&gt;"",$P319="",$R319=""),IF(TODAY()-MAX($E319,$H319,$M319,$S319)&gt;7,"⚑",""),"")</f>
        <v/>
      </c>
      <c r="AB319" s="34" t="str">
        <f aca="false">IF(OR($P319="",$G319=""),"",IF($P319&lt;=$G319,"Có","Không"))</f>
        <v/>
      </c>
      <c r="AC319" s="34" t="str">
        <f aca="false">IF(OR($P319="",$E319=""),"",$P319-$E319)</f>
        <v/>
      </c>
      <c r="AD319" s="35" t="str">
        <f aca="false">IF($A319="","",COUNTIF(CASE!$B$3:$B$202,$A319))</f>
        <v/>
      </c>
      <c r="AE319" s="34" t="str">
        <f aca="false">IF(OR($I319="",$E319=""),"",$I319-$E319)</f>
        <v/>
      </c>
      <c r="AF319" s="34" t="str">
        <f aca="false">IF(OR($K319="",$I319=""),"",$K319-$I319)</f>
        <v/>
      </c>
      <c r="AG319" s="34" t="str">
        <f aca="false">IF(OR($L319="",$K319=""),"",$L319-$K319)</f>
        <v/>
      </c>
      <c r="AH319" s="34" t="str">
        <f aca="false">IF(OR($M319="",$L319=""),"",$M319-$L319)</f>
        <v/>
      </c>
      <c r="AI319" s="34" t="str">
        <f aca="false">IF(OR($P319="",$M319=""),"",$P319-$M319)</f>
        <v/>
      </c>
    </row>
    <row r="320" customFormat="false" ht="15" hidden="false" customHeight="false" outlineLevel="0" collapsed="false">
      <c r="A320" s="29"/>
      <c r="B320" s="29"/>
      <c r="C320" s="29"/>
      <c r="D320" s="30"/>
      <c r="E320" s="31"/>
      <c r="F320" s="32" t="str">
        <f aca="false">IF($E320="","",$E320+7*IFERROR(VLOOKUP($B320,DS!$K$2:$M$4,2,FALSE()),12))</f>
        <v/>
      </c>
      <c r="G320" s="32" t="str">
        <f aca="false">IF($E320="","",$E320+7*IFERROR(VLOOKUP($B320,DS!$K$2:$M$4,3,FALSE()),12))</f>
        <v/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3" t="str">
        <f aca="false">IF($A320="","",IF($R320&lt;&gt;"","95 Hủy/hoàn",IF($Q320&lt;&gt;"","99 Đóng",IF($P320&lt;&gt;"","90 Đã giao",IF($O320&lt;&gt;"","80 Đang giao",IF($N320&lt;&gt;"","70 Thông quan",IF($M320&lt;&gt;"","60 Đã xuất",IF($L320&lt;&gt;"","50 QC đạt",IF($K320&lt;&gt;"","40 NCC đã gửi",IF($I320&lt;&gt;"","30 Đã đặt NCC",IF($H320&lt;&gt;"","20 Đã xác nhận","10 Mới")))))))))))</f>
        <v/>
      </c>
      <c r="U320" s="33" t="str">
        <f aca="false">IF($T320="","",IFERROR(VLOOKUP($T320,DS!$A$2:$B$12,2,FALSE()),""))</f>
        <v/>
      </c>
      <c r="V320" s="34" t="str">
        <f aca="true">IF(OR($T320="",LEFT($T320,2)="99",LEFT($T320,2)="95"),"",TODAY()-MAX($E320,$H320:$P320))</f>
        <v/>
      </c>
      <c r="W320" s="34" t="str">
        <f aca="true">IF(AND($E320&lt;&gt;"",$I320="",$R320=""),IF(TODAY()-$E320&gt;1,"⚑",""),"")</f>
        <v/>
      </c>
      <c r="X320" s="34" t="str">
        <f aca="true">IF(AND($J320&lt;&gt;"",$K320="",$R320=""),IF(TODAY()-$J320&gt;2,"⚑",""),"")</f>
        <v/>
      </c>
      <c r="Y320" s="34" t="str">
        <f aca="true">IF(AND($G320&lt;&gt;"",$M320="",$R320=""),IF(AND($G320-TODAY()&lt;=14,$G320&gt;=TODAY()),"⚑",""),"")</f>
        <v/>
      </c>
      <c r="Z320" s="34" t="str">
        <f aca="true">IF(AND($G320&lt;&gt;"",$P320="",$R320=""),IF(TODAY()&gt;$G320,"⚑",""),"")</f>
        <v/>
      </c>
      <c r="AA320" s="34" t="str">
        <f aca="true">IF(AND($E320&lt;&gt;"",$P320="",$R320=""),IF(TODAY()-MAX($E320,$H320,$M320,$S320)&gt;7,"⚑",""),"")</f>
        <v/>
      </c>
      <c r="AB320" s="34" t="str">
        <f aca="false">IF(OR($P320="",$G320=""),"",IF($P320&lt;=$G320,"Có","Không"))</f>
        <v/>
      </c>
      <c r="AC320" s="34" t="str">
        <f aca="false">IF(OR($P320="",$E320=""),"",$P320-$E320)</f>
        <v/>
      </c>
      <c r="AD320" s="35" t="str">
        <f aca="false">IF($A320="","",COUNTIF(CASE!$B$3:$B$202,$A320))</f>
        <v/>
      </c>
      <c r="AE320" s="34" t="str">
        <f aca="false">IF(OR($I320="",$E320=""),"",$I320-$E320)</f>
        <v/>
      </c>
      <c r="AF320" s="34" t="str">
        <f aca="false">IF(OR($K320="",$I320=""),"",$K320-$I320)</f>
        <v/>
      </c>
      <c r="AG320" s="34" t="str">
        <f aca="false">IF(OR($L320="",$K320=""),"",$L320-$K320)</f>
        <v/>
      </c>
      <c r="AH320" s="34" t="str">
        <f aca="false">IF(OR($M320="",$L320=""),"",$M320-$L320)</f>
        <v/>
      </c>
      <c r="AI320" s="34" t="str">
        <f aca="false">IF(OR($P320="",$M320=""),"",$P320-$M320)</f>
        <v/>
      </c>
    </row>
    <row r="321" customFormat="false" ht="15" hidden="false" customHeight="false" outlineLevel="0" collapsed="false">
      <c r="A321" s="29"/>
      <c r="B321" s="29"/>
      <c r="C321" s="29"/>
      <c r="D321" s="30"/>
      <c r="E321" s="31"/>
      <c r="F321" s="32" t="str">
        <f aca="false">IF($E321="","",$E321+7*IFERROR(VLOOKUP($B321,DS!$K$2:$M$4,2,FALSE()),12))</f>
        <v/>
      </c>
      <c r="G321" s="32" t="str">
        <f aca="false">IF($E321="","",$E321+7*IFERROR(VLOOKUP($B321,DS!$K$2:$M$4,3,FALSE()),12))</f>
        <v/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3" t="str">
        <f aca="false">IF($A321="","",IF($R321&lt;&gt;"","95 Hủy/hoàn",IF($Q321&lt;&gt;"","99 Đóng",IF($P321&lt;&gt;"","90 Đã giao",IF($O321&lt;&gt;"","80 Đang giao",IF($N321&lt;&gt;"","70 Thông quan",IF($M321&lt;&gt;"","60 Đã xuất",IF($L321&lt;&gt;"","50 QC đạt",IF($K321&lt;&gt;"","40 NCC đã gửi",IF($I321&lt;&gt;"","30 Đã đặt NCC",IF($H321&lt;&gt;"","20 Đã xác nhận","10 Mới")))))))))))</f>
        <v/>
      </c>
      <c r="U321" s="33" t="str">
        <f aca="false">IF($T321="","",IFERROR(VLOOKUP($T321,DS!$A$2:$B$12,2,FALSE()),""))</f>
        <v/>
      </c>
      <c r="V321" s="34" t="str">
        <f aca="true">IF(OR($T321="",LEFT($T321,2)="99",LEFT($T321,2)="95"),"",TODAY()-MAX($E321,$H321:$P321))</f>
        <v/>
      </c>
      <c r="W321" s="34" t="str">
        <f aca="true">IF(AND($E321&lt;&gt;"",$I321="",$R321=""),IF(TODAY()-$E321&gt;1,"⚑",""),"")</f>
        <v/>
      </c>
      <c r="X321" s="34" t="str">
        <f aca="true">IF(AND($J321&lt;&gt;"",$K321="",$R321=""),IF(TODAY()-$J321&gt;2,"⚑",""),"")</f>
        <v/>
      </c>
      <c r="Y321" s="34" t="str">
        <f aca="true">IF(AND($G321&lt;&gt;"",$M321="",$R321=""),IF(AND($G321-TODAY()&lt;=14,$G321&gt;=TODAY()),"⚑",""),"")</f>
        <v/>
      </c>
      <c r="Z321" s="34" t="str">
        <f aca="true">IF(AND($G321&lt;&gt;"",$P321="",$R321=""),IF(TODAY()&gt;$G321,"⚑",""),"")</f>
        <v/>
      </c>
      <c r="AA321" s="34" t="str">
        <f aca="true">IF(AND($E321&lt;&gt;"",$P321="",$R321=""),IF(TODAY()-MAX($E321,$H321,$M321,$S321)&gt;7,"⚑",""),"")</f>
        <v/>
      </c>
      <c r="AB321" s="34" t="str">
        <f aca="false">IF(OR($P321="",$G321=""),"",IF($P321&lt;=$G321,"Có","Không"))</f>
        <v/>
      </c>
      <c r="AC321" s="34" t="str">
        <f aca="false">IF(OR($P321="",$E321=""),"",$P321-$E321)</f>
        <v/>
      </c>
      <c r="AD321" s="35" t="str">
        <f aca="false">IF($A321="","",COUNTIF(CASE!$B$3:$B$202,$A321))</f>
        <v/>
      </c>
      <c r="AE321" s="34" t="str">
        <f aca="false">IF(OR($I321="",$E321=""),"",$I321-$E321)</f>
        <v/>
      </c>
      <c r="AF321" s="34" t="str">
        <f aca="false">IF(OR($K321="",$I321=""),"",$K321-$I321)</f>
        <v/>
      </c>
      <c r="AG321" s="34" t="str">
        <f aca="false">IF(OR($L321="",$K321=""),"",$L321-$K321)</f>
        <v/>
      </c>
      <c r="AH321" s="34" t="str">
        <f aca="false">IF(OR($M321="",$L321=""),"",$M321-$L321)</f>
        <v/>
      </c>
      <c r="AI321" s="34" t="str">
        <f aca="false">IF(OR($P321="",$M321=""),"",$P321-$M321)</f>
        <v/>
      </c>
    </row>
    <row r="322" customFormat="false" ht="15" hidden="false" customHeight="false" outlineLevel="0" collapsed="false">
      <c r="A322" s="29"/>
      <c r="B322" s="29"/>
      <c r="C322" s="29"/>
      <c r="D322" s="30"/>
      <c r="E322" s="31"/>
      <c r="F322" s="32" t="str">
        <f aca="false">IF($E322="","",$E322+7*IFERROR(VLOOKUP($B322,DS!$K$2:$M$4,2,FALSE()),12))</f>
        <v/>
      </c>
      <c r="G322" s="32" t="str">
        <f aca="false">IF($E322="","",$E322+7*IFERROR(VLOOKUP($B322,DS!$K$2:$M$4,3,FALSE()),12))</f>
        <v/>
      </c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3" t="str">
        <f aca="false">IF($A322="","",IF($R322&lt;&gt;"","95 Hủy/hoàn",IF($Q322&lt;&gt;"","99 Đóng",IF($P322&lt;&gt;"","90 Đã giao",IF($O322&lt;&gt;"","80 Đang giao",IF($N322&lt;&gt;"","70 Thông quan",IF($M322&lt;&gt;"","60 Đã xuất",IF($L322&lt;&gt;"","50 QC đạt",IF($K322&lt;&gt;"","40 NCC đã gửi",IF($I322&lt;&gt;"","30 Đã đặt NCC",IF($H322&lt;&gt;"","20 Đã xác nhận","10 Mới")))))))))))</f>
        <v/>
      </c>
      <c r="U322" s="33" t="str">
        <f aca="false">IF($T322="","",IFERROR(VLOOKUP($T322,DS!$A$2:$B$12,2,FALSE()),""))</f>
        <v/>
      </c>
      <c r="V322" s="34" t="str">
        <f aca="true">IF(OR($T322="",LEFT($T322,2)="99",LEFT($T322,2)="95"),"",TODAY()-MAX($E322,$H322:$P322))</f>
        <v/>
      </c>
      <c r="W322" s="34" t="str">
        <f aca="true">IF(AND($E322&lt;&gt;"",$I322="",$R322=""),IF(TODAY()-$E322&gt;1,"⚑",""),"")</f>
        <v/>
      </c>
      <c r="X322" s="34" t="str">
        <f aca="true">IF(AND($J322&lt;&gt;"",$K322="",$R322=""),IF(TODAY()-$J322&gt;2,"⚑",""),"")</f>
        <v/>
      </c>
      <c r="Y322" s="34" t="str">
        <f aca="true">IF(AND($G322&lt;&gt;"",$M322="",$R322=""),IF(AND($G322-TODAY()&lt;=14,$G322&gt;=TODAY()),"⚑",""),"")</f>
        <v/>
      </c>
      <c r="Z322" s="34" t="str">
        <f aca="true">IF(AND($G322&lt;&gt;"",$P322="",$R322=""),IF(TODAY()&gt;$G322,"⚑",""),"")</f>
        <v/>
      </c>
      <c r="AA322" s="34" t="str">
        <f aca="true">IF(AND($E322&lt;&gt;"",$P322="",$R322=""),IF(TODAY()-MAX($E322,$H322,$M322,$S322)&gt;7,"⚑",""),"")</f>
        <v/>
      </c>
      <c r="AB322" s="34" t="str">
        <f aca="false">IF(OR($P322="",$G322=""),"",IF($P322&lt;=$G322,"Có","Không"))</f>
        <v/>
      </c>
      <c r="AC322" s="34" t="str">
        <f aca="false">IF(OR($P322="",$E322=""),"",$P322-$E322)</f>
        <v/>
      </c>
      <c r="AD322" s="35" t="str">
        <f aca="false">IF($A322="","",COUNTIF(CASE!$B$3:$B$202,$A322))</f>
        <v/>
      </c>
      <c r="AE322" s="34" t="str">
        <f aca="false">IF(OR($I322="",$E322=""),"",$I322-$E322)</f>
        <v/>
      </c>
      <c r="AF322" s="34" t="str">
        <f aca="false">IF(OR($K322="",$I322=""),"",$K322-$I322)</f>
        <v/>
      </c>
      <c r="AG322" s="34" t="str">
        <f aca="false">IF(OR($L322="",$K322=""),"",$L322-$K322)</f>
        <v/>
      </c>
      <c r="AH322" s="34" t="str">
        <f aca="false">IF(OR($M322="",$L322=""),"",$M322-$L322)</f>
        <v/>
      </c>
      <c r="AI322" s="34" t="str">
        <f aca="false">IF(OR($P322="",$M322=""),"",$P322-$M322)</f>
        <v/>
      </c>
    </row>
    <row r="323" customFormat="false" ht="15" hidden="false" customHeight="false" outlineLevel="0" collapsed="false">
      <c r="A323" s="29"/>
      <c r="B323" s="29"/>
      <c r="C323" s="29"/>
      <c r="D323" s="30"/>
      <c r="E323" s="31"/>
      <c r="F323" s="32" t="str">
        <f aca="false">IF($E323="","",$E323+7*IFERROR(VLOOKUP($B323,DS!$K$2:$M$4,2,FALSE()),12))</f>
        <v/>
      </c>
      <c r="G323" s="32" t="str">
        <f aca="false">IF($E323="","",$E323+7*IFERROR(VLOOKUP($B323,DS!$K$2:$M$4,3,FALSE()),12))</f>
        <v/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3" t="str">
        <f aca="false">IF($A323="","",IF($R323&lt;&gt;"","95 Hủy/hoàn",IF($Q323&lt;&gt;"","99 Đóng",IF($P323&lt;&gt;"","90 Đã giao",IF($O323&lt;&gt;"","80 Đang giao",IF($N323&lt;&gt;"","70 Thông quan",IF($M323&lt;&gt;"","60 Đã xuất",IF($L323&lt;&gt;"","50 QC đạt",IF($K323&lt;&gt;"","40 NCC đã gửi",IF($I323&lt;&gt;"","30 Đã đặt NCC",IF($H323&lt;&gt;"","20 Đã xác nhận","10 Mới")))))))))))</f>
        <v/>
      </c>
      <c r="U323" s="33" t="str">
        <f aca="false">IF($T323="","",IFERROR(VLOOKUP($T323,DS!$A$2:$B$12,2,FALSE()),""))</f>
        <v/>
      </c>
      <c r="V323" s="34" t="str">
        <f aca="true">IF(OR($T323="",LEFT($T323,2)="99",LEFT($T323,2)="95"),"",TODAY()-MAX($E323,$H323:$P323))</f>
        <v/>
      </c>
      <c r="W323" s="34" t="str">
        <f aca="true">IF(AND($E323&lt;&gt;"",$I323="",$R323=""),IF(TODAY()-$E323&gt;1,"⚑",""),"")</f>
        <v/>
      </c>
      <c r="X323" s="34" t="str">
        <f aca="true">IF(AND($J323&lt;&gt;"",$K323="",$R323=""),IF(TODAY()-$J323&gt;2,"⚑",""),"")</f>
        <v/>
      </c>
      <c r="Y323" s="34" t="str">
        <f aca="true">IF(AND($G323&lt;&gt;"",$M323="",$R323=""),IF(AND($G323-TODAY()&lt;=14,$G323&gt;=TODAY()),"⚑",""),"")</f>
        <v/>
      </c>
      <c r="Z323" s="34" t="str">
        <f aca="true">IF(AND($G323&lt;&gt;"",$P323="",$R323=""),IF(TODAY()&gt;$G323,"⚑",""),"")</f>
        <v/>
      </c>
      <c r="AA323" s="34" t="str">
        <f aca="true">IF(AND($E323&lt;&gt;"",$P323="",$R323=""),IF(TODAY()-MAX($E323,$H323,$M323,$S323)&gt;7,"⚑",""),"")</f>
        <v/>
      </c>
      <c r="AB323" s="34" t="str">
        <f aca="false">IF(OR($P323="",$G323=""),"",IF($P323&lt;=$G323,"Có","Không"))</f>
        <v/>
      </c>
      <c r="AC323" s="34" t="str">
        <f aca="false">IF(OR($P323="",$E323=""),"",$P323-$E323)</f>
        <v/>
      </c>
      <c r="AD323" s="35" t="str">
        <f aca="false">IF($A323="","",COUNTIF(CASE!$B$3:$B$202,$A323))</f>
        <v/>
      </c>
      <c r="AE323" s="34" t="str">
        <f aca="false">IF(OR($I323="",$E323=""),"",$I323-$E323)</f>
        <v/>
      </c>
      <c r="AF323" s="34" t="str">
        <f aca="false">IF(OR($K323="",$I323=""),"",$K323-$I323)</f>
        <v/>
      </c>
      <c r="AG323" s="34" t="str">
        <f aca="false">IF(OR($L323="",$K323=""),"",$L323-$K323)</f>
        <v/>
      </c>
      <c r="AH323" s="34" t="str">
        <f aca="false">IF(OR($M323="",$L323=""),"",$M323-$L323)</f>
        <v/>
      </c>
      <c r="AI323" s="34" t="str">
        <f aca="false">IF(OR($P323="",$M323=""),"",$P323-$M323)</f>
        <v/>
      </c>
    </row>
    <row r="324" customFormat="false" ht="15" hidden="false" customHeight="false" outlineLevel="0" collapsed="false">
      <c r="A324" s="29"/>
      <c r="B324" s="29"/>
      <c r="C324" s="29"/>
      <c r="D324" s="30"/>
      <c r="E324" s="31"/>
      <c r="F324" s="32" t="str">
        <f aca="false">IF($E324="","",$E324+7*IFERROR(VLOOKUP($B324,DS!$K$2:$M$4,2,FALSE()),12))</f>
        <v/>
      </c>
      <c r="G324" s="32" t="str">
        <f aca="false">IF($E324="","",$E324+7*IFERROR(VLOOKUP($B324,DS!$K$2:$M$4,3,FALSE()),12))</f>
        <v/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3" t="str">
        <f aca="false">IF($A324="","",IF($R324&lt;&gt;"","95 Hủy/hoàn",IF($Q324&lt;&gt;"","99 Đóng",IF($P324&lt;&gt;"","90 Đã giao",IF($O324&lt;&gt;"","80 Đang giao",IF($N324&lt;&gt;"","70 Thông quan",IF($M324&lt;&gt;"","60 Đã xuất",IF($L324&lt;&gt;"","50 QC đạt",IF($K324&lt;&gt;"","40 NCC đã gửi",IF($I324&lt;&gt;"","30 Đã đặt NCC",IF($H324&lt;&gt;"","20 Đã xác nhận","10 Mới")))))))))))</f>
        <v/>
      </c>
      <c r="U324" s="33" t="str">
        <f aca="false">IF($T324="","",IFERROR(VLOOKUP($T324,DS!$A$2:$B$12,2,FALSE()),""))</f>
        <v/>
      </c>
      <c r="V324" s="34" t="str">
        <f aca="true">IF(OR($T324="",LEFT($T324,2)="99",LEFT($T324,2)="95"),"",TODAY()-MAX($E324,$H324:$P324))</f>
        <v/>
      </c>
      <c r="W324" s="34" t="str">
        <f aca="true">IF(AND($E324&lt;&gt;"",$I324="",$R324=""),IF(TODAY()-$E324&gt;1,"⚑",""),"")</f>
        <v/>
      </c>
      <c r="X324" s="34" t="str">
        <f aca="true">IF(AND($J324&lt;&gt;"",$K324="",$R324=""),IF(TODAY()-$J324&gt;2,"⚑",""),"")</f>
        <v/>
      </c>
      <c r="Y324" s="34" t="str">
        <f aca="true">IF(AND($G324&lt;&gt;"",$M324="",$R324=""),IF(AND($G324-TODAY()&lt;=14,$G324&gt;=TODAY()),"⚑",""),"")</f>
        <v/>
      </c>
      <c r="Z324" s="34" t="str">
        <f aca="true">IF(AND($G324&lt;&gt;"",$P324="",$R324=""),IF(TODAY()&gt;$G324,"⚑",""),"")</f>
        <v/>
      </c>
      <c r="AA324" s="34" t="str">
        <f aca="true">IF(AND($E324&lt;&gt;"",$P324="",$R324=""),IF(TODAY()-MAX($E324,$H324,$M324,$S324)&gt;7,"⚑",""),"")</f>
        <v/>
      </c>
      <c r="AB324" s="34" t="str">
        <f aca="false">IF(OR($P324="",$G324=""),"",IF($P324&lt;=$G324,"Có","Không"))</f>
        <v/>
      </c>
      <c r="AC324" s="34" t="str">
        <f aca="false">IF(OR($P324="",$E324=""),"",$P324-$E324)</f>
        <v/>
      </c>
      <c r="AD324" s="35" t="str">
        <f aca="false">IF($A324="","",COUNTIF(CASE!$B$3:$B$202,$A324))</f>
        <v/>
      </c>
      <c r="AE324" s="34" t="str">
        <f aca="false">IF(OR($I324="",$E324=""),"",$I324-$E324)</f>
        <v/>
      </c>
      <c r="AF324" s="34" t="str">
        <f aca="false">IF(OR($K324="",$I324=""),"",$K324-$I324)</f>
        <v/>
      </c>
      <c r="AG324" s="34" t="str">
        <f aca="false">IF(OR($L324="",$K324=""),"",$L324-$K324)</f>
        <v/>
      </c>
      <c r="AH324" s="34" t="str">
        <f aca="false">IF(OR($M324="",$L324=""),"",$M324-$L324)</f>
        <v/>
      </c>
      <c r="AI324" s="34" t="str">
        <f aca="false">IF(OR($P324="",$M324=""),"",$P324-$M324)</f>
        <v/>
      </c>
    </row>
    <row r="325" customFormat="false" ht="15" hidden="false" customHeight="false" outlineLevel="0" collapsed="false">
      <c r="A325" s="29"/>
      <c r="B325" s="29"/>
      <c r="C325" s="29"/>
      <c r="D325" s="30"/>
      <c r="E325" s="31"/>
      <c r="F325" s="32" t="str">
        <f aca="false">IF($E325="","",$E325+7*IFERROR(VLOOKUP($B325,DS!$K$2:$M$4,2,FALSE()),12))</f>
        <v/>
      </c>
      <c r="G325" s="32" t="str">
        <f aca="false">IF($E325="","",$E325+7*IFERROR(VLOOKUP($B325,DS!$K$2:$M$4,3,FALSE()),12))</f>
        <v/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3" t="str">
        <f aca="false">IF($A325="","",IF($R325&lt;&gt;"","95 Hủy/hoàn",IF($Q325&lt;&gt;"","99 Đóng",IF($P325&lt;&gt;"","90 Đã giao",IF($O325&lt;&gt;"","80 Đang giao",IF($N325&lt;&gt;"","70 Thông quan",IF($M325&lt;&gt;"","60 Đã xuất",IF($L325&lt;&gt;"","50 QC đạt",IF($K325&lt;&gt;"","40 NCC đã gửi",IF($I325&lt;&gt;"","30 Đã đặt NCC",IF($H325&lt;&gt;"","20 Đã xác nhận","10 Mới")))))))))))</f>
        <v/>
      </c>
      <c r="U325" s="33" t="str">
        <f aca="false">IF($T325="","",IFERROR(VLOOKUP($T325,DS!$A$2:$B$12,2,FALSE()),""))</f>
        <v/>
      </c>
      <c r="V325" s="34" t="str">
        <f aca="true">IF(OR($T325="",LEFT($T325,2)="99",LEFT($T325,2)="95"),"",TODAY()-MAX($E325,$H325:$P325))</f>
        <v/>
      </c>
      <c r="W325" s="34" t="str">
        <f aca="true">IF(AND($E325&lt;&gt;"",$I325="",$R325=""),IF(TODAY()-$E325&gt;1,"⚑",""),"")</f>
        <v/>
      </c>
      <c r="X325" s="34" t="str">
        <f aca="true">IF(AND($J325&lt;&gt;"",$K325="",$R325=""),IF(TODAY()-$J325&gt;2,"⚑",""),"")</f>
        <v/>
      </c>
      <c r="Y325" s="34" t="str">
        <f aca="true">IF(AND($G325&lt;&gt;"",$M325="",$R325=""),IF(AND($G325-TODAY()&lt;=14,$G325&gt;=TODAY()),"⚑",""),"")</f>
        <v/>
      </c>
      <c r="Z325" s="34" t="str">
        <f aca="true">IF(AND($G325&lt;&gt;"",$P325="",$R325=""),IF(TODAY()&gt;$G325,"⚑",""),"")</f>
        <v/>
      </c>
      <c r="AA325" s="34" t="str">
        <f aca="true">IF(AND($E325&lt;&gt;"",$P325="",$R325=""),IF(TODAY()-MAX($E325,$H325,$M325,$S325)&gt;7,"⚑",""),"")</f>
        <v/>
      </c>
      <c r="AB325" s="34" t="str">
        <f aca="false">IF(OR($P325="",$G325=""),"",IF($P325&lt;=$G325,"Có","Không"))</f>
        <v/>
      </c>
      <c r="AC325" s="34" t="str">
        <f aca="false">IF(OR($P325="",$E325=""),"",$P325-$E325)</f>
        <v/>
      </c>
      <c r="AD325" s="35" t="str">
        <f aca="false">IF($A325="","",COUNTIF(CASE!$B$3:$B$202,$A325))</f>
        <v/>
      </c>
      <c r="AE325" s="34" t="str">
        <f aca="false">IF(OR($I325="",$E325=""),"",$I325-$E325)</f>
        <v/>
      </c>
      <c r="AF325" s="34" t="str">
        <f aca="false">IF(OR($K325="",$I325=""),"",$K325-$I325)</f>
        <v/>
      </c>
      <c r="AG325" s="34" t="str">
        <f aca="false">IF(OR($L325="",$K325=""),"",$L325-$K325)</f>
        <v/>
      </c>
      <c r="AH325" s="34" t="str">
        <f aca="false">IF(OR($M325="",$L325=""),"",$M325-$L325)</f>
        <v/>
      </c>
      <c r="AI325" s="34" t="str">
        <f aca="false">IF(OR($P325="",$M325=""),"",$P325-$M325)</f>
        <v/>
      </c>
    </row>
    <row r="326" customFormat="false" ht="15" hidden="false" customHeight="false" outlineLevel="0" collapsed="false">
      <c r="A326" s="29"/>
      <c r="B326" s="29"/>
      <c r="C326" s="29"/>
      <c r="D326" s="30"/>
      <c r="E326" s="31"/>
      <c r="F326" s="32" t="str">
        <f aca="false">IF($E326="","",$E326+7*IFERROR(VLOOKUP($B326,DS!$K$2:$M$4,2,FALSE()),12))</f>
        <v/>
      </c>
      <c r="G326" s="32" t="str">
        <f aca="false">IF($E326="","",$E326+7*IFERROR(VLOOKUP($B326,DS!$K$2:$M$4,3,FALSE()),12))</f>
        <v/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3" t="str">
        <f aca="false">IF($A326="","",IF($R326&lt;&gt;"","95 Hủy/hoàn",IF($Q326&lt;&gt;"","99 Đóng",IF($P326&lt;&gt;"","90 Đã giao",IF($O326&lt;&gt;"","80 Đang giao",IF($N326&lt;&gt;"","70 Thông quan",IF($M326&lt;&gt;"","60 Đã xuất",IF($L326&lt;&gt;"","50 QC đạt",IF($K326&lt;&gt;"","40 NCC đã gửi",IF($I326&lt;&gt;"","30 Đã đặt NCC",IF($H326&lt;&gt;"","20 Đã xác nhận","10 Mới")))))))))))</f>
        <v/>
      </c>
      <c r="U326" s="33" t="str">
        <f aca="false">IF($T326="","",IFERROR(VLOOKUP($T326,DS!$A$2:$B$12,2,FALSE()),""))</f>
        <v/>
      </c>
      <c r="V326" s="34" t="str">
        <f aca="true">IF(OR($T326="",LEFT($T326,2)="99",LEFT($T326,2)="95"),"",TODAY()-MAX($E326,$H326:$P326))</f>
        <v/>
      </c>
      <c r="W326" s="34" t="str">
        <f aca="true">IF(AND($E326&lt;&gt;"",$I326="",$R326=""),IF(TODAY()-$E326&gt;1,"⚑",""),"")</f>
        <v/>
      </c>
      <c r="X326" s="34" t="str">
        <f aca="true">IF(AND($J326&lt;&gt;"",$K326="",$R326=""),IF(TODAY()-$J326&gt;2,"⚑",""),"")</f>
        <v/>
      </c>
      <c r="Y326" s="34" t="str">
        <f aca="true">IF(AND($G326&lt;&gt;"",$M326="",$R326=""),IF(AND($G326-TODAY()&lt;=14,$G326&gt;=TODAY()),"⚑",""),"")</f>
        <v/>
      </c>
      <c r="Z326" s="34" t="str">
        <f aca="true">IF(AND($G326&lt;&gt;"",$P326="",$R326=""),IF(TODAY()&gt;$G326,"⚑",""),"")</f>
        <v/>
      </c>
      <c r="AA326" s="34" t="str">
        <f aca="true">IF(AND($E326&lt;&gt;"",$P326="",$R326=""),IF(TODAY()-MAX($E326,$H326,$M326,$S326)&gt;7,"⚑",""),"")</f>
        <v/>
      </c>
      <c r="AB326" s="34" t="str">
        <f aca="false">IF(OR($P326="",$G326=""),"",IF($P326&lt;=$G326,"Có","Không"))</f>
        <v/>
      </c>
      <c r="AC326" s="34" t="str">
        <f aca="false">IF(OR($P326="",$E326=""),"",$P326-$E326)</f>
        <v/>
      </c>
      <c r="AD326" s="35" t="str">
        <f aca="false">IF($A326="","",COUNTIF(CASE!$B$3:$B$202,$A326))</f>
        <v/>
      </c>
      <c r="AE326" s="34" t="str">
        <f aca="false">IF(OR($I326="",$E326=""),"",$I326-$E326)</f>
        <v/>
      </c>
      <c r="AF326" s="34" t="str">
        <f aca="false">IF(OR($K326="",$I326=""),"",$K326-$I326)</f>
        <v/>
      </c>
      <c r="AG326" s="34" t="str">
        <f aca="false">IF(OR($L326="",$K326=""),"",$L326-$K326)</f>
        <v/>
      </c>
      <c r="AH326" s="34" t="str">
        <f aca="false">IF(OR($M326="",$L326=""),"",$M326-$L326)</f>
        <v/>
      </c>
      <c r="AI326" s="34" t="str">
        <f aca="false">IF(OR($P326="",$M326=""),"",$P326-$M326)</f>
        <v/>
      </c>
    </row>
    <row r="327" customFormat="false" ht="15" hidden="false" customHeight="false" outlineLevel="0" collapsed="false">
      <c r="A327" s="29"/>
      <c r="B327" s="29"/>
      <c r="C327" s="29"/>
      <c r="D327" s="30"/>
      <c r="E327" s="31"/>
      <c r="F327" s="32" t="str">
        <f aca="false">IF($E327="","",$E327+7*IFERROR(VLOOKUP($B327,DS!$K$2:$M$4,2,FALSE()),12))</f>
        <v/>
      </c>
      <c r="G327" s="32" t="str">
        <f aca="false">IF($E327="","",$E327+7*IFERROR(VLOOKUP($B327,DS!$K$2:$M$4,3,FALSE()),12))</f>
        <v/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3" t="str">
        <f aca="false">IF($A327="","",IF($R327&lt;&gt;"","95 Hủy/hoàn",IF($Q327&lt;&gt;"","99 Đóng",IF($P327&lt;&gt;"","90 Đã giao",IF($O327&lt;&gt;"","80 Đang giao",IF($N327&lt;&gt;"","70 Thông quan",IF($M327&lt;&gt;"","60 Đã xuất",IF($L327&lt;&gt;"","50 QC đạt",IF($K327&lt;&gt;"","40 NCC đã gửi",IF($I327&lt;&gt;"","30 Đã đặt NCC",IF($H327&lt;&gt;"","20 Đã xác nhận","10 Mới")))))))))))</f>
        <v/>
      </c>
      <c r="U327" s="33" t="str">
        <f aca="false">IF($T327="","",IFERROR(VLOOKUP($T327,DS!$A$2:$B$12,2,FALSE()),""))</f>
        <v/>
      </c>
      <c r="V327" s="34" t="str">
        <f aca="true">IF(OR($T327="",LEFT($T327,2)="99",LEFT($T327,2)="95"),"",TODAY()-MAX($E327,$H327:$P327))</f>
        <v/>
      </c>
      <c r="W327" s="34" t="str">
        <f aca="true">IF(AND($E327&lt;&gt;"",$I327="",$R327=""),IF(TODAY()-$E327&gt;1,"⚑",""),"")</f>
        <v/>
      </c>
      <c r="X327" s="34" t="str">
        <f aca="true">IF(AND($J327&lt;&gt;"",$K327="",$R327=""),IF(TODAY()-$J327&gt;2,"⚑",""),"")</f>
        <v/>
      </c>
      <c r="Y327" s="34" t="str">
        <f aca="true">IF(AND($G327&lt;&gt;"",$M327="",$R327=""),IF(AND($G327-TODAY()&lt;=14,$G327&gt;=TODAY()),"⚑",""),"")</f>
        <v/>
      </c>
      <c r="Z327" s="34" t="str">
        <f aca="true">IF(AND($G327&lt;&gt;"",$P327="",$R327=""),IF(TODAY()&gt;$G327,"⚑",""),"")</f>
        <v/>
      </c>
      <c r="AA327" s="34" t="str">
        <f aca="true">IF(AND($E327&lt;&gt;"",$P327="",$R327=""),IF(TODAY()-MAX($E327,$H327,$M327,$S327)&gt;7,"⚑",""),"")</f>
        <v/>
      </c>
      <c r="AB327" s="34" t="str">
        <f aca="false">IF(OR($P327="",$G327=""),"",IF($P327&lt;=$G327,"Có","Không"))</f>
        <v/>
      </c>
      <c r="AC327" s="34" t="str">
        <f aca="false">IF(OR($P327="",$E327=""),"",$P327-$E327)</f>
        <v/>
      </c>
      <c r="AD327" s="35" t="str">
        <f aca="false">IF($A327="","",COUNTIF(CASE!$B$3:$B$202,$A327))</f>
        <v/>
      </c>
      <c r="AE327" s="34" t="str">
        <f aca="false">IF(OR($I327="",$E327=""),"",$I327-$E327)</f>
        <v/>
      </c>
      <c r="AF327" s="34" t="str">
        <f aca="false">IF(OR($K327="",$I327=""),"",$K327-$I327)</f>
        <v/>
      </c>
      <c r="AG327" s="34" t="str">
        <f aca="false">IF(OR($L327="",$K327=""),"",$L327-$K327)</f>
        <v/>
      </c>
      <c r="AH327" s="34" t="str">
        <f aca="false">IF(OR($M327="",$L327=""),"",$M327-$L327)</f>
        <v/>
      </c>
      <c r="AI327" s="34" t="str">
        <f aca="false">IF(OR($P327="",$M327=""),"",$P327-$M327)</f>
        <v/>
      </c>
    </row>
    <row r="328" customFormat="false" ht="15" hidden="false" customHeight="false" outlineLevel="0" collapsed="false">
      <c r="A328" s="29"/>
      <c r="B328" s="29"/>
      <c r="C328" s="29"/>
      <c r="D328" s="30"/>
      <c r="E328" s="31"/>
      <c r="F328" s="32" t="str">
        <f aca="false">IF($E328="","",$E328+7*IFERROR(VLOOKUP($B328,DS!$K$2:$M$4,2,FALSE()),12))</f>
        <v/>
      </c>
      <c r="G328" s="32" t="str">
        <f aca="false">IF($E328="","",$E328+7*IFERROR(VLOOKUP($B328,DS!$K$2:$M$4,3,FALSE()),12))</f>
        <v/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3" t="str">
        <f aca="false">IF($A328="","",IF($R328&lt;&gt;"","95 Hủy/hoàn",IF($Q328&lt;&gt;"","99 Đóng",IF($P328&lt;&gt;"","90 Đã giao",IF($O328&lt;&gt;"","80 Đang giao",IF($N328&lt;&gt;"","70 Thông quan",IF($M328&lt;&gt;"","60 Đã xuất",IF($L328&lt;&gt;"","50 QC đạt",IF($K328&lt;&gt;"","40 NCC đã gửi",IF($I328&lt;&gt;"","30 Đã đặt NCC",IF($H328&lt;&gt;"","20 Đã xác nhận","10 Mới")))))))))))</f>
        <v/>
      </c>
      <c r="U328" s="33" t="str">
        <f aca="false">IF($T328="","",IFERROR(VLOOKUP($T328,DS!$A$2:$B$12,2,FALSE()),""))</f>
        <v/>
      </c>
      <c r="V328" s="34" t="str">
        <f aca="true">IF(OR($T328="",LEFT($T328,2)="99",LEFT($T328,2)="95"),"",TODAY()-MAX($E328,$H328:$P328))</f>
        <v/>
      </c>
      <c r="W328" s="34" t="str">
        <f aca="true">IF(AND($E328&lt;&gt;"",$I328="",$R328=""),IF(TODAY()-$E328&gt;1,"⚑",""),"")</f>
        <v/>
      </c>
      <c r="X328" s="34" t="str">
        <f aca="true">IF(AND($J328&lt;&gt;"",$K328="",$R328=""),IF(TODAY()-$J328&gt;2,"⚑",""),"")</f>
        <v/>
      </c>
      <c r="Y328" s="34" t="str">
        <f aca="true">IF(AND($G328&lt;&gt;"",$M328="",$R328=""),IF(AND($G328-TODAY()&lt;=14,$G328&gt;=TODAY()),"⚑",""),"")</f>
        <v/>
      </c>
      <c r="Z328" s="34" t="str">
        <f aca="true">IF(AND($G328&lt;&gt;"",$P328="",$R328=""),IF(TODAY()&gt;$G328,"⚑",""),"")</f>
        <v/>
      </c>
      <c r="AA328" s="34" t="str">
        <f aca="true">IF(AND($E328&lt;&gt;"",$P328="",$R328=""),IF(TODAY()-MAX($E328,$H328,$M328,$S328)&gt;7,"⚑",""),"")</f>
        <v/>
      </c>
      <c r="AB328" s="34" t="str">
        <f aca="false">IF(OR($P328="",$G328=""),"",IF($P328&lt;=$G328,"Có","Không"))</f>
        <v/>
      </c>
      <c r="AC328" s="34" t="str">
        <f aca="false">IF(OR($P328="",$E328=""),"",$P328-$E328)</f>
        <v/>
      </c>
      <c r="AD328" s="35" t="str">
        <f aca="false">IF($A328="","",COUNTIF(CASE!$B$3:$B$202,$A328))</f>
        <v/>
      </c>
      <c r="AE328" s="34" t="str">
        <f aca="false">IF(OR($I328="",$E328=""),"",$I328-$E328)</f>
        <v/>
      </c>
      <c r="AF328" s="34" t="str">
        <f aca="false">IF(OR($K328="",$I328=""),"",$K328-$I328)</f>
        <v/>
      </c>
      <c r="AG328" s="34" t="str">
        <f aca="false">IF(OR($L328="",$K328=""),"",$L328-$K328)</f>
        <v/>
      </c>
      <c r="AH328" s="34" t="str">
        <f aca="false">IF(OR($M328="",$L328=""),"",$M328-$L328)</f>
        <v/>
      </c>
      <c r="AI328" s="34" t="str">
        <f aca="false">IF(OR($P328="",$M328=""),"",$P328-$M328)</f>
        <v/>
      </c>
    </row>
    <row r="329" customFormat="false" ht="15" hidden="false" customHeight="false" outlineLevel="0" collapsed="false">
      <c r="A329" s="29"/>
      <c r="B329" s="29"/>
      <c r="C329" s="29"/>
      <c r="D329" s="30"/>
      <c r="E329" s="31"/>
      <c r="F329" s="32" t="str">
        <f aca="false">IF($E329="","",$E329+7*IFERROR(VLOOKUP($B329,DS!$K$2:$M$4,2,FALSE()),12))</f>
        <v/>
      </c>
      <c r="G329" s="32" t="str">
        <f aca="false">IF($E329="","",$E329+7*IFERROR(VLOOKUP($B329,DS!$K$2:$M$4,3,FALSE()),12))</f>
        <v/>
      </c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3" t="str">
        <f aca="false">IF($A329="","",IF($R329&lt;&gt;"","95 Hủy/hoàn",IF($Q329&lt;&gt;"","99 Đóng",IF($P329&lt;&gt;"","90 Đã giao",IF($O329&lt;&gt;"","80 Đang giao",IF($N329&lt;&gt;"","70 Thông quan",IF($M329&lt;&gt;"","60 Đã xuất",IF($L329&lt;&gt;"","50 QC đạt",IF($K329&lt;&gt;"","40 NCC đã gửi",IF($I329&lt;&gt;"","30 Đã đặt NCC",IF($H329&lt;&gt;"","20 Đã xác nhận","10 Mới")))))))))))</f>
        <v/>
      </c>
      <c r="U329" s="33" t="str">
        <f aca="false">IF($T329="","",IFERROR(VLOOKUP($T329,DS!$A$2:$B$12,2,FALSE()),""))</f>
        <v/>
      </c>
      <c r="V329" s="34" t="str">
        <f aca="true">IF(OR($T329="",LEFT($T329,2)="99",LEFT($T329,2)="95"),"",TODAY()-MAX($E329,$H329:$P329))</f>
        <v/>
      </c>
      <c r="W329" s="34" t="str">
        <f aca="true">IF(AND($E329&lt;&gt;"",$I329="",$R329=""),IF(TODAY()-$E329&gt;1,"⚑",""),"")</f>
        <v/>
      </c>
      <c r="X329" s="34" t="str">
        <f aca="true">IF(AND($J329&lt;&gt;"",$K329="",$R329=""),IF(TODAY()-$J329&gt;2,"⚑",""),"")</f>
        <v/>
      </c>
      <c r="Y329" s="34" t="str">
        <f aca="true">IF(AND($G329&lt;&gt;"",$M329="",$R329=""),IF(AND($G329-TODAY()&lt;=14,$G329&gt;=TODAY()),"⚑",""),"")</f>
        <v/>
      </c>
      <c r="Z329" s="34" t="str">
        <f aca="true">IF(AND($G329&lt;&gt;"",$P329="",$R329=""),IF(TODAY()&gt;$G329,"⚑",""),"")</f>
        <v/>
      </c>
      <c r="AA329" s="34" t="str">
        <f aca="true">IF(AND($E329&lt;&gt;"",$P329="",$R329=""),IF(TODAY()-MAX($E329,$H329,$M329,$S329)&gt;7,"⚑",""),"")</f>
        <v/>
      </c>
      <c r="AB329" s="34" t="str">
        <f aca="false">IF(OR($P329="",$G329=""),"",IF($P329&lt;=$G329,"Có","Không"))</f>
        <v/>
      </c>
      <c r="AC329" s="34" t="str">
        <f aca="false">IF(OR($P329="",$E329=""),"",$P329-$E329)</f>
        <v/>
      </c>
      <c r="AD329" s="35" t="str">
        <f aca="false">IF($A329="","",COUNTIF(CASE!$B$3:$B$202,$A329))</f>
        <v/>
      </c>
      <c r="AE329" s="34" t="str">
        <f aca="false">IF(OR($I329="",$E329=""),"",$I329-$E329)</f>
        <v/>
      </c>
      <c r="AF329" s="34" t="str">
        <f aca="false">IF(OR($K329="",$I329=""),"",$K329-$I329)</f>
        <v/>
      </c>
      <c r="AG329" s="34" t="str">
        <f aca="false">IF(OR($L329="",$K329=""),"",$L329-$K329)</f>
        <v/>
      </c>
      <c r="AH329" s="34" t="str">
        <f aca="false">IF(OR($M329="",$L329=""),"",$M329-$L329)</f>
        <v/>
      </c>
      <c r="AI329" s="34" t="str">
        <f aca="false">IF(OR($P329="",$M329=""),"",$P329-$M329)</f>
        <v/>
      </c>
    </row>
    <row r="330" customFormat="false" ht="15" hidden="false" customHeight="false" outlineLevel="0" collapsed="false">
      <c r="A330" s="29"/>
      <c r="B330" s="29"/>
      <c r="C330" s="29"/>
      <c r="D330" s="30"/>
      <c r="E330" s="31"/>
      <c r="F330" s="32" t="str">
        <f aca="false">IF($E330="","",$E330+7*IFERROR(VLOOKUP($B330,DS!$K$2:$M$4,2,FALSE()),12))</f>
        <v/>
      </c>
      <c r="G330" s="32" t="str">
        <f aca="false">IF($E330="","",$E330+7*IFERROR(VLOOKUP($B330,DS!$K$2:$M$4,3,FALSE()),12))</f>
        <v/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3" t="str">
        <f aca="false">IF($A330="","",IF($R330&lt;&gt;"","95 Hủy/hoàn",IF($Q330&lt;&gt;"","99 Đóng",IF($P330&lt;&gt;"","90 Đã giao",IF($O330&lt;&gt;"","80 Đang giao",IF($N330&lt;&gt;"","70 Thông quan",IF($M330&lt;&gt;"","60 Đã xuất",IF($L330&lt;&gt;"","50 QC đạt",IF($K330&lt;&gt;"","40 NCC đã gửi",IF($I330&lt;&gt;"","30 Đã đặt NCC",IF($H330&lt;&gt;"","20 Đã xác nhận","10 Mới")))))))))))</f>
        <v/>
      </c>
      <c r="U330" s="33" t="str">
        <f aca="false">IF($T330="","",IFERROR(VLOOKUP($T330,DS!$A$2:$B$12,2,FALSE()),""))</f>
        <v/>
      </c>
      <c r="V330" s="34" t="str">
        <f aca="true">IF(OR($T330="",LEFT($T330,2)="99",LEFT($T330,2)="95"),"",TODAY()-MAX($E330,$H330:$P330))</f>
        <v/>
      </c>
      <c r="W330" s="34" t="str">
        <f aca="true">IF(AND($E330&lt;&gt;"",$I330="",$R330=""),IF(TODAY()-$E330&gt;1,"⚑",""),"")</f>
        <v/>
      </c>
      <c r="X330" s="34" t="str">
        <f aca="true">IF(AND($J330&lt;&gt;"",$K330="",$R330=""),IF(TODAY()-$J330&gt;2,"⚑",""),"")</f>
        <v/>
      </c>
      <c r="Y330" s="34" t="str">
        <f aca="true">IF(AND($G330&lt;&gt;"",$M330="",$R330=""),IF(AND($G330-TODAY()&lt;=14,$G330&gt;=TODAY()),"⚑",""),"")</f>
        <v/>
      </c>
      <c r="Z330" s="34" t="str">
        <f aca="true">IF(AND($G330&lt;&gt;"",$P330="",$R330=""),IF(TODAY()&gt;$G330,"⚑",""),"")</f>
        <v/>
      </c>
      <c r="AA330" s="34" t="str">
        <f aca="true">IF(AND($E330&lt;&gt;"",$P330="",$R330=""),IF(TODAY()-MAX($E330,$H330,$M330,$S330)&gt;7,"⚑",""),"")</f>
        <v/>
      </c>
      <c r="AB330" s="34" t="str">
        <f aca="false">IF(OR($P330="",$G330=""),"",IF($P330&lt;=$G330,"Có","Không"))</f>
        <v/>
      </c>
      <c r="AC330" s="34" t="str">
        <f aca="false">IF(OR($P330="",$E330=""),"",$P330-$E330)</f>
        <v/>
      </c>
      <c r="AD330" s="35" t="str">
        <f aca="false">IF($A330="","",COUNTIF(CASE!$B$3:$B$202,$A330))</f>
        <v/>
      </c>
      <c r="AE330" s="34" t="str">
        <f aca="false">IF(OR($I330="",$E330=""),"",$I330-$E330)</f>
        <v/>
      </c>
      <c r="AF330" s="34" t="str">
        <f aca="false">IF(OR($K330="",$I330=""),"",$K330-$I330)</f>
        <v/>
      </c>
      <c r="AG330" s="34" t="str">
        <f aca="false">IF(OR($L330="",$K330=""),"",$L330-$K330)</f>
        <v/>
      </c>
      <c r="AH330" s="34" t="str">
        <f aca="false">IF(OR($M330="",$L330=""),"",$M330-$L330)</f>
        <v/>
      </c>
      <c r="AI330" s="34" t="str">
        <f aca="false">IF(OR($P330="",$M330=""),"",$P330-$M330)</f>
        <v/>
      </c>
    </row>
    <row r="331" customFormat="false" ht="15" hidden="false" customHeight="false" outlineLevel="0" collapsed="false">
      <c r="A331" s="29"/>
      <c r="B331" s="29"/>
      <c r="C331" s="29"/>
      <c r="D331" s="30"/>
      <c r="E331" s="31"/>
      <c r="F331" s="32" t="str">
        <f aca="false">IF($E331="","",$E331+7*IFERROR(VLOOKUP($B331,DS!$K$2:$M$4,2,FALSE()),12))</f>
        <v/>
      </c>
      <c r="G331" s="32" t="str">
        <f aca="false">IF($E331="","",$E331+7*IFERROR(VLOOKUP($B331,DS!$K$2:$M$4,3,FALSE()),12))</f>
        <v/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3" t="str">
        <f aca="false">IF($A331="","",IF($R331&lt;&gt;"","95 Hủy/hoàn",IF($Q331&lt;&gt;"","99 Đóng",IF($P331&lt;&gt;"","90 Đã giao",IF($O331&lt;&gt;"","80 Đang giao",IF($N331&lt;&gt;"","70 Thông quan",IF($M331&lt;&gt;"","60 Đã xuất",IF($L331&lt;&gt;"","50 QC đạt",IF($K331&lt;&gt;"","40 NCC đã gửi",IF($I331&lt;&gt;"","30 Đã đặt NCC",IF($H331&lt;&gt;"","20 Đã xác nhận","10 Mới")))))))))))</f>
        <v/>
      </c>
      <c r="U331" s="33" t="str">
        <f aca="false">IF($T331="","",IFERROR(VLOOKUP($T331,DS!$A$2:$B$12,2,FALSE()),""))</f>
        <v/>
      </c>
      <c r="V331" s="34" t="str">
        <f aca="true">IF(OR($T331="",LEFT($T331,2)="99",LEFT($T331,2)="95"),"",TODAY()-MAX($E331,$H331:$P331))</f>
        <v/>
      </c>
      <c r="W331" s="34" t="str">
        <f aca="true">IF(AND($E331&lt;&gt;"",$I331="",$R331=""),IF(TODAY()-$E331&gt;1,"⚑",""),"")</f>
        <v/>
      </c>
      <c r="X331" s="34" t="str">
        <f aca="true">IF(AND($J331&lt;&gt;"",$K331="",$R331=""),IF(TODAY()-$J331&gt;2,"⚑",""),"")</f>
        <v/>
      </c>
      <c r="Y331" s="34" t="str">
        <f aca="true">IF(AND($G331&lt;&gt;"",$M331="",$R331=""),IF(AND($G331-TODAY()&lt;=14,$G331&gt;=TODAY()),"⚑",""),"")</f>
        <v/>
      </c>
      <c r="Z331" s="34" t="str">
        <f aca="true">IF(AND($G331&lt;&gt;"",$P331="",$R331=""),IF(TODAY()&gt;$G331,"⚑",""),"")</f>
        <v/>
      </c>
      <c r="AA331" s="34" t="str">
        <f aca="true">IF(AND($E331&lt;&gt;"",$P331="",$R331=""),IF(TODAY()-MAX($E331,$H331,$M331,$S331)&gt;7,"⚑",""),"")</f>
        <v/>
      </c>
      <c r="AB331" s="34" t="str">
        <f aca="false">IF(OR($P331="",$G331=""),"",IF($P331&lt;=$G331,"Có","Không"))</f>
        <v/>
      </c>
      <c r="AC331" s="34" t="str">
        <f aca="false">IF(OR($P331="",$E331=""),"",$P331-$E331)</f>
        <v/>
      </c>
      <c r="AD331" s="35" t="str">
        <f aca="false">IF($A331="","",COUNTIF(CASE!$B$3:$B$202,$A331))</f>
        <v/>
      </c>
      <c r="AE331" s="34" t="str">
        <f aca="false">IF(OR($I331="",$E331=""),"",$I331-$E331)</f>
        <v/>
      </c>
      <c r="AF331" s="34" t="str">
        <f aca="false">IF(OR($K331="",$I331=""),"",$K331-$I331)</f>
        <v/>
      </c>
      <c r="AG331" s="34" t="str">
        <f aca="false">IF(OR($L331="",$K331=""),"",$L331-$K331)</f>
        <v/>
      </c>
      <c r="AH331" s="34" t="str">
        <f aca="false">IF(OR($M331="",$L331=""),"",$M331-$L331)</f>
        <v/>
      </c>
      <c r="AI331" s="34" t="str">
        <f aca="false">IF(OR($P331="",$M331=""),"",$P331-$M331)</f>
        <v/>
      </c>
    </row>
    <row r="332" customFormat="false" ht="15" hidden="false" customHeight="false" outlineLevel="0" collapsed="false">
      <c r="A332" s="29"/>
      <c r="B332" s="29"/>
      <c r="C332" s="29"/>
      <c r="D332" s="30"/>
      <c r="E332" s="31"/>
      <c r="F332" s="32" t="str">
        <f aca="false">IF($E332="","",$E332+7*IFERROR(VLOOKUP($B332,DS!$K$2:$M$4,2,FALSE()),12))</f>
        <v/>
      </c>
      <c r="G332" s="32" t="str">
        <f aca="false">IF($E332="","",$E332+7*IFERROR(VLOOKUP($B332,DS!$K$2:$M$4,3,FALSE()),12))</f>
        <v/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3" t="str">
        <f aca="false">IF($A332="","",IF($R332&lt;&gt;"","95 Hủy/hoàn",IF($Q332&lt;&gt;"","99 Đóng",IF($P332&lt;&gt;"","90 Đã giao",IF($O332&lt;&gt;"","80 Đang giao",IF($N332&lt;&gt;"","70 Thông quan",IF($M332&lt;&gt;"","60 Đã xuất",IF($L332&lt;&gt;"","50 QC đạt",IF($K332&lt;&gt;"","40 NCC đã gửi",IF($I332&lt;&gt;"","30 Đã đặt NCC",IF($H332&lt;&gt;"","20 Đã xác nhận","10 Mới")))))))))))</f>
        <v/>
      </c>
      <c r="U332" s="33" t="str">
        <f aca="false">IF($T332="","",IFERROR(VLOOKUP($T332,DS!$A$2:$B$12,2,FALSE()),""))</f>
        <v/>
      </c>
      <c r="V332" s="34" t="str">
        <f aca="true">IF(OR($T332="",LEFT($T332,2)="99",LEFT($T332,2)="95"),"",TODAY()-MAX($E332,$H332:$P332))</f>
        <v/>
      </c>
      <c r="W332" s="34" t="str">
        <f aca="true">IF(AND($E332&lt;&gt;"",$I332="",$R332=""),IF(TODAY()-$E332&gt;1,"⚑",""),"")</f>
        <v/>
      </c>
      <c r="X332" s="34" t="str">
        <f aca="true">IF(AND($J332&lt;&gt;"",$K332="",$R332=""),IF(TODAY()-$J332&gt;2,"⚑",""),"")</f>
        <v/>
      </c>
      <c r="Y332" s="34" t="str">
        <f aca="true">IF(AND($G332&lt;&gt;"",$M332="",$R332=""),IF(AND($G332-TODAY()&lt;=14,$G332&gt;=TODAY()),"⚑",""),"")</f>
        <v/>
      </c>
      <c r="Z332" s="34" t="str">
        <f aca="true">IF(AND($G332&lt;&gt;"",$P332="",$R332=""),IF(TODAY()&gt;$G332,"⚑",""),"")</f>
        <v/>
      </c>
      <c r="AA332" s="34" t="str">
        <f aca="true">IF(AND($E332&lt;&gt;"",$P332="",$R332=""),IF(TODAY()-MAX($E332,$H332,$M332,$S332)&gt;7,"⚑",""),"")</f>
        <v/>
      </c>
      <c r="AB332" s="34" t="str">
        <f aca="false">IF(OR($P332="",$G332=""),"",IF($P332&lt;=$G332,"Có","Không"))</f>
        <v/>
      </c>
      <c r="AC332" s="34" t="str">
        <f aca="false">IF(OR($P332="",$E332=""),"",$P332-$E332)</f>
        <v/>
      </c>
      <c r="AD332" s="35" t="str">
        <f aca="false">IF($A332="","",COUNTIF(CASE!$B$3:$B$202,$A332))</f>
        <v/>
      </c>
      <c r="AE332" s="34" t="str">
        <f aca="false">IF(OR($I332="",$E332=""),"",$I332-$E332)</f>
        <v/>
      </c>
      <c r="AF332" s="34" t="str">
        <f aca="false">IF(OR($K332="",$I332=""),"",$K332-$I332)</f>
        <v/>
      </c>
      <c r="AG332" s="34" t="str">
        <f aca="false">IF(OR($L332="",$K332=""),"",$L332-$K332)</f>
        <v/>
      </c>
      <c r="AH332" s="34" t="str">
        <f aca="false">IF(OR($M332="",$L332=""),"",$M332-$L332)</f>
        <v/>
      </c>
      <c r="AI332" s="34" t="str">
        <f aca="false">IF(OR($P332="",$M332=""),"",$P332-$M332)</f>
        <v/>
      </c>
    </row>
    <row r="333" customFormat="false" ht="15" hidden="false" customHeight="false" outlineLevel="0" collapsed="false">
      <c r="A333" s="29"/>
      <c r="B333" s="29"/>
      <c r="C333" s="29"/>
      <c r="D333" s="30"/>
      <c r="E333" s="31"/>
      <c r="F333" s="32" t="str">
        <f aca="false">IF($E333="","",$E333+7*IFERROR(VLOOKUP($B333,DS!$K$2:$M$4,2,FALSE()),12))</f>
        <v/>
      </c>
      <c r="G333" s="32" t="str">
        <f aca="false">IF($E333="","",$E333+7*IFERROR(VLOOKUP($B333,DS!$K$2:$M$4,3,FALSE()),12))</f>
        <v/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3" t="str">
        <f aca="false">IF($A333="","",IF($R333&lt;&gt;"","95 Hủy/hoàn",IF($Q333&lt;&gt;"","99 Đóng",IF($P333&lt;&gt;"","90 Đã giao",IF($O333&lt;&gt;"","80 Đang giao",IF($N333&lt;&gt;"","70 Thông quan",IF($M333&lt;&gt;"","60 Đã xuất",IF($L333&lt;&gt;"","50 QC đạt",IF($K333&lt;&gt;"","40 NCC đã gửi",IF($I333&lt;&gt;"","30 Đã đặt NCC",IF($H333&lt;&gt;"","20 Đã xác nhận","10 Mới")))))))))))</f>
        <v/>
      </c>
      <c r="U333" s="33" t="str">
        <f aca="false">IF($T333="","",IFERROR(VLOOKUP($T333,DS!$A$2:$B$12,2,FALSE()),""))</f>
        <v/>
      </c>
      <c r="V333" s="34" t="str">
        <f aca="true">IF(OR($T333="",LEFT($T333,2)="99",LEFT($T333,2)="95"),"",TODAY()-MAX($E333,$H333:$P333))</f>
        <v/>
      </c>
      <c r="W333" s="34" t="str">
        <f aca="true">IF(AND($E333&lt;&gt;"",$I333="",$R333=""),IF(TODAY()-$E333&gt;1,"⚑",""),"")</f>
        <v/>
      </c>
      <c r="X333" s="34" t="str">
        <f aca="true">IF(AND($J333&lt;&gt;"",$K333="",$R333=""),IF(TODAY()-$J333&gt;2,"⚑",""),"")</f>
        <v/>
      </c>
      <c r="Y333" s="34" t="str">
        <f aca="true">IF(AND($G333&lt;&gt;"",$M333="",$R333=""),IF(AND($G333-TODAY()&lt;=14,$G333&gt;=TODAY()),"⚑",""),"")</f>
        <v/>
      </c>
      <c r="Z333" s="34" t="str">
        <f aca="true">IF(AND($G333&lt;&gt;"",$P333="",$R333=""),IF(TODAY()&gt;$G333,"⚑",""),"")</f>
        <v/>
      </c>
      <c r="AA333" s="34" t="str">
        <f aca="true">IF(AND($E333&lt;&gt;"",$P333="",$R333=""),IF(TODAY()-MAX($E333,$H333,$M333,$S333)&gt;7,"⚑",""),"")</f>
        <v/>
      </c>
      <c r="AB333" s="34" t="str">
        <f aca="false">IF(OR($P333="",$G333=""),"",IF($P333&lt;=$G333,"Có","Không"))</f>
        <v/>
      </c>
      <c r="AC333" s="34" t="str">
        <f aca="false">IF(OR($P333="",$E333=""),"",$P333-$E333)</f>
        <v/>
      </c>
      <c r="AD333" s="35" t="str">
        <f aca="false">IF($A333="","",COUNTIF(CASE!$B$3:$B$202,$A333))</f>
        <v/>
      </c>
      <c r="AE333" s="34" t="str">
        <f aca="false">IF(OR($I333="",$E333=""),"",$I333-$E333)</f>
        <v/>
      </c>
      <c r="AF333" s="34" t="str">
        <f aca="false">IF(OR($K333="",$I333=""),"",$K333-$I333)</f>
        <v/>
      </c>
      <c r="AG333" s="34" t="str">
        <f aca="false">IF(OR($L333="",$K333=""),"",$L333-$K333)</f>
        <v/>
      </c>
      <c r="AH333" s="34" t="str">
        <f aca="false">IF(OR($M333="",$L333=""),"",$M333-$L333)</f>
        <v/>
      </c>
      <c r="AI333" s="34" t="str">
        <f aca="false">IF(OR($P333="",$M333=""),"",$P333-$M333)</f>
        <v/>
      </c>
    </row>
    <row r="334" customFormat="false" ht="15" hidden="false" customHeight="false" outlineLevel="0" collapsed="false">
      <c r="A334" s="29"/>
      <c r="B334" s="29"/>
      <c r="C334" s="29"/>
      <c r="D334" s="30"/>
      <c r="E334" s="31"/>
      <c r="F334" s="32" t="str">
        <f aca="false">IF($E334="","",$E334+7*IFERROR(VLOOKUP($B334,DS!$K$2:$M$4,2,FALSE()),12))</f>
        <v/>
      </c>
      <c r="G334" s="32" t="str">
        <f aca="false">IF($E334="","",$E334+7*IFERROR(VLOOKUP($B334,DS!$K$2:$M$4,3,FALSE()),12))</f>
        <v/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3" t="str">
        <f aca="false">IF($A334="","",IF($R334&lt;&gt;"","95 Hủy/hoàn",IF($Q334&lt;&gt;"","99 Đóng",IF($P334&lt;&gt;"","90 Đã giao",IF($O334&lt;&gt;"","80 Đang giao",IF($N334&lt;&gt;"","70 Thông quan",IF($M334&lt;&gt;"","60 Đã xuất",IF($L334&lt;&gt;"","50 QC đạt",IF($K334&lt;&gt;"","40 NCC đã gửi",IF($I334&lt;&gt;"","30 Đã đặt NCC",IF($H334&lt;&gt;"","20 Đã xác nhận","10 Mới")))))))))))</f>
        <v/>
      </c>
      <c r="U334" s="33" t="str">
        <f aca="false">IF($T334="","",IFERROR(VLOOKUP($T334,DS!$A$2:$B$12,2,FALSE()),""))</f>
        <v/>
      </c>
      <c r="V334" s="34" t="str">
        <f aca="true">IF(OR($T334="",LEFT($T334,2)="99",LEFT($T334,2)="95"),"",TODAY()-MAX($E334,$H334:$P334))</f>
        <v/>
      </c>
      <c r="W334" s="34" t="str">
        <f aca="true">IF(AND($E334&lt;&gt;"",$I334="",$R334=""),IF(TODAY()-$E334&gt;1,"⚑",""),"")</f>
        <v/>
      </c>
      <c r="X334" s="34" t="str">
        <f aca="true">IF(AND($J334&lt;&gt;"",$K334="",$R334=""),IF(TODAY()-$J334&gt;2,"⚑",""),"")</f>
        <v/>
      </c>
      <c r="Y334" s="34" t="str">
        <f aca="true">IF(AND($G334&lt;&gt;"",$M334="",$R334=""),IF(AND($G334-TODAY()&lt;=14,$G334&gt;=TODAY()),"⚑",""),"")</f>
        <v/>
      </c>
      <c r="Z334" s="34" t="str">
        <f aca="true">IF(AND($G334&lt;&gt;"",$P334="",$R334=""),IF(TODAY()&gt;$G334,"⚑",""),"")</f>
        <v/>
      </c>
      <c r="AA334" s="34" t="str">
        <f aca="true">IF(AND($E334&lt;&gt;"",$P334="",$R334=""),IF(TODAY()-MAX($E334,$H334,$M334,$S334)&gt;7,"⚑",""),"")</f>
        <v/>
      </c>
      <c r="AB334" s="34" t="str">
        <f aca="false">IF(OR($P334="",$G334=""),"",IF($P334&lt;=$G334,"Có","Không"))</f>
        <v/>
      </c>
      <c r="AC334" s="34" t="str">
        <f aca="false">IF(OR($P334="",$E334=""),"",$P334-$E334)</f>
        <v/>
      </c>
      <c r="AD334" s="35" t="str">
        <f aca="false">IF($A334="","",COUNTIF(CASE!$B$3:$B$202,$A334))</f>
        <v/>
      </c>
      <c r="AE334" s="34" t="str">
        <f aca="false">IF(OR($I334="",$E334=""),"",$I334-$E334)</f>
        <v/>
      </c>
      <c r="AF334" s="34" t="str">
        <f aca="false">IF(OR($K334="",$I334=""),"",$K334-$I334)</f>
        <v/>
      </c>
      <c r="AG334" s="34" t="str">
        <f aca="false">IF(OR($L334="",$K334=""),"",$L334-$K334)</f>
        <v/>
      </c>
      <c r="AH334" s="34" t="str">
        <f aca="false">IF(OR($M334="",$L334=""),"",$M334-$L334)</f>
        <v/>
      </c>
      <c r="AI334" s="34" t="str">
        <f aca="false">IF(OR($P334="",$M334=""),"",$P334-$M334)</f>
        <v/>
      </c>
    </row>
    <row r="335" customFormat="false" ht="15" hidden="false" customHeight="false" outlineLevel="0" collapsed="false">
      <c r="A335" s="29"/>
      <c r="B335" s="29"/>
      <c r="C335" s="29"/>
      <c r="D335" s="30"/>
      <c r="E335" s="31"/>
      <c r="F335" s="32" t="str">
        <f aca="false">IF($E335="","",$E335+7*IFERROR(VLOOKUP($B335,DS!$K$2:$M$4,2,FALSE()),12))</f>
        <v/>
      </c>
      <c r="G335" s="32" t="str">
        <f aca="false">IF($E335="","",$E335+7*IFERROR(VLOOKUP($B335,DS!$K$2:$M$4,3,FALSE()),12))</f>
        <v/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3" t="str">
        <f aca="false">IF($A335="","",IF($R335&lt;&gt;"","95 Hủy/hoàn",IF($Q335&lt;&gt;"","99 Đóng",IF($P335&lt;&gt;"","90 Đã giao",IF($O335&lt;&gt;"","80 Đang giao",IF($N335&lt;&gt;"","70 Thông quan",IF($M335&lt;&gt;"","60 Đã xuất",IF($L335&lt;&gt;"","50 QC đạt",IF($K335&lt;&gt;"","40 NCC đã gửi",IF($I335&lt;&gt;"","30 Đã đặt NCC",IF($H335&lt;&gt;"","20 Đã xác nhận","10 Mới")))))))))))</f>
        <v/>
      </c>
      <c r="U335" s="33" t="str">
        <f aca="false">IF($T335="","",IFERROR(VLOOKUP($T335,DS!$A$2:$B$12,2,FALSE()),""))</f>
        <v/>
      </c>
      <c r="V335" s="34" t="str">
        <f aca="true">IF(OR($T335="",LEFT($T335,2)="99",LEFT($T335,2)="95"),"",TODAY()-MAX($E335,$H335:$P335))</f>
        <v/>
      </c>
      <c r="W335" s="34" t="str">
        <f aca="true">IF(AND($E335&lt;&gt;"",$I335="",$R335=""),IF(TODAY()-$E335&gt;1,"⚑",""),"")</f>
        <v/>
      </c>
      <c r="X335" s="34" t="str">
        <f aca="true">IF(AND($J335&lt;&gt;"",$K335="",$R335=""),IF(TODAY()-$J335&gt;2,"⚑",""),"")</f>
        <v/>
      </c>
      <c r="Y335" s="34" t="str">
        <f aca="true">IF(AND($G335&lt;&gt;"",$M335="",$R335=""),IF(AND($G335-TODAY()&lt;=14,$G335&gt;=TODAY()),"⚑",""),"")</f>
        <v/>
      </c>
      <c r="Z335" s="34" t="str">
        <f aca="true">IF(AND($G335&lt;&gt;"",$P335="",$R335=""),IF(TODAY()&gt;$G335,"⚑",""),"")</f>
        <v/>
      </c>
      <c r="AA335" s="34" t="str">
        <f aca="true">IF(AND($E335&lt;&gt;"",$P335="",$R335=""),IF(TODAY()-MAX($E335,$H335,$M335,$S335)&gt;7,"⚑",""),"")</f>
        <v/>
      </c>
      <c r="AB335" s="34" t="str">
        <f aca="false">IF(OR($P335="",$G335=""),"",IF($P335&lt;=$G335,"Có","Không"))</f>
        <v/>
      </c>
      <c r="AC335" s="34" t="str">
        <f aca="false">IF(OR($P335="",$E335=""),"",$P335-$E335)</f>
        <v/>
      </c>
      <c r="AD335" s="35" t="str">
        <f aca="false">IF($A335="","",COUNTIF(CASE!$B$3:$B$202,$A335))</f>
        <v/>
      </c>
      <c r="AE335" s="34" t="str">
        <f aca="false">IF(OR($I335="",$E335=""),"",$I335-$E335)</f>
        <v/>
      </c>
      <c r="AF335" s="34" t="str">
        <f aca="false">IF(OR($K335="",$I335=""),"",$K335-$I335)</f>
        <v/>
      </c>
      <c r="AG335" s="34" t="str">
        <f aca="false">IF(OR($L335="",$K335=""),"",$L335-$K335)</f>
        <v/>
      </c>
      <c r="AH335" s="34" t="str">
        <f aca="false">IF(OR($M335="",$L335=""),"",$M335-$L335)</f>
        <v/>
      </c>
      <c r="AI335" s="34" t="str">
        <f aca="false">IF(OR($P335="",$M335=""),"",$P335-$M335)</f>
        <v/>
      </c>
    </row>
    <row r="336" customFormat="false" ht="15" hidden="false" customHeight="false" outlineLevel="0" collapsed="false">
      <c r="A336" s="29"/>
      <c r="B336" s="29"/>
      <c r="C336" s="29"/>
      <c r="D336" s="30"/>
      <c r="E336" s="31"/>
      <c r="F336" s="32" t="str">
        <f aca="false">IF($E336="","",$E336+7*IFERROR(VLOOKUP($B336,DS!$K$2:$M$4,2,FALSE()),12))</f>
        <v/>
      </c>
      <c r="G336" s="32" t="str">
        <f aca="false">IF($E336="","",$E336+7*IFERROR(VLOOKUP($B336,DS!$K$2:$M$4,3,FALSE()),12))</f>
        <v/>
      </c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3" t="str">
        <f aca="false">IF($A336="","",IF($R336&lt;&gt;"","95 Hủy/hoàn",IF($Q336&lt;&gt;"","99 Đóng",IF($P336&lt;&gt;"","90 Đã giao",IF($O336&lt;&gt;"","80 Đang giao",IF($N336&lt;&gt;"","70 Thông quan",IF($M336&lt;&gt;"","60 Đã xuất",IF($L336&lt;&gt;"","50 QC đạt",IF($K336&lt;&gt;"","40 NCC đã gửi",IF($I336&lt;&gt;"","30 Đã đặt NCC",IF($H336&lt;&gt;"","20 Đã xác nhận","10 Mới")))))))))))</f>
        <v/>
      </c>
      <c r="U336" s="33" t="str">
        <f aca="false">IF($T336="","",IFERROR(VLOOKUP($T336,DS!$A$2:$B$12,2,FALSE()),""))</f>
        <v/>
      </c>
      <c r="V336" s="34" t="str">
        <f aca="true">IF(OR($T336="",LEFT($T336,2)="99",LEFT($T336,2)="95"),"",TODAY()-MAX($E336,$H336:$P336))</f>
        <v/>
      </c>
      <c r="W336" s="34" t="str">
        <f aca="true">IF(AND($E336&lt;&gt;"",$I336="",$R336=""),IF(TODAY()-$E336&gt;1,"⚑",""),"")</f>
        <v/>
      </c>
      <c r="X336" s="34" t="str">
        <f aca="true">IF(AND($J336&lt;&gt;"",$K336="",$R336=""),IF(TODAY()-$J336&gt;2,"⚑",""),"")</f>
        <v/>
      </c>
      <c r="Y336" s="34" t="str">
        <f aca="true">IF(AND($G336&lt;&gt;"",$M336="",$R336=""),IF(AND($G336-TODAY()&lt;=14,$G336&gt;=TODAY()),"⚑",""),"")</f>
        <v/>
      </c>
      <c r="Z336" s="34" t="str">
        <f aca="true">IF(AND($G336&lt;&gt;"",$P336="",$R336=""),IF(TODAY()&gt;$G336,"⚑",""),"")</f>
        <v/>
      </c>
      <c r="AA336" s="34" t="str">
        <f aca="true">IF(AND($E336&lt;&gt;"",$P336="",$R336=""),IF(TODAY()-MAX($E336,$H336,$M336,$S336)&gt;7,"⚑",""),"")</f>
        <v/>
      </c>
      <c r="AB336" s="34" t="str">
        <f aca="false">IF(OR($P336="",$G336=""),"",IF($P336&lt;=$G336,"Có","Không"))</f>
        <v/>
      </c>
      <c r="AC336" s="34" t="str">
        <f aca="false">IF(OR($P336="",$E336=""),"",$P336-$E336)</f>
        <v/>
      </c>
      <c r="AD336" s="35" t="str">
        <f aca="false">IF($A336="","",COUNTIF(CASE!$B$3:$B$202,$A336))</f>
        <v/>
      </c>
      <c r="AE336" s="34" t="str">
        <f aca="false">IF(OR($I336="",$E336=""),"",$I336-$E336)</f>
        <v/>
      </c>
      <c r="AF336" s="34" t="str">
        <f aca="false">IF(OR($K336="",$I336=""),"",$K336-$I336)</f>
        <v/>
      </c>
      <c r="AG336" s="34" t="str">
        <f aca="false">IF(OR($L336="",$K336=""),"",$L336-$K336)</f>
        <v/>
      </c>
      <c r="AH336" s="34" t="str">
        <f aca="false">IF(OR($M336="",$L336=""),"",$M336-$L336)</f>
        <v/>
      </c>
      <c r="AI336" s="34" t="str">
        <f aca="false">IF(OR($P336="",$M336=""),"",$P336-$M336)</f>
        <v/>
      </c>
    </row>
    <row r="337" customFormat="false" ht="15" hidden="false" customHeight="false" outlineLevel="0" collapsed="false">
      <c r="A337" s="29"/>
      <c r="B337" s="29"/>
      <c r="C337" s="29"/>
      <c r="D337" s="30"/>
      <c r="E337" s="31"/>
      <c r="F337" s="32" t="str">
        <f aca="false">IF($E337="","",$E337+7*IFERROR(VLOOKUP($B337,DS!$K$2:$M$4,2,FALSE()),12))</f>
        <v/>
      </c>
      <c r="G337" s="32" t="str">
        <f aca="false">IF($E337="","",$E337+7*IFERROR(VLOOKUP($B337,DS!$K$2:$M$4,3,FALSE()),12))</f>
        <v/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3" t="str">
        <f aca="false">IF($A337="","",IF($R337&lt;&gt;"","95 Hủy/hoàn",IF($Q337&lt;&gt;"","99 Đóng",IF($P337&lt;&gt;"","90 Đã giao",IF($O337&lt;&gt;"","80 Đang giao",IF($N337&lt;&gt;"","70 Thông quan",IF($M337&lt;&gt;"","60 Đã xuất",IF($L337&lt;&gt;"","50 QC đạt",IF($K337&lt;&gt;"","40 NCC đã gửi",IF($I337&lt;&gt;"","30 Đã đặt NCC",IF($H337&lt;&gt;"","20 Đã xác nhận","10 Mới")))))))))))</f>
        <v/>
      </c>
      <c r="U337" s="33" t="str">
        <f aca="false">IF($T337="","",IFERROR(VLOOKUP($T337,DS!$A$2:$B$12,2,FALSE()),""))</f>
        <v/>
      </c>
      <c r="V337" s="34" t="str">
        <f aca="true">IF(OR($T337="",LEFT($T337,2)="99",LEFT($T337,2)="95"),"",TODAY()-MAX($E337,$H337:$P337))</f>
        <v/>
      </c>
      <c r="W337" s="34" t="str">
        <f aca="true">IF(AND($E337&lt;&gt;"",$I337="",$R337=""),IF(TODAY()-$E337&gt;1,"⚑",""),"")</f>
        <v/>
      </c>
      <c r="X337" s="34" t="str">
        <f aca="true">IF(AND($J337&lt;&gt;"",$K337="",$R337=""),IF(TODAY()-$J337&gt;2,"⚑",""),"")</f>
        <v/>
      </c>
      <c r="Y337" s="34" t="str">
        <f aca="true">IF(AND($G337&lt;&gt;"",$M337="",$R337=""),IF(AND($G337-TODAY()&lt;=14,$G337&gt;=TODAY()),"⚑",""),"")</f>
        <v/>
      </c>
      <c r="Z337" s="34" t="str">
        <f aca="true">IF(AND($G337&lt;&gt;"",$P337="",$R337=""),IF(TODAY()&gt;$G337,"⚑",""),"")</f>
        <v/>
      </c>
      <c r="AA337" s="34" t="str">
        <f aca="true">IF(AND($E337&lt;&gt;"",$P337="",$R337=""),IF(TODAY()-MAX($E337,$H337,$M337,$S337)&gt;7,"⚑",""),"")</f>
        <v/>
      </c>
      <c r="AB337" s="34" t="str">
        <f aca="false">IF(OR($P337="",$G337=""),"",IF($P337&lt;=$G337,"Có","Không"))</f>
        <v/>
      </c>
      <c r="AC337" s="34" t="str">
        <f aca="false">IF(OR($P337="",$E337=""),"",$P337-$E337)</f>
        <v/>
      </c>
      <c r="AD337" s="35" t="str">
        <f aca="false">IF($A337="","",COUNTIF(CASE!$B$3:$B$202,$A337))</f>
        <v/>
      </c>
      <c r="AE337" s="34" t="str">
        <f aca="false">IF(OR($I337="",$E337=""),"",$I337-$E337)</f>
        <v/>
      </c>
      <c r="AF337" s="34" t="str">
        <f aca="false">IF(OR($K337="",$I337=""),"",$K337-$I337)</f>
        <v/>
      </c>
      <c r="AG337" s="34" t="str">
        <f aca="false">IF(OR($L337="",$K337=""),"",$L337-$K337)</f>
        <v/>
      </c>
      <c r="AH337" s="34" t="str">
        <f aca="false">IF(OR($M337="",$L337=""),"",$M337-$L337)</f>
        <v/>
      </c>
      <c r="AI337" s="34" t="str">
        <f aca="false">IF(OR($P337="",$M337=""),"",$P337-$M337)</f>
        <v/>
      </c>
    </row>
    <row r="338" customFormat="false" ht="15" hidden="false" customHeight="false" outlineLevel="0" collapsed="false">
      <c r="A338" s="29"/>
      <c r="B338" s="29"/>
      <c r="C338" s="29"/>
      <c r="D338" s="30"/>
      <c r="E338" s="31"/>
      <c r="F338" s="32" t="str">
        <f aca="false">IF($E338="","",$E338+7*IFERROR(VLOOKUP($B338,DS!$K$2:$M$4,2,FALSE()),12))</f>
        <v/>
      </c>
      <c r="G338" s="32" t="str">
        <f aca="false">IF($E338="","",$E338+7*IFERROR(VLOOKUP($B338,DS!$K$2:$M$4,3,FALSE()),12))</f>
        <v/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3" t="str">
        <f aca="false">IF($A338="","",IF($R338&lt;&gt;"","95 Hủy/hoàn",IF($Q338&lt;&gt;"","99 Đóng",IF($P338&lt;&gt;"","90 Đã giao",IF($O338&lt;&gt;"","80 Đang giao",IF($N338&lt;&gt;"","70 Thông quan",IF($M338&lt;&gt;"","60 Đã xuất",IF($L338&lt;&gt;"","50 QC đạt",IF($K338&lt;&gt;"","40 NCC đã gửi",IF($I338&lt;&gt;"","30 Đã đặt NCC",IF($H338&lt;&gt;"","20 Đã xác nhận","10 Mới")))))))))))</f>
        <v/>
      </c>
      <c r="U338" s="33" t="str">
        <f aca="false">IF($T338="","",IFERROR(VLOOKUP($T338,DS!$A$2:$B$12,2,FALSE()),""))</f>
        <v/>
      </c>
      <c r="V338" s="34" t="str">
        <f aca="true">IF(OR($T338="",LEFT($T338,2)="99",LEFT($T338,2)="95"),"",TODAY()-MAX($E338,$H338:$P338))</f>
        <v/>
      </c>
      <c r="W338" s="34" t="str">
        <f aca="true">IF(AND($E338&lt;&gt;"",$I338="",$R338=""),IF(TODAY()-$E338&gt;1,"⚑",""),"")</f>
        <v/>
      </c>
      <c r="X338" s="34" t="str">
        <f aca="true">IF(AND($J338&lt;&gt;"",$K338="",$R338=""),IF(TODAY()-$J338&gt;2,"⚑",""),"")</f>
        <v/>
      </c>
      <c r="Y338" s="34" t="str">
        <f aca="true">IF(AND($G338&lt;&gt;"",$M338="",$R338=""),IF(AND($G338-TODAY()&lt;=14,$G338&gt;=TODAY()),"⚑",""),"")</f>
        <v/>
      </c>
      <c r="Z338" s="34" t="str">
        <f aca="true">IF(AND($G338&lt;&gt;"",$P338="",$R338=""),IF(TODAY()&gt;$G338,"⚑",""),"")</f>
        <v/>
      </c>
      <c r="AA338" s="34" t="str">
        <f aca="true">IF(AND($E338&lt;&gt;"",$P338="",$R338=""),IF(TODAY()-MAX($E338,$H338,$M338,$S338)&gt;7,"⚑",""),"")</f>
        <v/>
      </c>
      <c r="AB338" s="34" t="str">
        <f aca="false">IF(OR($P338="",$G338=""),"",IF($P338&lt;=$G338,"Có","Không"))</f>
        <v/>
      </c>
      <c r="AC338" s="34" t="str">
        <f aca="false">IF(OR($P338="",$E338=""),"",$P338-$E338)</f>
        <v/>
      </c>
      <c r="AD338" s="35" t="str">
        <f aca="false">IF($A338="","",COUNTIF(CASE!$B$3:$B$202,$A338))</f>
        <v/>
      </c>
      <c r="AE338" s="34" t="str">
        <f aca="false">IF(OR($I338="",$E338=""),"",$I338-$E338)</f>
        <v/>
      </c>
      <c r="AF338" s="34" t="str">
        <f aca="false">IF(OR($K338="",$I338=""),"",$K338-$I338)</f>
        <v/>
      </c>
      <c r="AG338" s="34" t="str">
        <f aca="false">IF(OR($L338="",$K338=""),"",$L338-$K338)</f>
        <v/>
      </c>
      <c r="AH338" s="34" t="str">
        <f aca="false">IF(OR($M338="",$L338=""),"",$M338-$L338)</f>
        <v/>
      </c>
      <c r="AI338" s="34" t="str">
        <f aca="false">IF(OR($P338="",$M338=""),"",$P338-$M338)</f>
        <v/>
      </c>
    </row>
    <row r="339" customFormat="false" ht="15" hidden="false" customHeight="false" outlineLevel="0" collapsed="false">
      <c r="A339" s="29"/>
      <c r="B339" s="29"/>
      <c r="C339" s="29"/>
      <c r="D339" s="30"/>
      <c r="E339" s="31"/>
      <c r="F339" s="32" t="str">
        <f aca="false">IF($E339="","",$E339+7*IFERROR(VLOOKUP($B339,DS!$K$2:$M$4,2,FALSE()),12))</f>
        <v/>
      </c>
      <c r="G339" s="32" t="str">
        <f aca="false">IF($E339="","",$E339+7*IFERROR(VLOOKUP($B339,DS!$K$2:$M$4,3,FALSE()),12))</f>
        <v/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3" t="str">
        <f aca="false">IF($A339="","",IF($R339&lt;&gt;"","95 Hủy/hoàn",IF($Q339&lt;&gt;"","99 Đóng",IF($P339&lt;&gt;"","90 Đã giao",IF($O339&lt;&gt;"","80 Đang giao",IF($N339&lt;&gt;"","70 Thông quan",IF($M339&lt;&gt;"","60 Đã xuất",IF($L339&lt;&gt;"","50 QC đạt",IF($K339&lt;&gt;"","40 NCC đã gửi",IF($I339&lt;&gt;"","30 Đã đặt NCC",IF($H339&lt;&gt;"","20 Đã xác nhận","10 Mới")))))))))))</f>
        <v/>
      </c>
      <c r="U339" s="33" t="str">
        <f aca="false">IF($T339="","",IFERROR(VLOOKUP($T339,DS!$A$2:$B$12,2,FALSE()),""))</f>
        <v/>
      </c>
      <c r="V339" s="34" t="str">
        <f aca="true">IF(OR($T339="",LEFT($T339,2)="99",LEFT($T339,2)="95"),"",TODAY()-MAX($E339,$H339:$P339))</f>
        <v/>
      </c>
      <c r="W339" s="34" t="str">
        <f aca="true">IF(AND($E339&lt;&gt;"",$I339="",$R339=""),IF(TODAY()-$E339&gt;1,"⚑",""),"")</f>
        <v/>
      </c>
      <c r="X339" s="34" t="str">
        <f aca="true">IF(AND($J339&lt;&gt;"",$K339="",$R339=""),IF(TODAY()-$J339&gt;2,"⚑",""),"")</f>
        <v/>
      </c>
      <c r="Y339" s="34" t="str">
        <f aca="true">IF(AND($G339&lt;&gt;"",$M339="",$R339=""),IF(AND($G339-TODAY()&lt;=14,$G339&gt;=TODAY()),"⚑",""),"")</f>
        <v/>
      </c>
      <c r="Z339" s="34" t="str">
        <f aca="true">IF(AND($G339&lt;&gt;"",$P339="",$R339=""),IF(TODAY()&gt;$G339,"⚑",""),"")</f>
        <v/>
      </c>
      <c r="AA339" s="34" t="str">
        <f aca="true">IF(AND($E339&lt;&gt;"",$P339="",$R339=""),IF(TODAY()-MAX($E339,$H339,$M339,$S339)&gt;7,"⚑",""),"")</f>
        <v/>
      </c>
      <c r="AB339" s="34" t="str">
        <f aca="false">IF(OR($P339="",$G339=""),"",IF($P339&lt;=$G339,"Có","Không"))</f>
        <v/>
      </c>
      <c r="AC339" s="34" t="str">
        <f aca="false">IF(OR($P339="",$E339=""),"",$P339-$E339)</f>
        <v/>
      </c>
      <c r="AD339" s="35" t="str">
        <f aca="false">IF($A339="","",COUNTIF(CASE!$B$3:$B$202,$A339))</f>
        <v/>
      </c>
      <c r="AE339" s="34" t="str">
        <f aca="false">IF(OR($I339="",$E339=""),"",$I339-$E339)</f>
        <v/>
      </c>
      <c r="AF339" s="34" t="str">
        <f aca="false">IF(OR($K339="",$I339=""),"",$K339-$I339)</f>
        <v/>
      </c>
      <c r="AG339" s="34" t="str">
        <f aca="false">IF(OR($L339="",$K339=""),"",$L339-$K339)</f>
        <v/>
      </c>
      <c r="AH339" s="34" t="str">
        <f aca="false">IF(OR($M339="",$L339=""),"",$M339-$L339)</f>
        <v/>
      </c>
      <c r="AI339" s="34" t="str">
        <f aca="false">IF(OR($P339="",$M339=""),"",$P339-$M339)</f>
        <v/>
      </c>
    </row>
    <row r="340" customFormat="false" ht="15" hidden="false" customHeight="false" outlineLevel="0" collapsed="false">
      <c r="A340" s="29"/>
      <c r="B340" s="29"/>
      <c r="C340" s="29"/>
      <c r="D340" s="30"/>
      <c r="E340" s="31"/>
      <c r="F340" s="32" t="str">
        <f aca="false">IF($E340="","",$E340+7*IFERROR(VLOOKUP($B340,DS!$K$2:$M$4,2,FALSE()),12))</f>
        <v/>
      </c>
      <c r="G340" s="32" t="str">
        <f aca="false">IF($E340="","",$E340+7*IFERROR(VLOOKUP($B340,DS!$K$2:$M$4,3,FALSE()),12))</f>
        <v/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3" t="str">
        <f aca="false">IF($A340="","",IF($R340&lt;&gt;"","95 Hủy/hoàn",IF($Q340&lt;&gt;"","99 Đóng",IF($P340&lt;&gt;"","90 Đã giao",IF($O340&lt;&gt;"","80 Đang giao",IF($N340&lt;&gt;"","70 Thông quan",IF($M340&lt;&gt;"","60 Đã xuất",IF($L340&lt;&gt;"","50 QC đạt",IF($K340&lt;&gt;"","40 NCC đã gửi",IF($I340&lt;&gt;"","30 Đã đặt NCC",IF($H340&lt;&gt;"","20 Đã xác nhận","10 Mới")))))))))))</f>
        <v/>
      </c>
      <c r="U340" s="33" t="str">
        <f aca="false">IF($T340="","",IFERROR(VLOOKUP($T340,DS!$A$2:$B$12,2,FALSE()),""))</f>
        <v/>
      </c>
      <c r="V340" s="34" t="str">
        <f aca="true">IF(OR($T340="",LEFT($T340,2)="99",LEFT($T340,2)="95"),"",TODAY()-MAX($E340,$H340:$P340))</f>
        <v/>
      </c>
      <c r="W340" s="34" t="str">
        <f aca="true">IF(AND($E340&lt;&gt;"",$I340="",$R340=""),IF(TODAY()-$E340&gt;1,"⚑",""),"")</f>
        <v/>
      </c>
      <c r="X340" s="34" t="str">
        <f aca="true">IF(AND($J340&lt;&gt;"",$K340="",$R340=""),IF(TODAY()-$J340&gt;2,"⚑",""),"")</f>
        <v/>
      </c>
      <c r="Y340" s="34" t="str">
        <f aca="true">IF(AND($G340&lt;&gt;"",$M340="",$R340=""),IF(AND($G340-TODAY()&lt;=14,$G340&gt;=TODAY()),"⚑",""),"")</f>
        <v/>
      </c>
      <c r="Z340" s="34" t="str">
        <f aca="true">IF(AND($G340&lt;&gt;"",$P340="",$R340=""),IF(TODAY()&gt;$G340,"⚑",""),"")</f>
        <v/>
      </c>
      <c r="AA340" s="34" t="str">
        <f aca="true">IF(AND($E340&lt;&gt;"",$P340="",$R340=""),IF(TODAY()-MAX($E340,$H340,$M340,$S340)&gt;7,"⚑",""),"")</f>
        <v/>
      </c>
      <c r="AB340" s="34" t="str">
        <f aca="false">IF(OR($P340="",$G340=""),"",IF($P340&lt;=$G340,"Có","Không"))</f>
        <v/>
      </c>
      <c r="AC340" s="34" t="str">
        <f aca="false">IF(OR($P340="",$E340=""),"",$P340-$E340)</f>
        <v/>
      </c>
      <c r="AD340" s="35" t="str">
        <f aca="false">IF($A340="","",COUNTIF(CASE!$B$3:$B$202,$A340))</f>
        <v/>
      </c>
      <c r="AE340" s="34" t="str">
        <f aca="false">IF(OR($I340="",$E340=""),"",$I340-$E340)</f>
        <v/>
      </c>
      <c r="AF340" s="34" t="str">
        <f aca="false">IF(OR($K340="",$I340=""),"",$K340-$I340)</f>
        <v/>
      </c>
      <c r="AG340" s="34" t="str">
        <f aca="false">IF(OR($L340="",$K340=""),"",$L340-$K340)</f>
        <v/>
      </c>
      <c r="AH340" s="34" t="str">
        <f aca="false">IF(OR($M340="",$L340=""),"",$M340-$L340)</f>
        <v/>
      </c>
      <c r="AI340" s="34" t="str">
        <f aca="false">IF(OR($P340="",$M340=""),"",$P340-$M340)</f>
        <v/>
      </c>
    </row>
    <row r="341" customFormat="false" ht="15" hidden="false" customHeight="false" outlineLevel="0" collapsed="false">
      <c r="A341" s="29"/>
      <c r="B341" s="29"/>
      <c r="C341" s="29"/>
      <c r="D341" s="30"/>
      <c r="E341" s="31"/>
      <c r="F341" s="32" t="str">
        <f aca="false">IF($E341="","",$E341+7*IFERROR(VLOOKUP($B341,DS!$K$2:$M$4,2,FALSE()),12))</f>
        <v/>
      </c>
      <c r="G341" s="32" t="str">
        <f aca="false">IF($E341="","",$E341+7*IFERROR(VLOOKUP($B341,DS!$K$2:$M$4,3,FALSE()),12))</f>
        <v/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3" t="str">
        <f aca="false">IF($A341="","",IF($R341&lt;&gt;"","95 Hủy/hoàn",IF($Q341&lt;&gt;"","99 Đóng",IF($P341&lt;&gt;"","90 Đã giao",IF($O341&lt;&gt;"","80 Đang giao",IF($N341&lt;&gt;"","70 Thông quan",IF($M341&lt;&gt;"","60 Đã xuất",IF($L341&lt;&gt;"","50 QC đạt",IF($K341&lt;&gt;"","40 NCC đã gửi",IF($I341&lt;&gt;"","30 Đã đặt NCC",IF($H341&lt;&gt;"","20 Đã xác nhận","10 Mới")))))))))))</f>
        <v/>
      </c>
      <c r="U341" s="33" t="str">
        <f aca="false">IF($T341="","",IFERROR(VLOOKUP($T341,DS!$A$2:$B$12,2,FALSE()),""))</f>
        <v/>
      </c>
      <c r="V341" s="34" t="str">
        <f aca="true">IF(OR($T341="",LEFT($T341,2)="99",LEFT($T341,2)="95"),"",TODAY()-MAX($E341,$H341:$P341))</f>
        <v/>
      </c>
      <c r="W341" s="34" t="str">
        <f aca="true">IF(AND($E341&lt;&gt;"",$I341="",$R341=""),IF(TODAY()-$E341&gt;1,"⚑",""),"")</f>
        <v/>
      </c>
      <c r="X341" s="34" t="str">
        <f aca="true">IF(AND($J341&lt;&gt;"",$K341="",$R341=""),IF(TODAY()-$J341&gt;2,"⚑",""),"")</f>
        <v/>
      </c>
      <c r="Y341" s="34" t="str">
        <f aca="true">IF(AND($G341&lt;&gt;"",$M341="",$R341=""),IF(AND($G341-TODAY()&lt;=14,$G341&gt;=TODAY()),"⚑",""),"")</f>
        <v/>
      </c>
      <c r="Z341" s="34" t="str">
        <f aca="true">IF(AND($G341&lt;&gt;"",$P341="",$R341=""),IF(TODAY()&gt;$G341,"⚑",""),"")</f>
        <v/>
      </c>
      <c r="AA341" s="34" t="str">
        <f aca="true">IF(AND($E341&lt;&gt;"",$P341="",$R341=""),IF(TODAY()-MAX($E341,$H341,$M341,$S341)&gt;7,"⚑",""),"")</f>
        <v/>
      </c>
      <c r="AB341" s="34" t="str">
        <f aca="false">IF(OR($P341="",$G341=""),"",IF($P341&lt;=$G341,"Có","Không"))</f>
        <v/>
      </c>
      <c r="AC341" s="34" t="str">
        <f aca="false">IF(OR($P341="",$E341=""),"",$P341-$E341)</f>
        <v/>
      </c>
      <c r="AD341" s="35" t="str">
        <f aca="false">IF($A341="","",COUNTIF(CASE!$B$3:$B$202,$A341))</f>
        <v/>
      </c>
      <c r="AE341" s="34" t="str">
        <f aca="false">IF(OR($I341="",$E341=""),"",$I341-$E341)</f>
        <v/>
      </c>
      <c r="AF341" s="34" t="str">
        <f aca="false">IF(OR($K341="",$I341=""),"",$K341-$I341)</f>
        <v/>
      </c>
      <c r="AG341" s="34" t="str">
        <f aca="false">IF(OR($L341="",$K341=""),"",$L341-$K341)</f>
        <v/>
      </c>
      <c r="AH341" s="34" t="str">
        <f aca="false">IF(OR($M341="",$L341=""),"",$M341-$L341)</f>
        <v/>
      </c>
      <c r="AI341" s="34" t="str">
        <f aca="false">IF(OR($P341="",$M341=""),"",$P341-$M341)</f>
        <v/>
      </c>
    </row>
    <row r="342" customFormat="false" ht="15" hidden="false" customHeight="false" outlineLevel="0" collapsed="false">
      <c r="A342" s="29"/>
      <c r="B342" s="29"/>
      <c r="C342" s="29"/>
      <c r="D342" s="30"/>
      <c r="E342" s="31"/>
      <c r="F342" s="32" t="str">
        <f aca="false">IF($E342="","",$E342+7*IFERROR(VLOOKUP($B342,DS!$K$2:$M$4,2,FALSE()),12))</f>
        <v/>
      </c>
      <c r="G342" s="32" t="str">
        <f aca="false">IF($E342="","",$E342+7*IFERROR(VLOOKUP($B342,DS!$K$2:$M$4,3,FALSE()),12))</f>
        <v/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3" t="str">
        <f aca="false">IF($A342="","",IF($R342&lt;&gt;"","95 Hủy/hoàn",IF($Q342&lt;&gt;"","99 Đóng",IF($P342&lt;&gt;"","90 Đã giao",IF($O342&lt;&gt;"","80 Đang giao",IF($N342&lt;&gt;"","70 Thông quan",IF($M342&lt;&gt;"","60 Đã xuất",IF($L342&lt;&gt;"","50 QC đạt",IF($K342&lt;&gt;"","40 NCC đã gửi",IF($I342&lt;&gt;"","30 Đã đặt NCC",IF($H342&lt;&gt;"","20 Đã xác nhận","10 Mới")))))))))))</f>
        <v/>
      </c>
      <c r="U342" s="33" t="str">
        <f aca="false">IF($T342="","",IFERROR(VLOOKUP($T342,DS!$A$2:$B$12,2,FALSE()),""))</f>
        <v/>
      </c>
      <c r="V342" s="34" t="str">
        <f aca="true">IF(OR($T342="",LEFT($T342,2)="99",LEFT($T342,2)="95"),"",TODAY()-MAX($E342,$H342:$P342))</f>
        <v/>
      </c>
      <c r="W342" s="34" t="str">
        <f aca="true">IF(AND($E342&lt;&gt;"",$I342="",$R342=""),IF(TODAY()-$E342&gt;1,"⚑",""),"")</f>
        <v/>
      </c>
      <c r="X342" s="34" t="str">
        <f aca="true">IF(AND($J342&lt;&gt;"",$K342="",$R342=""),IF(TODAY()-$J342&gt;2,"⚑",""),"")</f>
        <v/>
      </c>
      <c r="Y342" s="34" t="str">
        <f aca="true">IF(AND($G342&lt;&gt;"",$M342="",$R342=""),IF(AND($G342-TODAY()&lt;=14,$G342&gt;=TODAY()),"⚑",""),"")</f>
        <v/>
      </c>
      <c r="Z342" s="34" t="str">
        <f aca="true">IF(AND($G342&lt;&gt;"",$P342="",$R342=""),IF(TODAY()&gt;$G342,"⚑",""),"")</f>
        <v/>
      </c>
      <c r="AA342" s="34" t="str">
        <f aca="true">IF(AND($E342&lt;&gt;"",$P342="",$R342=""),IF(TODAY()-MAX($E342,$H342,$M342,$S342)&gt;7,"⚑",""),"")</f>
        <v/>
      </c>
      <c r="AB342" s="34" t="str">
        <f aca="false">IF(OR($P342="",$G342=""),"",IF($P342&lt;=$G342,"Có","Không"))</f>
        <v/>
      </c>
      <c r="AC342" s="34" t="str">
        <f aca="false">IF(OR($P342="",$E342=""),"",$P342-$E342)</f>
        <v/>
      </c>
      <c r="AD342" s="35" t="str">
        <f aca="false">IF($A342="","",COUNTIF(CASE!$B$3:$B$202,$A342))</f>
        <v/>
      </c>
      <c r="AE342" s="34" t="str">
        <f aca="false">IF(OR($I342="",$E342=""),"",$I342-$E342)</f>
        <v/>
      </c>
      <c r="AF342" s="34" t="str">
        <f aca="false">IF(OR($K342="",$I342=""),"",$K342-$I342)</f>
        <v/>
      </c>
      <c r="AG342" s="34" t="str">
        <f aca="false">IF(OR($L342="",$K342=""),"",$L342-$K342)</f>
        <v/>
      </c>
      <c r="AH342" s="34" t="str">
        <f aca="false">IF(OR($M342="",$L342=""),"",$M342-$L342)</f>
        <v/>
      </c>
      <c r="AI342" s="34" t="str">
        <f aca="false">IF(OR($P342="",$M342=""),"",$P342-$M342)</f>
        <v/>
      </c>
    </row>
    <row r="343" customFormat="false" ht="15" hidden="false" customHeight="false" outlineLevel="0" collapsed="false">
      <c r="A343" s="29"/>
      <c r="B343" s="29"/>
      <c r="C343" s="29"/>
      <c r="D343" s="30"/>
      <c r="E343" s="31"/>
      <c r="F343" s="32" t="str">
        <f aca="false">IF($E343="","",$E343+7*IFERROR(VLOOKUP($B343,DS!$K$2:$M$4,2,FALSE()),12))</f>
        <v/>
      </c>
      <c r="G343" s="32" t="str">
        <f aca="false">IF($E343="","",$E343+7*IFERROR(VLOOKUP($B343,DS!$K$2:$M$4,3,FALSE()),12))</f>
        <v/>
      </c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3" t="str">
        <f aca="false">IF($A343="","",IF($R343&lt;&gt;"","95 Hủy/hoàn",IF($Q343&lt;&gt;"","99 Đóng",IF($P343&lt;&gt;"","90 Đã giao",IF($O343&lt;&gt;"","80 Đang giao",IF($N343&lt;&gt;"","70 Thông quan",IF($M343&lt;&gt;"","60 Đã xuất",IF($L343&lt;&gt;"","50 QC đạt",IF($K343&lt;&gt;"","40 NCC đã gửi",IF($I343&lt;&gt;"","30 Đã đặt NCC",IF($H343&lt;&gt;"","20 Đã xác nhận","10 Mới")))))))))))</f>
        <v/>
      </c>
      <c r="U343" s="33" t="str">
        <f aca="false">IF($T343="","",IFERROR(VLOOKUP($T343,DS!$A$2:$B$12,2,FALSE()),""))</f>
        <v/>
      </c>
      <c r="V343" s="34" t="str">
        <f aca="true">IF(OR($T343="",LEFT($T343,2)="99",LEFT($T343,2)="95"),"",TODAY()-MAX($E343,$H343:$P343))</f>
        <v/>
      </c>
      <c r="W343" s="34" t="str">
        <f aca="true">IF(AND($E343&lt;&gt;"",$I343="",$R343=""),IF(TODAY()-$E343&gt;1,"⚑",""),"")</f>
        <v/>
      </c>
      <c r="X343" s="34" t="str">
        <f aca="true">IF(AND($J343&lt;&gt;"",$K343="",$R343=""),IF(TODAY()-$J343&gt;2,"⚑",""),"")</f>
        <v/>
      </c>
      <c r="Y343" s="34" t="str">
        <f aca="true">IF(AND($G343&lt;&gt;"",$M343="",$R343=""),IF(AND($G343-TODAY()&lt;=14,$G343&gt;=TODAY()),"⚑",""),"")</f>
        <v/>
      </c>
      <c r="Z343" s="34" t="str">
        <f aca="true">IF(AND($G343&lt;&gt;"",$P343="",$R343=""),IF(TODAY()&gt;$G343,"⚑",""),"")</f>
        <v/>
      </c>
      <c r="AA343" s="34" t="str">
        <f aca="true">IF(AND($E343&lt;&gt;"",$P343="",$R343=""),IF(TODAY()-MAX($E343,$H343,$M343,$S343)&gt;7,"⚑",""),"")</f>
        <v/>
      </c>
      <c r="AB343" s="34" t="str">
        <f aca="false">IF(OR($P343="",$G343=""),"",IF($P343&lt;=$G343,"Có","Không"))</f>
        <v/>
      </c>
      <c r="AC343" s="34" t="str">
        <f aca="false">IF(OR($P343="",$E343=""),"",$P343-$E343)</f>
        <v/>
      </c>
      <c r="AD343" s="35" t="str">
        <f aca="false">IF($A343="","",COUNTIF(CASE!$B$3:$B$202,$A343))</f>
        <v/>
      </c>
      <c r="AE343" s="34" t="str">
        <f aca="false">IF(OR($I343="",$E343=""),"",$I343-$E343)</f>
        <v/>
      </c>
      <c r="AF343" s="34" t="str">
        <f aca="false">IF(OR($K343="",$I343=""),"",$K343-$I343)</f>
        <v/>
      </c>
      <c r="AG343" s="34" t="str">
        <f aca="false">IF(OR($L343="",$K343=""),"",$L343-$K343)</f>
        <v/>
      </c>
      <c r="AH343" s="34" t="str">
        <f aca="false">IF(OR($M343="",$L343=""),"",$M343-$L343)</f>
        <v/>
      </c>
      <c r="AI343" s="34" t="str">
        <f aca="false">IF(OR($P343="",$M343=""),"",$P343-$M343)</f>
        <v/>
      </c>
    </row>
    <row r="344" customFormat="false" ht="15" hidden="false" customHeight="false" outlineLevel="0" collapsed="false">
      <c r="A344" s="29"/>
      <c r="B344" s="29"/>
      <c r="C344" s="29"/>
      <c r="D344" s="30"/>
      <c r="E344" s="31"/>
      <c r="F344" s="32" t="str">
        <f aca="false">IF($E344="","",$E344+7*IFERROR(VLOOKUP($B344,DS!$K$2:$M$4,2,FALSE()),12))</f>
        <v/>
      </c>
      <c r="G344" s="32" t="str">
        <f aca="false">IF($E344="","",$E344+7*IFERROR(VLOOKUP($B344,DS!$K$2:$M$4,3,FALSE()),12))</f>
        <v/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3" t="str">
        <f aca="false">IF($A344="","",IF($R344&lt;&gt;"","95 Hủy/hoàn",IF($Q344&lt;&gt;"","99 Đóng",IF($P344&lt;&gt;"","90 Đã giao",IF($O344&lt;&gt;"","80 Đang giao",IF($N344&lt;&gt;"","70 Thông quan",IF($M344&lt;&gt;"","60 Đã xuất",IF($L344&lt;&gt;"","50 QC đạt",IF($K344&lt;&gt;"","40 NCC đã gửi",IF($I344&lt;&gt;"","30 Đã đặt NCC",IF($H344&lt;&gt;"","20 Đã xác nhận","10 Mới")))))))))))</f>
        <v/>
      </c>
      <c r="U344" s="33" t="str">
        <f aca="false">IF($T344="","",IFERROR(VLOOKUP($T344,DS!$A$2:$B$12,2,FALSE()),""))</f>
        <v/>
      </c>
      <c r="V344" s="34" t="str">
        <f aca="true">IF(OR($T344="",LEFT($T344,2)="99",LEFT($T344,2)="95"),"",TODAY()-MAX($E344,$H344:$P344))</f>
        <v/>
      </c>
      <c r="W344" s="34" t="str">
        <f aca="true">IF(AND($E344&lt;&gt;"",$I344="",$R344=""),IF(TODAY()-$E344&gt;1,"⚑",""),"")</f>
        <v/>
      </c>
      <c r="X344" s="34" t="str">
        <f aca="true">IF(AND($J344&lt;&gt;"",$K344="",$R344=""),IF(TODAY()-$J344&gt;2,"⚑",""),"")</f>
        <v/>
      </c>
      <c r="Y344" s="34" t="str">
        <f aca="true">IF(AND($G344&lt;&gt;"",$M344="",$R344=""),IF(AND($G344-TODAY()&lt;=14,$G344&gt;=TODAY()),"⚑",""),"")</f>
        <v/>
      </c>
      <c r="Z344" s="34" t="str">
        <f aca="true">IF(AND($G344&lt;&gt;"",$P344="",$R344=""),IF(TODAY()&gt;$G344,"⚑",""),"")</f>
        <v/>
      </c>
      <c r="AA344" s="34" t="str">
        <f aca="true">IF(AND($E344&lt;&gt;"",$P344="",$R344=""),IF(TODAY()-MAX($E344,$H344,$M344,$S344)&gt;7,"⚑",""),"")</f>
        <v/>
      </c>
      <c r="AB344" s="34" t="str">
        <f aca="false">IF(OR($P344="",$G344=""),"",IF($P344&lt;=$G344,"Có","Không"))</f>
        <v/>
      </c>
      <c r="AC344" s="34" t="str">
        <f aca="false">IF(OR($P344="",$E344=""),"",$P344-$E344)</f>
        <v/>
      </c>
      <c r="AD344" s="35" t="str">
        <f aca="false">IF($A344="","",COUNTIF(CASE!$B$3:$B$202,$A344))</f>
        <v/>
      </c>
      <c r="AE344" s="34" t="str">
        <f aca="false">IF(OR($I344="",$E344=""),"",$I344-$E344)</f>
        <v/>
      </c>
      <c r="AF344" s="34" t="str">
        <f aca="false">IF(OR($K344="",$I344=""),"",$K344-$I344)</f>
        <v/>
      </c>
      <c r="AG344" s="34" t="str">
        <f aca="false">IF(OR($L344="",$K344=""),"",$L344-$K344)</f>
        <v/>
      </c>
      <c r="AH344" s="34" t="str">
        <f aca="false">IF(OR($M344="",$L344=""),"",$M344-$L344)</f>
        <v/>
      </c>
      <c r="AI344" s="34" t="str">
        <f aca="false">IF(OR($P344="",$M344=""),"",$P344-$M344)</f>
        <v/>
      </c>
    </row>
    <row r="345" customFormat="false" ht="15" hidden="false" customHeight="false" outlineLevel="0" collapsed="false">
      <c r="A345" s="29"/>
      <c r="B345" s="29"/>
      <c r="C345" s="29"/>
      <c r="D345" s="30"/>
      <c r="E345" s="31"/>
      <c r="F345" s="32" t="str">
        <f aca="false">IF($E345="","",$E345+7*IFERROR(VLOOKUP($B345,DS!$K$2:$M$4,2,FALSE()),12))</f>
        <v/>
      </c>
      <c r="G345" s="32" t="str">
        <f aca="false">IF($E345="","",$E345+7*IFERROR(VLOOKUP($B345,DS!$K$2:$M$4,3,FALSE()),12))</f>
        <v/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3" t="str">
        <f aca="false">IF($A345="","",IF($R345&lt;&gt;"","95 Hủy/hoàn",IF($Q345&lt;&gt;"","99 Đóng",IF($P345&lt;&gt;"","90 Đã giao",IF($O345&lt;&gt;"","80 Đang giao",IF($N345&lt;&gt;"","70 Thông quan",IF($M345&lt;&gt;"","60 Đã xuất",IF($L345&lt;&gt;"","50 QC đạt",IF($K345&lt;&gt;"","40 NCC đã gửi",IF($I345&lt;&gt;"","30 Đã đặt NCC",IF($H345&lt;&gt;"","20 Đã xác nhận","10 Mới")))))))))))</f>
        <v/>
      </c>
      <c r="U345" s="33" t="str">
        <f aca="false">IF($T345="","",IFERROR(VLOOKUP($T345,DS!$A$2:$B$12,2,FALSE()),""))</f>
        <v/>
      </c>
      <c r="V345" s="34" t="str">
        <f aca="true">IF(OR($T345="",LEFT($T345,2)="99",LEFT($T345,2)="95"),"",TODAY()-MAX($E345,$H345:$P345))</f>
        <v/>
      </c>
      <c r="W345" s="34" t="str">
        <f aca="true">IF(AND($E345&lt;&gt;"",$I345="",$R345=""),IF(TODAY()-$E345&gt;1,"⚑",""),"")</f>
        <v/>
      </c>
      <c r="X345" s="34" t="str">
        <f aca="true">IF(AND($J345&lt;&gt;"",$K345="",$R345=""),IF(TODAY()-$J345&gt;2,"⚑",""),"")</f>
        <v/>
      </c>
      <c r="Y345" s="34" t="str">
        <f aca="true">IF(AND($G345&lt;&gt;"",$M345="",$R345=""),IF(AND($G345-TODAY()&lt;=14,$G345&gt;=TODAY()),"⚑",""),"")</f>
        <v/>
      </c>
      <c r="Z345" s="34" t="str">
        <f aca="true">IF(AND($G345&lt;&gt;"",$P345="",$R345=""),IF(TODAY()&gt;$G345,"⚑",""),"")</f>
        <v/>
      </c>
      <c r="AA345" s="34" t="str">
        <f aca="true">IF(AND($E345&lt;&gt;"",$P345="",$R345=""),IF(TODAY()-MAX($E345,$H345,$M345,$S345)&gt;7,"⚑",""),"")</f>
        <v/>
      </c>
      <c r="AB345" s="34" t="str">
        <f aca="false">IF(OR($P345="",$G345=""),"",IF($P345&lt;=$G345,"Có","Không"))</f>
        <v/>
      </c>
      <c r="AC345" s="34" t="str">
        <f aca="false">IF(OR($P345="",$E345=""),"",$P345-$E345)</f>
        <v/>
      </c>
      <c r="AD345" s="35" t="str">
        <f aca="false">IF($A345="","",COUNTIF(CASE!$B$3:$B$202,$A345))</f>
        <v/>
      </c>
      <c r="AE345" s="34" t="str">
        <f aca="false">IF(OR($I345="",$E345=""),"",$I345-$E345)</f>
        <v/>
      </c>
      <c r="AF345" s="34" t="str">
        <f aca="false">IF(OR($K345="",$I345=""),"",$K345-$I345)</f>
        <v/>
      </c>
      <c r="AG345" s="34" t="str">
        <f aca="false">IF(OR($L345="",$K345=""),"",$L345-$K345)</f>
        <v/>
      </c>
      <c r="AH345" s="34" t="str">
        <f aca="false">IF(OR($M345="",$L345=""),"",$M345-$L345)</f>
        <v/>
      </c>
      <c r="AI345" s="34" t="str">
        <f aca="false">IF(OR($P345="",$M345=""),"",$P345-$M345)</f>
        <v/>
      </c>
    </row>
    <row r="346" customFormat="false" ht="15" hidden="false" customHeight="false" outlineLevel="0" collapsed="false">
      <c r="A346" s="29"/>
      <c r="B346" s="29"/>
      <c r="C346" s="29"/>
      <c r="D346" s="30"/>
      <c r="E346" s="31"/>
      <c r="F346" s="32" t="str">
        <f aca="false">IF($E346="","",$E346+7*IFERROR(VLOOKUP($B346,DS!$K$2:$M$4,2,FALSE()),12))</f>
        <v/>
      </c>
      <c r="G346" s="32" t="str">
        <f aca="false">IF($E346="","",$E346+7*IFERROR(VLOOKUP($B346,DS!$K$2:$M$4,3,FALSE()),12))</f>
        <v/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3" t="str">
        <f aca="false">IF($A346="","",IF($R346&lt;&gt;"","95 Hủy/hoàn",IF($Q346&lt;&gt;"","99 Đóng",IF($P346&lt;&gt;"","90 Đã giao",IF($O346&lt;&gt;"","80 Đang giao",IF($N346&lt;&gt;"","70 Thông quan",IF($M346&lt;&gt;"","60 Đã xuất",IF($L346&lt;&gt;"","50 QC đạt",IF($K346&lt;&gt;"","40 NCC đã gửi",IF($I346&lt;&gt;"","30 Đã đặt NCC",IF($H346&lt;&gt;"","20 Đã xác nhận","10 Mới")))))))))))</f>
        <v/>
      </c>
      <c r="U346" s="33" t="str">
        <f aca="false">IF($T346="","",IFERROR(VLOOKUP($T346,DS!$A$2:$B$12,2,FALSE()),""))</f>
        <v/>
      </c>
      <c r="V346" s="34" t="str">
        <f aca="true">IF(OR($T346="",LEFT($T346,2)="99",LEFT($T346,2)="95"),"",TODAY()-MAX($E346,$H346:$P346))</f>
        <v/>
      </c>
      <c r="W346" s="34" t="str">
        <f aca="true">IF(AND($E346&lt;&gt;"",$I346="",$R346=""),IF(TODAY()-$E346&gt;1,"⚑",""),"")</f>
        <v/>
      </c>
      <c r="X346" s="34" t="str">
        <f aca="true">IF(AND($J346&lt;&gt;"",$K346="",$R346=""),IF(TODAY()-$J346&gt;2,"⚑",""),"")</f>
        <v/>
      </c>
      <c r="Y346" s="34" t="str">
        <f aca="true">IF(AND($G346&lt;&gt;"",$M346="",$R346=""),IF(AND($G346-TODAY()&lt;=14,$G346&gt;=TODAY()),"⚑",""),"")</f>
        <v/>
      </c>
      <c r="Z346" s="34" t="str">
        <f aca="true">IF(AND($G346&lt;&gt;"",$P346="",$R346=""),IF(TODAY()&gt;$G346,"⚑",""),"")</f>
        <v/>
      </c>
      <c r="AA346" s="34" t="str">
        <f aca="true">IF(AND($E346&lt;&gt;"",$P346="",$R346=""),IF(TODAY()-MAX($E346,$H346,$M346,$S346)&gt;7,"⚑",""),"")</f>
        <v/>
      </c>
      <c r="AB346" s="34" t="str">
        <f aca="false">IF(OR($P346="",$G346=""),"",IF($P346&lt;=$G346,"Có","Không"))</f>
        <v/>
      </c>
      <c r="AC346" s="34" t="str">
        <f aca="false">IF(OR($P346="",$E346=""),"",$P346-$E346)</f>
        <v/>
      </c>
      <c r="AD346" s="35" t="str">
        <f aca="false">IF($A346="","",COUNTIF(CASE!$B$3:$B$202,$A346))</f>
        <v/>
      </c>
      <c r="AE346" s="34" t="str">
        <f aca="false">IF(OR($I346="",$E346=""),"",$I346-$E346)</f>
        <v/>
      </c>
      <c r="AF346" s="34" t="str">
        <f aca="false">IF(OR($K346="",$I346=""),"",$K346-$I346)</f>
        <v/>
      </c>
      <c r="AG346" s="34" t="str">
        <f aca="false">IF(OR($L346="",$K346=""),"",$L346-$K346)</f>
        <v/>
      </c>
      <c r="AH346" s="34" t="str">
        <f aca="false">IF(OR($M346="",$L346=""),"",$M346-$L346)</f>
        <v/>
      </c>
      <c r="AI346" s="34" t="str">
        <f aca="false">IF(OR($P346="",$M346=""),"",$P346-$M346)</f>
        <v/>
      </c>
    </row>
    <row r="347" customFormat="false" ht="15" hidden="false" customHeight="false" outlineLevel="0" collapsed="false">
      <c r="A347" s="29"/>
      <c r="B347" s="29"/>
      <c r="C347" s="29"/>
      <c r="D347" s="30"/>
      <c r="E347" s="31"/>
      <c r="F347" s="32" t="str">
        <f aca="false">IF($E347="","",$E347+7*IFERROR(VLOOKUP($B347,DS!$K$2:$M$4,2,FALSE()),12))</f>
        <v/>
      </c>
      <c r="G347" s="32" t="str">
        <f aca="false">IF($E347="","",$E347+7*IFERROR(VLOOKUP($B347,DS!$K$2:$M$4,3,FALSE()),12))</f>
        <v/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3" t="str">
        <f aca="false">IF($A347="","",IF($R347&lt;&gt;"","95 Hủy/hoàn",IF($Q347&lt;&gt;"","99 Đóng",IF($P347&lt;&gt;"","90 Đã giao",IF($O347&lt;&gt;"","80 Đang giao",IF($N347&lt;&gt;"","70 Thông quan",IF($M347&lt;&gt;"","60 Đã xuất",IF($L347&lt;&gt;"","50 QC đạt",IF($K347&lt;&gt;"","40 NCC đã gửi",IF($I347&lt;&gt;"","30 Đã đặt NCC",IF($H347&lt;&gt;"","20 Đã xác nhận","10 Mới")))))))))))</f>
        <v/>
      </c>
      <c r="U347" s="33" t="str">
        <f aca="false">IF($T347="","",IFERROR(VLOOKUP($T347,DS!$A$2:$B$12,2,FALSE()),""))</f>
        <v/>
      </c>
      <c r="V347" s="34" t="str">
        <f aca="true">IF(OR($T347="",LEFT($T347,2)="99",LEFT($T347,2)="95"),"",TODAY()-MAX($E347,$H347:$P347))</f>
        <v/>
      </c>
      <c r="W347" s="34" t="str">
        <f aca="true">IF(AND($E347&lt;&gt;"",$I347="",$R347=""),IF(TODAY()-$E347&gt;1,"⚑",""),"")</f>
        <v/>
      </c>
      <c r="X347" s="34" t="str">
        <f aca="true">IF(AND($J347&lt;&gt;"",$K347="",$R347=""),IF(TODAY()-$J347&gt;2,"⚑",""),"")</f>
        <v/>
      </c>
      <c r="Y347" s="34" t="str">
        <f aca="true">IF(AND($G347&lt;&gt;"",$M347="",$R347=""),IF(AND($G347-TODAY()&lt;=14,$G347&gt;=TODAY()),"⚑",""),"")</f>
        <v/>
      </c>
      <c r="Z347" s="34" t="str">
        <f aca="true">IF(AND($G347&lt;&gt;"",$P347="",$R347=""),IF(TODAY()&gt;$G347,"⚑",""),"")</f>
        <v/>
      </c>
      <c r="AA347" s="34" t="str">
        <f aca="true">IF(AND($E347&lt;&gt;"",$P347="",$R347=""),IF(TODAY()-MAX($E347,$H347,$M347,$S347)&gt;7,"⚑",""),"")</f>
        <v/>
      </c>
      <c r="AB347" s="34" t="str">
        <f aca="false">IF(OR($P347="",$G347=""),"",IF($P347&lt;=$G347,"Có","Không"))</f>
        <v/>
      </c>
      <c r="AC347" s="34" t="str">
        <f aca="false">IF(OR($P347="",$E347=""),"",$P347-$E347)</f>
        <v/>
      </c>
      <c r="AD347" s="35" t="str">
        <f aca="false">IF($A347="","",COUNTIF(CASE!$B$3:$B$202,$A347))</f>
        <v/>
      </c>
      <c r="AE347" s="34" t="str">
        <f aca="false">IF(OR($I347="",$E347=""),"",$I347-$E347)</f>
        <v/>
      </c>
      <c r="AF347" s="34" t="str">
        <f aca="false">IF(OR($K347="",$I347=""),"",$K347-$I347)</f>
        <v/>
      </c>
      <c r="AG347" s="34" t="str">
        <f aca="false">IF(OR($L347="",$K347=""),"",$L347-$K347)</f>
        <v/>
      </c>
      <c r="AH347" s="34" t="str">
        <f aca="false">IF(OR($M347="",$L347=""),"",$M347-$L347)</f>
        <v/>
      </c>
      <c r="AI347" s="34" t="str">
        <f aca="false">IF(OR($P347="",$M347=""),"",$P347-$M347)</f>
        <v/>
      </c>
    </row>
    <row r="348" customFormat="false" ht="15" hidden="false" customHeight="false" outlineLevel="0" collapsed="false">
      <c r="A348" s="29"/>
      <c r="B348" s="29"/>
      <c r="C348" s="29"/>
      <c r="D348" s="30"/>
      <c r="E348" s="31"/>
      <c r="F348" s="32" t="str">
        <f aca="false">IF($E348="","",$E348+7*IFERROR(VLOOKUP($B348,DS!$K$2:$M$4,2,FALSE()),12))</f>
        <v/>
      </c>
      <c r="G348" s="32" t="str">
        <f aca="false">IF($E348="","",$E348+7*IFERROR(VLOOKUP($B348,DS!$K$2:$M$4,3,FALSE()),12))</f>
        <v/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3" t="str">
        <f aca="false">IF($A348="","",IF($R348&lt;&gt;"","95 Hủy/hoàn",IF($Q348&lt;&gt;"","99 Đóng",IF($P348&lt;&gt;"","90 Đã giao",IF($O348&lt;&gt;"","80 Đang giao",IF($N348&lt;&gt;"","70 Thông quan",IF($M348&lt;&gt;"","60 Đã xuất",IF($L348&lt;&gt;"","50 QC đạt",IF($K348&lt;&gt;"","40 NCC đã gửi",IF($I348&lt;&gt;"","30 Đã đặt NCC",IF($H348&lt;&gt;"","20 Đã xác nhận","10 Mới")))))))))))</f>
        <v/>
      </c>
      <c r="U348" s="33" t="str">
        <f aca="false">IF($T348="","",IFERROR(VLOOKUP($T348,DS!$A$2:$B$12,2,FALSE()),""))</f>
        <v/>
      </c>
      <c r="V348" s="34" t="str">
        <f aca="true">IF(OR($T348="",LEFT($T348,2)="99",LEFT($T348,2)="95"),"",TODAY()-MAX($E348,$H348:$P348))</f>
        <v/>
      </c>
      <c r="W348" s="34" t="str">
        <f aca="true">IF(AND($E348&lt;&gt;"",$I348="",$R348=""),IF(TODAY()-$E348&gt;1,"⚑",""),"")</f>
        <v/>
      </c>
      <c r="X348" s="34" t="str">
        <f aca="true">IF(AND($J348&lt;&gt;"",$K348="",$R348=""),IF(TODAY()-$J348&gt;2,"⚑",""),"")</f>
        <v/>
      </c>
      <c r="Y348" s="34" t="str">
        <f aca="true">IF(AND($G348&lt;&gt;"",$M348="",$R348=""),IF(AND($G348-TODAY()&lt;=14,$G348&gt;=TODAY()),"⚑",""),"")</f>
        <v/>
      </c>
      <c r="Z348" s="34" t="str">
        <f aca="true">IF(AND($G348&lt;&gt;"",$P348="",$R348=""),IF(TODAY()&gt;$G348,"⚑",""),"")</f>
        <v/>
      </c>
      <c r="AA348" s="34" t="str">
        <f aca="true">IF(AND($E348&lt;&gt;"",$P348="",$R348=""),IF(TODAY()-MAX($E348,$H348,$M348,$S348)&gt;7,"⚑",""),"")</f>
        <v/>
      </c>
      <c r="AB348" s="34" t="str">
        <f aca="false">IF(OR($P348="",$G348=""),"",IF($P348&lt;=$G348,"Có","Không"))</f>
        <v/>
      </c>
      <c r="AC348" s="34" t="str">
        <f aca="false">IF(OR($P348="",$E348=""),"",$P348-$E348)</f>
        <v/>
      </c>
      <c r="AD348" s="35" t="str">
        <f aca="false">IF($A348="","",COUNTIF(CASE!$B$3:$B$202,$A348))</f>
        <v/>
      </c>
      <c r="AE348" s="34" t="str">
        <f aca="false">IF(OR($I348="",$E348=""),"",$I348-$E348)</f>
        <v/>
      </c>
      <c r="AF348" s="34" t="str">
        <f aca="false">IF(OR($K348="",$I348=""),"",$K348-$I348)</f>
        <v/>
      </c>
      <c r="AG348" s="34" t="str">
        <f aca="false">IF(OR($L348="",$K348=""),"",$L348-$K348)</f>
        <v/>
      </c>
      <c r="AH348" s="34" t="str">
        <f aca="false">IF(OR($M348="",$L348=""),"",$M348-$L348)</f>
        <v/>
      </c>
      <c r="AI348" s="34" t="str">
        <f aca="false">IF(OR($P348="",$M348=""),"",$P348-$M348)</f>
        <v/>
      </c>
    </row>
    <row r="349" customFormat="false" ht="15" hidden="false" customHeight="false" outlineLevel="0" collapsed="false">
      <c r="A349" s="29"/>
      <c r="B349" s="29"/>
      <c r="C349" s="29"/>
      <c r="D349" s="30"/>
      <c r="E349" s="31"/>
      <c r="F349" s="32" t="str">
        <f aca="false">IF($E349="","",$E349+7*IFERROR(VLOOKUP($B349,DS!$K$2:$M$4,2,FALSE()),12))</f>
        <v/>
      </c>
      <c r="G349" s="32" t="str">
        <f aca="false">IF($E349="","",$E349+7*IFERROR(VLOOKUP($B349,DS!$K$2:$M$4,3,FALSE()),12))</f>
        <v/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3" t="str">
        <f aca="false">IF($A349="","",IF($R349&lt;&gt;"","95 Hủy/hoàn",IF($Q349&lt;&gt;"","99 Đóng",IF($P349&lt;&gt;"","90 Đã giao",IF($O349&lt;&gt;"","80 Đang giao",IF($N349&lt;&gt;"","70 Thông quan",IF($M349&lt;&gt;"","60 Đã xuất",IF($L349&lt;&gt;"","50 QC đạt",IF($K349&lt;&gt;"","40 NCC đã gửi",IF($I349&lt;&gt;"","30 Đã đặt NCC",IF($H349&lt;&gt;"","20 Đã xác nhận","10 Mới")))))))))))</f>
        <v/>
      </c>
      <c r="U349" s="33" t="str">
        <f aca="false">IF($T349="","",IFERROR(VLOOKUP($T349,DS!$A$2:$B$12,2,FALSE()),""))</f>
        <v/>
      </c>
      <c r="V349" s="34" t="str">
        <f aca="true">IF(OR($T349="",LEFT($T349,2)="99",LEFT($T349,2)="95"),"",TODAY()-MAX($E349,$H349:$P349))</f>
        <v/>
      </c>
      <c r="W349" s="34" t="str">
        <f aca="true">IF(AND($E349&lt;&gt;"",$I349="",$R349=""),IF(TODAY()-$E349&gt;1,"⚑",""),"")</f>
        <v/>
      </c>
      <c r="X349" s="34" t="str">
        <f aca="true">IF(AND($J349&lt;&gt;"",$K349="",$R349=""),IF(TODAY()-$J349&gt;2,"⚑",""),"")</f>
        <v/>
      </c>
      <c r="Y349" s="34" t="str">
        <f aca="true">IF(AND($G349&lt;&gt;"",$M349="",$R349=""),IF(AND($G349-TODAY()&lt;=14,$G349&gt;=TODAY()),"⚑",""),"")</f>
        <v/>
      </c>
      <c r="Z349" s="34" t="str">
        <f aca="true">IF(AND($G349&lt;&gt;"",$P349="",$R349=""),IF(TODAY()&gt;$G349,"⚑",""),"")</f>
        <v/>
      </c>
      <c r="AA349" s="34" t="str">
        <f aca="true">IF(AND($E349&lt;&gt;"",$P349="",$R349=""),IF(TODAY()-MAX($E349,$H349,$M349,$S349)&gt;7,"⚑",""),"")</f>
        <v/>
      </c>
      <c r="AB349" s="34" t="str">
        <f aca="false">IF(OR($P349="",$G349=""),"",IF($P349&lt;=$G349,"Có","Không"))</f>
        <v/>
      </c>
      <c r="AC349" s="34" t="str">
        <f aca="false">IF(OR($P349="",$E349=""),"",$P349-$E349)</f>
        <v/>
      </c>
      <c r="AD349" s="35" t="str">
        <f aca="false">IF($A349="","",COUNTIF(CASE!$B$3:$B$202,$A349))</f>
        <v/>
      </c>
      <c r="AE349" s="34" t="str">
        <f aca="false">IF(OR($I349="",$E349=""),"",$I349-$E349)</f>
        <v/>
      </c>
      <c r="AF349" s="34" t="str">
        <f aca="false">IF(OR($K349="",$I349=""),"",$K349-$I349)</f>
        <v/>
      </c>
      <c r="AG349" s="34" t="str">
        <f aca="false">IF(OR($L349="",$K349=""),"",$L349-$K349)</f>
        <v/>
      </c>
      <c r="AH349" s="34" t="str">
        <f aca="false">IF(OR($M349="",$L349=""),"",$M349-$L349)</f>
        <v/>
      </c>
      <c r="AI349" s="34" t="str">
        <f aca="false">IF(OR($P349="",$M349=""),"",$P349-$M349)</f>
        <v/>
      </c>
    </row>
    <row r="350" customFormat="false" ht="15" hidden="false" customHeight="false" outlineLevel="0" collapsed="false">
      <c r="A350" s="29"/>
      <c r="B350" s="29"/>
      <c r="C350" s="29"/>
      <c r="D350" s="30"/>
      <c r="E350" s="31"/>
      <c r="F350" s="32" t="str">
        <f aca="false">IF($E350="","",$E350+7*IFERROR(VLOOKUP($B350,DS!$K$2:$M$4,2,FALSE()),12))</f>
        <v/>
      </c>
      <c r="G350" s="32" t="str">
        <f aca="false">IF($E350="","",$E350+7*IFERROR(VLOOKUP($B350,DS!$K$2:$M$4,3,FALSE()),12))</f>
        <v/>
      </c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3" t="str">
        <f aca="false">IF($A350="","",IF($R350&lt;&gt;"","95 Hủy/hoàn",IF($Q350&lt;&gt;"","99 Đóng",IF($P350&lt;&gt;"","90 Đã giao",IF($O350&lt;&gt;"","80 Đang giao",IF($N350&lt;&gt;"","70 Thông quan",IF($M350&lt;&gt;"","60 Đã xuất",IF($L350&lt;&gt;"","50 QC đạt",IF($K350&lt;&gt;"","40 NCC đã gửi",IF($I350&lt;&gt;"","30 Đã đặt NCC",IF($H350&lt;&gt;"","20 Đã xác nhận","10 Mới")))))))))))</f>
        <v/>
      </c>
      <c r="U350" s="33" t="str">
        <f aca="false">IF($T350="","",IFERROR(VLOOKUP($T350,DS!$A$2:$B$12,2,FALSE()),""))</f>
        <v/>
      </c>
      <c r="V350" s="34" t="str">
        <f aca="true">IF(OR($T350="",LEFT($T350,2)="99",LEFT($T350,2)="95"),"",TODAY()-MAX($E350,$H350:$P350))</f>
        <v/>
      </c>
      <c r="W350" s="34" t="str">
        <f aca="true">IF(AND($E350&lt;&gt;"",$I350="",$R350=""),IF(TODAY()-$E350&gt;1,"⚑",""),"")</f>
        <v/>
      </c>
      <c r="X350" s="34" t="str">
        <f aca="true">IF(AND($J350&lt;&gt;"",$K350="",$R350=""),IF(TODAY()-$J350&gt;2,"⚑",""),"")</f>
        <v/>
      </c>
      <c r="Y350" s="34" t="str">
        <f aca="true">IF(AND($G350&lt;&gt;"",$M350="",$R350=""),IF(AND($G350-TODAY()&lt;=14,$G350&gt;=TODAY()),"⚑",""),"")</f>
        <v/>
      </c>
      <c r="Z350" s="34" t="str">
        <f aca="true">IF(AND($G350&lt;&gt;"",$P350="",$R350=""),IF(TODAY()&gt;$G350,"⚑",""),"")</f>
        <v/>
      </c>
      <c r="AA350" s="34" t="str">
        <f aca="true">IF(AND($E350&lt;&gt;"",$P350="",$R350=""),IF(TODAY()-MAX($E350,$H350,$M350,$S350)&gt;7,"⚑",""),"")</f>
        <v/>
      </c>
      <c r="AB350" s="34" t="str">
        <f aca="false">IF(OR($P350="",$G350=""),"",IF($P350&lt;=$G350,"Có","Không"))</f>
        <v/>
      </c>
      <c r="AC350" s="34" t="str">
        <f aca="false">IF(OR($P350="",$E350=""),"",$P350-$E350)</f>
        <v/>
      </c>
      <c r="AD350" s="35" t="str">
        <f aca="false">IF($A350="","",COUNTIF(CASE!$B$3:$B$202,$A350))</f>
        <v/>
      </c>
      <c r="AE350" s="34" t="str">
        <f aca="false">IF(OR($I350="",$E350=""),"",$I350-$E350)</f>
        <v/>
      </c>
      <c r="AF350" s="34" t="str">
        <f aca="false">IF(OR($K350="",$I350=""),"",$K350-$I350)</f>
        <v/>
      </c>
      <c r="AG350" s="34" t="str">
        <f aca="false">IF(OR($L350="",$K350=""),"",$L350-$K350)</f>
        <v/>
      </c>
      <c r="AH350" s="34" t="str">
        <f aca="false">IF(OR($M350="",$L350=""),"",$M350-$L350)</f>
        <v/>
      </c>
      <c r="AI350" s="34" t="str">
        <f aca="false">IF(OR($P350="",$M350=""),"",$P350-$M350)</f>
        <v/>
      </c>
    </row>
    <row r="351" customFormat="false" ht="15" hidden="false" customHeight="false" outlineLevel="0" collapsed="false">
      <c r="A351" s="29"/>
      <c r="B351" s="29"/>
      <c r="C351" s="29"/>
      <c r="D351" s="30"/>
      <c r="E351" s="31"/>
      <c r="F351" s="32" t="str">
        <f aca="false">IF($E351="","",$E351+7*IFERROR(VLOOKUP($B351,DS!$K$2:$M$4,2,FALSE()),12))</f>
        <v/>
      </c>
      <c r="G351" s="32" t="str">
        <f aca="false">IF($E351="","",$E351+7*IFERROR(VLOOKUP($B351,DS!$K$2:$M$4,3,FALSE()),12))</f>
        <v/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3" t="str">
        <f aca="false">IF($A351="","",IF($R351&lt;&gt;"","95 Hủy/hoàn",IF($Q351&lt;&gt;"","99 Đóng",IF($P351&lt;&gt;"","90 Đã giao",IF($O351&lt;&gt;"","80 Đang giao",IF($N351&lt;&gt;"","70 Thông quan",IF($M351&lt;&gt;"","60 Đã xuất",IF($L351&lt;&gt;"","50 QC đạt",IF($K351&lt;&gt;"","40 NCC đã gửi",IF($I351&lt;&gt;"","30 Đã đặt NCC",IF($H351&lt;&gt;"","20 Đã xác nhận","10 Mới")))))))))))</f>
        <v/>
      </c>
      <c r="U351" s="33" t="str">
        <f aca="false">IF($T351="","",IFERROR(VLOOKUP($T351,DS!$A$2:$B$12,2,FALSE()),""))</f>
        <v/>
      </c>
      <c r="V351" s="34" t="str">
        <f aca="true">IF(OR($T351="",LEFT($T351,2)="99",LEFT($T351,2)="95"),"",TODAY()-MAX($E351,$H351:$P351))</f>
        <v/>
      </c>
      <c r="W351" s="34" t="str">
        <f aca="true">IF(AND($E351&lt;&gt;"",$I351="",$R351=""),IF(TODAY()-$E351&gt;1,"⚑",""),"")</f>
        <v/>
      </c>
      <c r="X351" s="34" t="str">
        <f aca="true">IF(AND($J351&lt;&gt;"",$K351="",$R351=""),IF(TODAY()-$J351&gt;2,"⚑",""),"")</f>
        <v/>
      </c>
      <c r="Y351" s="34" t="str">
        <f aca="true">IF(AND($G351&lt;&gt;"",$M351="",$R351=""),IF(AND($G351-TODAY()&lt;=14,$G351&gt;=TODAY()),"⚑",""),"")</f>
        <v/>
      </c>
      <c r="Z351" s="34" t="str">
        <f aca="true">IF(AND($G351&lt;&gt;"",$P351="",$R351=""),IF(TODAY()&gt;$G351,"⚑",""),"")</f>
        <v/>
      </c>
      <c r="AA351" s="34" t="str">
        <f aca="true">IF(AND($E351&lt;&gt;"",$P351="",$R351=""),IF(TODAY()-MAX($E351,$H351,$M351,$S351)&gt;7,"⚑",""),"")</f>
        <v/>
      </c>
      <c r="AB351" s="34" t="str">
        <f aca="false">IF(OR($P351="",$G351=""),"",IF($P351&lt;=$G351,"Có","Không"))</f>
        <v/>
      </c>
      <c r="AC351" s="34" t="str">
        <f aca="false">IF(OR($P351="",$E351=""),"",$P351-$E351)</f>
        <v/>
      </c>
      <c r="AD351" s="35" t="str">
        <f aca="false">IF($A351="","",COUNTIF(CASE!$B$3:$B$202,$A351))</f>
        <v/>
      </c>
      <c r="AE351" s="34" t="str">
        <f aca="false">IF(OR($I351="",$E351=""),"",$I351-$E351)</f>
        <v/>
      </c>
      <c r="AF351" s="34" t="str">
        <f aca="false">IF(OR($K351="",$I351=""),"",$K351-$I351)</f>
        <v/>
      </c>
      <c r="AG351" s="34" t="str">
        <f aca="false">IF(OR($L351="",$K351=""),"",$L351-$K351)</f>
        <v/>
      </c>
      <c r="AH351" s="34" t="str">
        <f aca="false">IF(OR($M351="",$L351=""),"",$M351-$L351)</f>
        <v/>
      </c>
      <c r="AI351" s="34" t="str">
        <f aca="false">IF(OR($P351="",$M351=""),"",$P351-$M351)</f>
        <v/>
      </c>
    </row>
    <row r="352" customFormat="false" ht="15" hidden="false" customHeight="false" outlineLevel="0" collapsed="false">
      <c r="A352" s="29"/>
      <c r="B352" s="29"/>
      <c r="C352" s="29"/>
      <c r="D352" s="30"/>
      <c r="E352" s="31"/>
      <c r="F352" s="32" t="str">
        <f aca="false">IF($E352="","",$E352+7*IFERROR(VLOOKUP($B352,DS!$K$2:$M$4,2,FALSE()),12))</f>
        <v/>
      </c>
      <c r="G352" s="32" t="str">
        <f aca="false">IF($E352="","",$E352+7*IFERROR(VLOOKUP($B352,DS!$K$2:$M$4,3,FALSE()),12))</f>
        <v/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3" t="str">
        <f aca="false">IF($A352="","",IF($R352&lt;&gt;"","95 Hủy/hoàn",IF($Q352&lt;&gt;"","99 Đóng",IF($P352&lt;&gt;"","90 Đã giao",IF($O352&lt;&gt;"","80 Đang giao",IF($N352&lt;&gt;"","70 Thông quan",IF($M352&lt;&gt;"","60 Đã xuất",IF($L352&lt;&gt;"","50 QC đạt",IF($K352&lt;&gt;"","40 NCC đã gửi",IF($I352&lt;&gt;"","30 Đã đặt NCC",IF($H352&lt;&gt;"","20 Đã xác nhận","10 Mới")))))))))))</f>
        <v/>
      </c>
      <c r="U352" s="33" t="str">
        <f aca="false">IF($T352="","",IFERROR(VLOOKUP($T352,DS!$A$2:$B$12,2,FALSE()),""))</f>
        <v/>
      </c>
      <c r="V352" s="34" t="str">
        <f aca="true">IF(OR($T352="",LEFT($T352,2)="99",LEFT($T352,2)="95"),"",TODAY()-MAX($E352,$H352:$P352))</f>
        <v/>
      </c>
      <c r="W352" s="34" t="str">
        <f aca="true">IF(AND($E352&lt;&gt;"",$I352="",$R352=""),IF(TODAY()-$E352&gt;1,"⚑",""),"")</f>
        <v/>
      </c>
      <c r="X352" s="34" t="str">
        <f aca="true">IF(AND($J352&lt;&gt;"",$K352="",$R352=""),IF(TODAY()-$J352&gt;2,"⚑",""),"")</f>
        <v/>
      </c>
      <c r="Y352" s="34" t="str">
        <f aca="true">IF(AND($G352&lt;&gt;"",$M352="",$R352=""),IF(AND($G352-TODAY()&lt;=14,$G352&gt;=TODAY()),"⚑",""),"")</f>
        <v/>
      </c>
      <c r="Z352" s="34" t="str">
        <f aca="true">IF(AND($G352&lt;&gt;"",$P352="",$R352=""),IF(TODAY()&gt;$G352,"⚑",""),"")</f>
        <v/>
      </c>
      <c r="AA352" s="34" t="str">
        <f aca="true">IF(AND($E352&lt;&gt;"",$P352="",$R352=""),IF(TODAY()-MAX($E352,$H352,$M352,$S352)&gt;7,"⚑",""),"")</f>
        <v/>
      </c>
      <c r="AB352" s="34" t="str">
        <f aca="false">IF(OR($P352="",$G352=""),"",IF($P352&lt;=$G352,"Có","Không"))</f>
        <v/>
      </c>
      <c r="AC352" s="34" t="str">
        <f aca="false">IF(OR($P352="",$E352=""),"",$P352-$E352)</f>
        <v/>
      </c>
      <c r="AD352" s="35" t="str">
        <f aca="false">IF($A352="","",COUNTIF(CASE!$B$3:$B$202,$A352))</f>
        <v/>
      </c>
      <c r="AE352" s="34" t="str">
        <f aca="false">IF(OR($I352="",$E352=""),"",$I352-$E352)</f>
        <v/>
      </c>
      <c r="AF352" s="34" t="str">
        <f aca="false">IF(OR($K352="",$I352=""),"",$K352-$I352)</f>
        <v/>
      </c>
      <c r="AG352" s="34" t="str">
        <f aca="false">IF(OR($L352="",$K352=""),"",$L352-$K352)</f>
        <v/>
      </c>
      <c r="AH352" s="34" t="str">
        <f aca="false">IF(OR($M352="",$L352=""),"",$M352-$L352)</f>
        <v/>
      </c>
      <c r="AI352" s="34" t="str">
        <f aca="false">IF(OR($P352="",$M352=""),"",$P352-$M352)</f>
        <v/>
      </c>
    </row>
    <row r="353" customFormat="false" ht="15" hidden="false" customHeight="false" outlineLevel="0" collapsed="false">
      <c r="A353" s="29"/>
      <c r="B353" s="29"/>
      <c r="C353" s="29"/>
      <c r="D353" s="30"/>
      <c r="E353" s="31"/>
      <c r="F353" s="32" t="str">
        <f aca="false">IF($E353="","",$E353+7*IFERROR(VLOOKUP($B353,DS!$K$2:$M$4,2,FALSE()),12))</f>
        <v/>
      </c>
      <c r="G353" s="32" t="str">
        <f aca="false">IF($E353="","",$E353+7*IFERROR(VLOOKUP($B353,DS!$K$2:$M$4,3,FALSE()),12))</f>
        <v/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3" t="str">
        <f aca="false">IF($A353="","",IF($R353&lt;&gt;"","95 Hủy/hoàn",IF($Q353&lt;&gt;"","99 Đóng",IF($P353&lt;&gt;"","90 Đã giao",IF($O353&lt;&gt;"","80 Đang giao",IF($N353&lt;&gt;"","70 Thông quan",IF($M353&lt;&gt;"","60 Đã xuất",IF($L353&lt;&gt;"","50 QC đạt",IF($K353&lt;&gt;"","40 NCC đã gửi",IF($I353&lt;&gt;"","30 Đã đặt NCC",IF($H353&lt;&gt;"","20 Đã xác nhận","10 Mới")))))))))))</f>
        <v/>
      </c>
      <c r="U353" s="33" t="str">
        <f aca="false">IF($T353="","",IFERROR(VLOOKUP($T353,DS!$A$2:$B$12,2,FALSE()),""))</f>
        <v/>
      </c>
      <c r="V353" s="34" t="str">
        <f aca="true">IF(OR($T353="",LEFT($T353,2)="99",LEFT($T353,2)="95"),"",TODAY()-MAX($E353,$H353:$P353))</f>
        <v/>
      </c>
      <c r="W353" s="34" t="str">
        <f aca="true">IF(AND($E353&lt;&gt;"",$I353="",$R353=""),IF(TODAY()-$E353&gt;1,"⚑",""),"")</f>
        <v/>
      </c>
      <c r="X353" s="34" t="str">
        <f aca="true">IF(AND($J353&lt;&gt;"",$K353="",$R353=""),IF(TODAY()-$J353&gt;2,"⚑",""),"")</f>
        <v/>
      </c>
      <c r="Y353" s="34" t="str">
        <f aca="true">IF(AND($G353&lt;&gt;"",$M353="",$R353=""),IF(AND($G353-TODAY()&lt;=14,$G353&gt;=TODAY()),"⚑",""),"")</f>
        <v/>
      </c>
      <c r="Z353" s="34" t="str">
        <f aca="true">IF(AND($G353&lt;&gt;"",$P353="",$R353=""),IF(TODAY()&gt;$G353,"⚑",""),"")</f>
        <v/>
      </c>
      <c r="AA353" s="34" t="str">
        <f aca="true">IF(AND($E353&lt;&gt;"",$P353="",$R353=""),IF(TODAY()-MAX($E353,$H353,$M353,$S353)&gt;7,"⚑",""),"")</f>
        <v/>
      </c>
      <c r="AB353" s="34" t="str">
        <f aca="false">IF(OR($P353="",$G353=""),"",IF($P353&lt;=$G353,"Có","Không"))</f>
        <v/>
      </c>
      <c r="AC353" s="34" t="str">
        <f aca="false">IF(OR($P353="",$E353=""),"",$P353-$E353)</f>
        <v/>
      </c>
      <c r="AD353" s="35" t="str">
        <f aca="false">IF($A353="","",COUNTIF(CASE!$B$3:$B$202,$A353))</f>
        <v/>
      </c>
      <c r="AE353" s="34" t="str">
        <f aca="false">IF(OR($I353="",$E353=""),"",$I353-$E353)</f>
        <v/>
      </c>
      <c r="AF353" s="34" t="str">
        <f aca="false">IF(OR($K353="",$I353=""),"",$K353-$I353)</f>
        <v/>
      </c>
      <c r="AG353" s="34" t="str">
        <f aca="false">IF(OR($L353="",$K353=""),"",$L353-$K353)</f>
        <v/>
      </c>
      <c r="AH353" s="34" t="str">
        <f aca="false">IF(OR($M353="",$L353=""),"",$M353-$L353)</f>
        <v/>
      </c>
      <c r="AI353" s="34" t="str">
        <f aca="false">IF(OR($P353="",$M353=""),"",$P353-$M353)</f>
        <v/>
      </c>
    </row>
    <row r="354" customFormat="false" ht="15" hidden="false" customHeight="false" outlineLevel="0" collapsed="false">
      <c r="A354" s="29"/>
      <c r="B354" s="29"/>
      <c r="C354" s="29"/>
      <c r="D354" s="30"/>
      <c r="E354" s="31"/>
      <c r="F354" s="32" t="str">
        <f aca="false">IF($E354="","",$E354+7*IFERROR(VLOOKUP($B354,DS!$K$2:$M$4,2,FALSE()),12))</f>
        <v/>
      </c>
      <c r="G354" s="32" t="str">
        <f aca="false">IF($E354="","",$E354+7*IFERROR(VLOOKUP($B354,DS!$K$2:$M$4,3,FALSE()),12))</f>
        <v/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3" t="str">
        <f aca="false">IF($A354="","",IF($R354&lt;&gt;"","95 Hủy/hoàn",IF($Q354&lt;&gt;"","99 Đóng",IF($P354&lt;&gt;"","90 Đã giao",IF($O354&lt;&gt;"","80 Đang giao",IF($N354&lt;&gt;"","70 Thông quan",IF($M354&lt;&gt;"","60 Đã xuất",IF($L354&lt;&gt;"","50 QC đạt",IF($K354&lt;&gt;"","40 NCC đã gửi",IF($I354&lt;&gt;"","30 Đã đặt NCC",IF($H354&lt;&gt;"","20 Đã xác nhận","10 Mới")))))))))))</f>
        <v/>
      </c>
      <c r="U354" s="33" t="str">
        <f aca="false">IF($T354="","",IFERROR(VLOOKUP($T354,DS!$A$2:$B$12,2,FALSE()),""))</f>
        <v/>
      </c>
      <c r="V354" s="34" t="str">
        <f aca="true">IF(OR($T354="",LEFT($T354,2)="99",LEFT($T354,2)="95"),"",TODAY()-MAX($E354,$H354:$P354))</f>
        <v/>
      </c>
      <c r="W354" s="34" t="str">
        <f aca="true">IF(AND($E354&lt;&gt;"",$I354="",$R354=""),IF(TODAY()-$E354&gt;1,"⚑",""),"")</f>
        <v/>
      </c>
      <c r="X354" s="34" t="str">
        <f aca="true">IF(AND($J354&lt;&gt;"",$K354="",$R354=""),IF(TODAY()-$J354&gt;2,"⚑",""),"")</f>
        <v/>
      </c>
      <c r="Y354" s="34" t="str">
        <f aca="true">IF(AND($G354&lt;&gt;"",$M354="",$R354=""),IF(AND($G354-TODAY()&lt;=14,$G354&gt;=TODAY()),"⚑",""),"")</f>
        <v/>
      </c>
      <c r="Z354" s="34" t="str">
        <f aca="true">IF(AND($G354&lt;&gt;"",$P354="",$R354=""),IF(TODAY()&gt;$G354,"⚑",""),"")</f>
        <v/>
      </c>
      <c r="AA354" s="34" t="str">
        <f aca="true">IF(AND($E354&lt;&gt;"",$P354="",$R354=""),IF(TODAY()-MAX($E354,$H354,$M354,$S354)&gt;7,"⚑",""),"")</f>
        <v/>
      </c>
      <c r="AB354" s="34" t="str">
        <f aca="false">IF(OR($P354="",$G354=""),"",IF($P354&lt;=$G354,"Có","Không"))</f>
        <v/>
      </c>
      <c r="AC354" s="34" t="str">
        <f aca="false">IF(OR($P354="",$E354=""),"",$P354-$E354)</f>
        <v/>
      </c>
      <c r="AD354" s="35" t="str">
        <f aca="false">IF($A354="","",COUNTIF(CASE!$B$3:$B$202,$A354))</f>
        <v/>
      </c>
      <c r="AE354" s="34" t="str">
        <f aca="false">IF(OR($I354="",$E354=""),"",$I354-$E354)</f>
        <v/>
      </c>
      <c r="AF354" s="34" t="str">
        <f aca="false">IF(OR($K354="",$I354=""),"",$K354-$I354)</f>
        <v/>
      </c>
      <c r="AG354" s="34" t="str">
        <f aca="false">IF(OR($L354="",$K354=""),"",$L354-$K354)</f>
        <v/>
      </c>
      <c r="AH354" s="34" t="str">
        <f aca="false">IF(OR($M354="",$L354=""),"",$M354-$L354)</f>
        <v/>
      </c>
      <c r="AI354" s="34" t="str">
        <f aca="false">IF(OR($P354="",$M354=""),"",$P354-$M354)</f>
        <v/>
      </c>
    </row>
    <row r="355" customFormat="false" ht="15" hidden="false" customHeight="false" outlineLevel="0" collapsed="false">
      <c r="A355" s="29"/>
      <c r="B355" s="29"/>
      <c r="C355" s="29"/>
      <c r="D355" s="30"/>
      <c r="E355" s="31"/>
      <c r="F355" s="32" t="str">
        <f aca="false">IF($E355="","",$E355+7*IFERROR(VLOOKUP($B355,DS!$K$2:$M$4,2,FALSE()),12))</f>
        <v/>
      </c>
      <c r="G355" s="32" t="str">
        <f aca="false">IF($E355="","",$E355+7*IFERROR(VLOOKUP($B355,DS!$K$2:$M$4,3,FALSE()),12))</f>
        <v/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3" t="str">
        <f aca="false">IF($A355="","",IF($R355&lt;&gt;"","95 Hủy/hoàn",IF($Q355&lt;&gt;"","99 Đóng",IF($P355&lt;&gt;"","90 Đã giao",IF($O355&lt;&gt;"","80 Đang giao",IF($N355&lt;&gt;"","70 Thông quan",IF($M355&lt;&gt;"","60 Đã xuất",IF($L355&lt;&gt;"","50 QC đạt",IF($K355&lt;&gt;"","40 NCC đã gửi",IF($I355&lt;&gt;"","30 Đã đặt NCC",IF($H355&lt;&gt;"","20 Đã xác nhận","10 Mới")))))))))))</f>
        <v/>
      </c>
      <c r="U355" s="33" t="str">
        <f aca="false">IF($T355="","",IFERROR(VLOOKUP($T355,DS!$A$2:$B$12,2,FALSE()),""))</f>
        <v/>
      </c>
      <c r="V355" s="34" t="str">
        <f aca="true">IF(OR($T355="",LEFT($T355,2)="99",LEFT($T355,2)="95"),"",TODAY()-MAX($E355,$H355:$P355))</f>
        <v/>
      </c>
      <c r="W355" s="34" t="str">
        <f aca="true">IF(AND($E355&lt;&gt;"",$I355="",$R355=""),IF(TODAY()-$E355&gt;1,"⚑",""),"")</f>
        <v/>
      </c>
      <c r="X355" s="34" t="str">
        <f aca="true">IF(AND($J355&lt;&gt;"",$K355="",$R355=""),IF(TODAY()-$J355&gt;2,"⚑",""),"")</f>
        <v/>
      </c>
      <c r="Y355" s="34" t="str">
        <f aca="true">IF(AND($G355&lt;&gt;"",$M355="",$R355=""),IF(AND($G355-TODAY()&lt;=14,$G355&gt;=TODAY()),"⚑",""),"")</f>
        <v/>
      </c>
      <c r="Z355" s="34" t="str">
        <f aca="true">IF(AND($G355&lt;&gt;"",$P355="",$R355=""),IF(TODAY()&gt;$G355,"⚑",""),"")</f>
        <v/>
      </c>
      <c r="AA355" s="34" t="str">
        <f aca="true">IF(AND($E355&lt;&gt;"",$P355="",$R355=""),IF(TODAY()-MAX($E355,$H355,$M355,$S355)&gt;7,"⚑",""),"")</f>
        <v/>
      </c>
      <c r="AB355" s="34" t="str">
        <f aca="false">IF(OR($P355="",$G355=""),"",IF($P355&lt;=$G355,"Có","Không"))</f>
        <v/>
      </c>
      <c r="AC355" s="34" t="str">
        <f aca="false">IF(OR($P355="",$E355=""),"",$P355-$E355)</f>
        <v/>
      </c>
      <c r="AD355" s="35" t="str">
        <f aca="false">IF($A355="","",COUNTIF(CASE!$B$3:$B$202,$A355))</f>
        <v/>
      </c>
      <c r="AE355" s="34" t="str">
        <f aca="false">IF(OR($I355="",$E355=""),"",$I355-$E355)</f>
        <v/>
      </c>
      <c r="AF355" s="34" t="str">
        <f aca="false">IF(OR($K355="",$I355=""),"",$K355-$I355)</f>
        <v/>
      </c>
      <c r="AG355" s="34" t="str">
        <f aca="false">IF(OR($L355="",$K355=""),"",$L355-$K355)</f>
        <v/>
      </c>
      <c r="AH355" s="34" t="str">
        <f aca="false">IF(OR($M355="",$L355=""),"",$M355-$L355)</f>
        <v/>
      </c>
      <c r="AI355" s="34" t="str">
        <f aca="false">IF(OR($P355="",$M355=""),"",$P355-$M355)</f>
        <v/>
      </c>
    </row>
    <row r="356" customFormat="false" ht="15" hidden="false" customHeight="false" outlineLevel="0" collapsed="false">
      <c r="A356" s="29"/>
      <c r="B356" s="29"/>
      <c r="C356" s="29"/>
      <c r="D356" s="30"/>
      <c r="E356" s="31"/>
      <c r="F356" s="32" t="str">
        <f aca="false">IF($E356="","",$E356+7*IFERROR(VLOOKUP($B356,DS!$K$2:$M$4,2,FALSE()),12))</f>
        <v/>
      </c>
      <c r="G356" s="32" t="str">
        <f aca="false">IF($E356="","",$E356+7*IFERROR(VLOOKUP($B356,DS!$K$2:$M$4,3,FALSE()),12))</f>
        <v/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3" t="str">
        <f aca="false">IF($A356="","",IF($R356&lt;&gt;"","95 Hủy/hoàn",IF($Q356&lt;&gt;"","99 Đóng",IF($P356&lt;&gt;"","90 Đã giao",IF($O356&lt;&gt;"","80 Đang giao",IF($N356&lt;&gt;"","70 Thông quan",IF($M356&lt;&gt;"","60 Đã xuất",IF($L356&lt;&gt;"","50 QC đạt",IF($K356&lt;&gt;"","40 NCC đã gửi",IF($I356&lt;&gt;"","30 Đã đặt NCC",IF($H356&lt;&gt;"","20 Đã xác nhận","10 Mới")))))))))))</f>
        <v/>
      </c>
      <c r="U356" s="33" t="str">
        <f aca="false">IF($T356="","",IFERROR(VLOOKUP($T356,DS!$A$2:$B$12,2,FALSE()),""))</f>
        <v/>
      </c>
      <c r="V356" s="34" t="str">
        <f aca="true">IF(OR($T356="",LEFT($T356,2)="99",LEFT($T356,2)="95"),"",TODAY()-MAX($E356,$H356:$P356))</f>
        <v/>
      </c>
      <c r="W356" s="34" t="str">
        <f aca="true">IF(AND($E356&lt;&gt;"",$I356="",$R356=""),IF(TODAY()-$E356&gt;1,"⚑",""),"")</f>
        <v/>
      </c>
      <c r="X356" s="34" t="str">
        <f aca="true">IF(AND($J356&lt;&gt;"",$K356="",$R356=""),IF(TODAY()-$J356&gt;2,"⚑",""),"")</f>
        <v/>
      </c>
      <c r="Y356" s="34" t="str">
        <f aca="true">IF(AND($G356&lt;&gt;"",$M356="",$R356=""),IF(AND($G356-TODAY()&lt;=14,$G356&gt;=TODAY()),"⚑",""),"")</f>
        <v/>
      </c>
      <c r="Z356" s="34" t="str">
        <f aca="true">IF(AND($G356&lt;&gt;"",$P356="",$R356=""),IF(TODAY()&gt;$G356,"⚑",""),"")</f>
        <v/>
      </c>
      <c r="AA356" s="34" t="str">
        <f aca="true">IF(AND($E356&lt;&gt;"",$P356="",$R356=""),IF(TODAY()-MAX($E356,$H356,$M356,$S356)&gt;7,"⚑",""),"")</f>
        <v/>
      </c>
      <c r="AB356" s="34" t="str">
        <f aca="false">IF(OR($P356="",$G356=""),"",IF($P356&lt;=$G356,"Có","Không"))</f>
        <v/>
      </c>
      <c r="AC356" s="34" t="str">
        <f aca="false">IF(OR($P356="",$E356=""),"",$P356-$E356)</f>
        <v/>
      </c>
      <c r="AD356" s="35" t="str">
        <f aca="false">IF($A356="","",COUNTIF(CASE!$B$3:$B$202,$A356))</f>
        <v/>
      </c>
      <c r="AE356" s="34" t="str">
        <f aca="false">IF(OR($I356="",$E356=""),"",$I356-$E356)</f>
        <v/>
      </c>
      <c r="AF356" s="34" t="str">
        <f aca="false">IF(OR($K356="",$I356=""),"",$K356-$I356)</f>
        <v/>
      </c>
      <c r="AG356" s="34" t="str">
        <f aca="false">IF(OR($L356="",$K356=""),"",$L356-$K356)</f>
        <v/>
      </c>
      <c r="AH356" s="34" t="str">
        <f aca="false">IF(OR($M356="",$L356=""),"",$M356-$L356)</f>
        <v/>
      </c>
      <c r="AI356" s="34" t="str">
        <f aca="false">IF(OR($P356="",$M356=""),"",$P356-$M356)</f>
        <v/>
      </c>
    </row>
    <row r="357" customFormat="false" ht="15" hidden="false" customHeight="false" outlineLevel="0" collapsed="false">
      <c r="A357" s="29"/>
      <c r="B357" s="29"/>
      <c r="C357" s="29"/>
      <c r="D357" s="30"/>
      <c r="E357" s="31"/>
      <c r="F357" s="32" t="str">
        <f aca="false">IF($E357="","",$E357+7*IFERROR(VLOOKUP($B357,DS!$K$2:$M$4,2,FALSE()),12))</f>
        <v/>
      </c>
      <c r="G357" s="32" t="str">
        <f aca="false">IF($E357="","",$E357+7*IFERROR(VLOOKUP($B357,DS!$K$2:$M$4,3,FALSE()),12))</f>
        <v/>
      </c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3" t="str">
        <f aca="false">IF($A357="","",IF($R357&lt;&gt;"","95 Hủy/hoàn",IF($Q357&lt;&gt;"","99 Đóng",IF($P357&lt;&gt;"","90 Đã giao",IF($O357&lt;&gt;"","80 Đang giao",IF($N357&lt;&gt;"","70 Thông quan",IF($M357&lt;&gt;"","60 Đã xuất",IF($L357&lt;&gt;"","50 QC đạt",IF($K357&lt;&gt;"","40 NCC đã gửi",IF($I357&lt;&gt;"","30 Đã đặt NCC",IF($H357&lt;&gt;"","20 Đã xác nhận","10 Mới")))))))))))</f>
        <v/>
      </c>
      <c r="U357" s="33" t="str">
        <f aca="false">IF($T357="","",IFERROR(VLOOKUP($T357,DS!$A$2:$B$12,2,FALSE()),""))</f>
        <v/>
      </c>
      <c r="V357" s="34" t="str">
        <f aca="true">IF(OR($T357="",LEFT($T357,2)="99",LEFT($T357,2)="95"),"",TODAY()-MAX($E357,$H357:$P357))</f>
        <v/>
      </c>
      <c r="W357" s="34" t="str">
        <f aca="true">IF(AND($E357&lt;&gt;"",$I357="",$R357=""),IF(TODAY()-$E357&gt;1,"⚑",""),"")</f>
        <v/>
      </c>
      <c r="X357" s="34" t="str">
        <f aca="true">IF(AND($J357&lt;&gt;"",$K357="",$R357=""),IF(TODAY()-$J357&gt;2,"⚑",""),"")</f>
        <v/>
      </c>
      <c r="Y357" s="34" t="str">
        <f aca="true">IF(AND($G357&lt;&gt;"",$M357="",$R357=""),IF(AND($G357-TODAY()&lt;=14,$G357&gt;=TODAY()),"⚑",""),"")</f>
        <v/>
      </c>
      <c r="Z357" s="34" t="str">
        <f aca="true">IF(AND($G357&lt;&gt;"",$P357="",$R357=""),IF(TODAY()&gt;$G357,"⚑",""),"")</f>
        <v/>
      </c>
      <c r="AA357" s="34" t="str">
        <f aca="true">IF(AND($E357&lt;&gt;"",$P357="",$R357=""),IF(TODAY()-MAX($E357,$H357,$M357,$S357)&gt;7,"⚑",""),"")</f>
        <v/>
      </c>
      <c r="AB357" s="34" t="str">
        <f aca="false">IF(OR($P357="",$G357=""),"",IF($P357&lt;=$G357,"Có","Không"))</f>
        <v/>
      </c>
      <c r="AC357" s="34" t="str">
        <f aca="false">IF(OR($P357="",$E357=""),"",$P357-$E357)</f>
        <v/>
      </c>
      <c r="AD357" s="35" t="str">
        <f aca="false">IF($A357="","",COUNTIF(CASE!$B$3:$B$202,$A357))</f>
        <v/>
      </c>
      <c r="AE357" s="34" t="str">
        <f aca="false">IF(OR($I357="",$E357=""),"",$I357-$E357)</f>
        <v/>
      </c>
      <c r="AF357" s="34" t="str">
        <f aca="false">IF(OR($K357="",$I357=""),"",$K357-$I357)</f>
        <v/>
      </c>
      <c r="AG357" s="34" t="str">
        <f aca="false">IF(OR($L357="",$K357=""),"",$L357-$K357)</f>
        <v/>
      </c>
      <c r="AH357" s="34" t="str">
        <f aca="false">IF(OR($M357="",$L357=""),"",$M357-$L357)</f>
        <v/>
      </c>
      <c r="AI357" s="34" t="str">
        <f aca="false">IF(OR($P357="",$M357=""),"",$P357-$M357)</f>
        <v/>
      </c>
    </row>
    <row r="358" customFormat="false" ht="15" hidden="false" customHeight="false" outlineLevel="0" collapsed="false">
      <c r="A358" s="29"/>
      <c r="B358" s="29"/>
      <c r="C358" s="29"/>
      <c r="D358" s="30"/>
      <c r="E358" s="31"/>
      <c r="F358" s="32" t="str">
        <f aca="false">IF($E358="","",$E358+7*IFERROR(VLOOKUP($B358,DS!$K$2:$M$4,2,FALSE()),12))</f>
        <v/>
      </c>
      <c r="G358" s="32" t="str">
        <f aca="false">IF($E358="","",$E358+7*IFERROR(VLOOKUP($B358,DS!$K$2:$M$4,3,FALSE()),12))</f>
        <v/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3" t="str">
        <f aca="false">IF($A358="","",IF($R358&lt;&gt;"","95 Hủy/hoàn",IF($Q358&lt;&gt;"","99 Đóng",IF($P358&lt;&gt;"","90 Đã giao",IF($O358&lt;&gt;"","80 Đang giao",IF($N358&lt;&gt;"","70 Thông quan",IF($M358&lt;&gt;"","60 Đã xuất",IF($L358&lt;&gt;"","50 QC đạt",IF($K358&lt;&gt;"","40 NCC đã gửi",IF($I358&lt;&gt;"","30 Đã đặt NCC",IF($H358&lt;&gt;"","20 Đã xác nhận","10 Mới")))))))))))</f>
        <v/>
      </c>
      <c r="U358" s="33" t="str">
        <f aca="false">IF($T358="","",IFERROR(VLOOKUP($T358,DS!$A$2:$B$12,2,FALSE()),""))</f>
        <v/>
      </c>
      <c r="V358" s="34" t="str">
        <f aca="true">IF(OR($T358="",LEFT($T358,2)="99",LEFT($T358,2)="95"),"",TODAY()-MAX($E358,$H358:$P358))</f>
        <v/>
      </c>
      <c r="W358" s="34" t="str">
        <f aca="true">IF(AND($E358&lt;&gt;"",$I358="",$R358=""),IF(TODAY()-$E358&gt;1,"⚑",""),"")</f>
        <v/>
      </c>
      <c r="X358" s="34" t="str">
        <f aca="true">IF(AND($J358&lt;&gt;"",$K358="",$R358=""),IF(TODAY()-$J358&gt;2,"⚑",""),"")</f>
        <v/>
      </c>
      <c r="Y358" s="34" t="str">
        <f aca="true">IF(AND($G358&lt;&gt;"",$M358="",$R358=""),IF(AND($G358-TODAY()&lt;=14,$G358&gt;=TODAY()),"⚑",""),"")</f>
        <v/>
      </c>
      <c r="Z358" s="34" t="str">
        <f aca="true">IF(AND($G358&lt;&gt;"",$P358="",$R358=""),IF(TODAY()&gt;$G358,"⚑",""),"")</f>
        <v/>
      </c>
      <c r="AA358" s="34" t="str">
        <f aca="true">IF(AND($E358&lt;&gt;"",$P358="",$R358=""),IF(TODAY()-MAX($E358,$H358,$M358,$S358)&gt;7,"⚑",""),"")</f>
        <v/>
      </c>
      <c r="AB358" s="34" t="str">
        <f aca="false">IF(OR($P358="",$G358=""),"",IF($P358&lt;=$G358,"Có","Không"))</f>
        <v/>
      </c>
      <c r="AC358" s="34" t="str">
        <f aca="false">IF(OR($P358="",$E358=""),"",$P358-$E358)</f>
        <v/>
      </c>
      <c r="AD358" s="35" t="str">
        <f aca="false">IF($A358="","",COUNTIF(CASE!$B$3:$B$202,$A358))</f>
        <v/>
      </c>
      <c r="AE358" s="34" t="str">
        <f aca="false">IF(OR($I358="",$E358=""),"",$I358-$E358)</f>
        <v/>
      </c>
      <c r="AF358" s="34" t="str">
        <f aca="false">IF(OR($K358="",$I358=""),"",$K358-$I358)</f>
        <v/>
      </c>
      <c r="AG358" s="34" t="str">
        <f aca="false">IF(OR($L358="",$K358=""),"",$L358-$K358)</f>
        <v/>
      </c>
      <c r="AH358" s="34" t="str">
        <f aca="false">IF(OR($M358="",$L358=""),"",$M358-$L358)</f>
        <v/>
      </c>
      <c r="AI358" s="34" t="str">
        <f aca="false">IF(OR($P358="",$M358=""),"",$P358-$M358)</f>
        <v/>
      </c>
    </row>
    <row r="359" customFormat="false" ht="15" hidden="false" customHeight="false" outlineLevel="0" collapsed="false">
      <c r="A359" s="29"/>
      <c r="B359" s="29"/>
      <c r="C359" s="29"/>
      <c r="D359" s="30"/>
      <c r="E359" s="31"/>
      <c r="F359" s="32" t="str">
        <f aca="false">IF($E359="","",$E359+7*IFERROR(VLOOKUP($B359,DS!$K$2:$M$4,2,FALSE()),12))</f>
        <v/>
      </c>
      <c r="G359" s="32" t="str">
        <f aca="false">IF($E359="","",$E359+7*IFERROR(VLOOKUP($B359,DS!$K$2:$M$4,3,FALSE()),12))</f>
        <v/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3" t="str">
        <f aca="false">IF($A359="","",IF($R359&lt;&gt;"","95 Hủy/hoàn",IF($Q359&lt;&gt;"","99 Đóng",IF($P359&lt;&gt;"","90 Đã giao",IF($O359&lt;&gt;"","80 Đang giao",IF($N359&lt;&gt;"","70 Thông quan",IF($M359&lt;&gt;"","60 Đã xuất",IF($L359&lt;&gt;"","50 QC đạt",IF($K359&lt;&gt;"","40 NCC đã gửi",IF($I359&lt;&gt;"","30 Đã đặt NCC",IF($H359&lt;&gt;"","20 Đã xác nhận","10 Mới")))))))))))</f>
        <v/>
      </c>
      <c r="U359" s="33" t="str">
        <f aca="false">IF($T359="","",IFERROR(VLOOKUP($T359,DS!$A$2:$B$12,2,FALSE()),""))</f>
        <v/>
      </c>
      <c r="V359" s="34" t="str">
        <f aca="true">IF(OR($T359="",LEFT($T359,2)="99",LEFT($T359,2)="95"),"",TODAY()-MAX($E359,$H359:$P359))</f>
        <v/>
      </c>
      <c r="W359" s="34" t="str">
        <f aca="true">IF(AND($E359&lt;&gt;"",$I359="",$R359=""),IF(TODAY()-$E359&gt;1,"⚑",""),"")</f>
        <v/>
      </c>
      <c r="X359" s="34" t="str">
        <f aca="true">IF(AND($J359&lt;&gt;"",$K359="",$R359=""),IF(TODAY()-$J359&gt;2,"⚑",""),"")</f>
        <v/>
      </c>
      <c r="Y359" s="34" t="str">
        <f aca="true">IF(AND($G359&lt;&gt;"",$M359="",$R359=""),IF(AND($G359-TODAY()&lt;=14,$G359&gt;=TODAY()),"⚑",""),"")</f>
        <v/>
      </c>
      <c r="Z359" s="34" t="str">
        <f aca="true">IF(AND($G359&lt;&gt;"",$P359="",$R359=""),IF(TODAY()&gt;$G359,"⚑",""),"")</f>
        <v/>
      </c>
      <c r="AA359" s="34" t="str">
        <f aca="true">IF(AND($E359&lt;&gt;"",$P359="",$R359=""),IF(TODAY()-MAX($E359,$H359,$M359,$S359)&gt;7,"⚑",""),"")</f>
        <v/>
      </c>
      <c r="AB359" s="34" t="str">
        <f aca="false">IF(OR($P359="",$G359=""),"",IF($P359&lt;=$G359,"Có","Không"))</f>
        <v/>
      </c>
      <c r="AC359" s="34" t="str">
        <f aca="false">IF(OR($P359="",$E359=""),"",$P359-$E359)</f>
        <v/>
      </c>
      <c r="AD359" s="35" t="str">
        <f aca="false">IF($A359="","",COUNTIF(CASE!$B$3:$B$202,$A359))</f>
        <v/>
      </c>
      <c r="AE359" s="34" t="str">
        <f aca="false">IF(OR($I359="",$E359=""),"",$I359-$E359)</f>
        <v/>
      </c>
      <c r="AF359" s="34" t="str">
        <f aca="false">IF(OR($K359="",$I359=""),"",$K359-$I359)</f>
        <v/>
      </c>
      <c r="AG359" s="34" t="str">
        <f aca="false">IF(OR($L359="",$K359=""),"",$L359-$K359)</f>
        <v/>
      </c>
      <c r="AH359" s="34" t="str">
        <f aca="false">IF(OR($M359="",$L359=""),"",$M359-$L359)</f>
        <v/>
      </c>
      <c r="AI359" s="34" t="str">
        <f aca="false">IF(OR($P359="",$M359=""),"",$P359-$M359)</f>
        <v/>
      </c>
    </row>
    <row r="360" customFormat="false" ht="15" hidden="false" customHeight="false" outlineLevel="0" collapsed="false">
      <c r="A360" s="29"/>
      <c r="B360" s="29"/>
      <c r="C360" s="29"/>
      <c r="D360" s="30"/>
      <c r="E360" s="31"/>
      <c r="F360" s="32" t="str">
        <f aca="false">IF($E360="","",$E360+7*IFERROR(VLOOKUP($B360,DS!$K$2:$M$4,2,FALSE()),12))</f>
        <v/>
      </c>
      <c r="G360" s="32" t="str">
        <f aca="false">IF($E360="","",$E360+7*IFERROR(VLOOKUP($B360,DS!$K$2:$M$4,3,FALSE()),12))</f>
        <v/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3" t="str">
        <f aca="false">IF($A360="","",IF($R360&lt;&gt;"","95 Hủy/hoàn",IF($Q360&lt;&gt;"","99 Đóng",IF($P360&lt;&gt;"","90 Đã giao",IF($O360&lt;&gt;"","80 Đang giao",IF($N360&lt;&gt;"","70 Thông quan",IF($M360&lt;&gt;"","60 Đã xuất",IF($L360&lt;&gt;"","50 QC đạt",IF($K360&lt;&gt;"","40 NCC đã gửi",IF($I360&lt;&gt;"","30 Đã đặt NCC",IF($H360&lt;&gt;"","20 Đã xác nhận","10 Mới")))))))))))</f>
        <v/>
      </c>
      <c r="U360" s="33" t="str">
        <f aca="false">IF($T360="","",IFERROR(VLOOKUP($T360,DS!$A$2:$B$12,2,FALSE()),""))</f>
        <v/>
      </c>
      <c r="V360" s="34" t="str">
        <f aca="true">IF(OR($T360="",LEFT($T360,2)="99",LEFT($T360,2)="95"),"",TODAY()-MAX($E360,$H360:$P360))</f>
        <v/>
      </c>
      <c r="W360" s="34" t="str">
        <f aca="true">IF(AND($E360&lt;&gt;"",$I360="",$R360=""),IF(TODAY()-$E360&gt;1,"⚑",""),"")</f>
        <v/>
      </c>
      <c r="X360" s="34" t="str">
        <f aca="true">IF(AND($J360&lt;&gt;"",$K360="",$R360=""),IF(TODAY()-$J360&gt;2,"⚑",""),"")</f>
        <v/>
      </c>
      <c r="Y360" s="34" t="str">
        <f aca="true">IF(AND($G360&lt;&gt;"",$M360="",$R360=""),IF(AND($G360-TODAY()&lt;=14,$G360&gt;=TODAY()),"⚑",""),"")</f>
        <v/>
      </c>
      <c r="Z360" s="34" t="str">
        <f aca="true">IF(AND($G360&lt;&gt;"",$P360="",$R360=""),IF(TODAY()&gt;$G360,"⚑",""),"")</f>
        <v/>
      </c>
      <c r="AA360" s="34" t="str">
        <f aca="true">IF(AND($E360&lt;&gt;"",$P360="",$R360=""),IF(TODAY()-MAX($E360,$H360,$M360,$S360)&gt;7,"⚑",""),"")</f>
        <v/>
      </c>
      <c r="AB360" s="34" t="str">
        <f aca="false">IF(OR($P360="",$G360=""),"",IF($P360&lt;=$G360,"Có","Không"))</f>
        <v/>
      </c>
      <c r="AC360" s="34" t="str">
        <f aca="false">IF(OR($P360="",$E360=""),"",$P360-$E360)</f>
        <v/>
      </c>
      <c r="AD360" s="35" t="str">
        <f aca="false">IF($A360="","",COUNTIF(CASE!$B$3:$B$202,$A360))</f>
        <v/>
      </c>
      <c r="AE360" s="34" t="str">
        <f aca="false">IF(OR($I360="",$E360=""),"",$I360-$E360)</f>
        <v/>
      </c>
      <c r="AF360" s="34" t="str">
        <f aca="false">IF(OR($K360="",$I360=""),"",$K360-$I360)</f>
        <v/>
      </c>
      <c r="AG360" s="34" t="str">
        <f aca="false">IF(OR($L360="",$K360=""),"",$L360-$K360)</f>
        <v/>
      </c>
      <c r="AH360" s="34" t="str">
        <f aca="false">IF(OR($M360="",$L360=""),"",$M360-$L360)</f>
        <v/>
      </c>
      <c r="AI360" s="34" t="str">
        <f aca="false">IF(OR($P360="",$M360=""),"",$P360-$M360)</f>
        <v/>
      </c>
    </row>
    <row r="361" customFormat="false" ht="15" hidden="false" customHeight="false" outlineLevel="0" collapsed="false">
      <c r="A361" s="29"/>
      <c r="B361" s="29"/>
      <c r="C361" s="29"/>
      <c r="D361" s="30"/>
      <c r="E361" s="31"/>
      <c r="F361" s="32" t="str">
        <f aca="false">IF($E361="","",$E361+7*IFERROR(VLOOKUP($B361,DS!$K$2:$M$4,2,FALSE()),12))</f>
        <v/>
      </c>
      <c r="G361" s="32" t="str">
        <f aca="false">IF($E361="","",$E361+7*IFERROR(VLOOKUP($B361,DS!$K$2:$M$4,3,FALSE()),12))</f>
        <v/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3" t="str">
        <f aca="false">IF($A361="","",IF($R361&lt;&gt;"","95 Hủy/hoàn",IF($Q361&lt;&gt;"","99 Đóng",IF($P361&lt;&gt;"","90 Đã giao",IF($O361&lt;&gt;"","80 Đang giao",IF($N361&lt;&gt;"","70 Thông quan",IF($M361&lt;&gt;"","60 Đã xuất",IF($L361&lt;&gt;"","50 QC đạt",IF($K361&lt;&gt;"","40 NCC đã gửi",IF($I361&lt;&gt;"","30 Đã đặt NCC",IF($H361&lt;&gt;"","20 Đã xác nhận","10 Mới")))))))))))</f>
        <v/>
      </c>
      <c r="U361" s="33" t="str">
        <f aca="false">IF($T361="","",IFERROR(VLOOKUP($T361,DS!$A$2:$B$12,2,FALSE()),""))</f>
        <v/>
      </c>
      <c r="V361" s="34" t="str">
        <f aca="true">IF(OR($T361="",LEFT($T361,2)="99",LEFT($T361,2)="95"),"",TODAY()-MAX($E361,$H361:$P361))</f>
        <v/>
      </c>
      <c r="W361" s="34" t="str">
        <f aca="true">IF(AND($E361&lt;&gt;"",$I361="",$R361=""),IF(TODAY()-$E361&gt;1,"⚑",""),"")</f>
        <v/>
      </c>
      <c r="X361" s="34" t="str">
        <f aca="true">IF(AND($J361&lt;&gt;"",$K361="",$R361=""),IF(TODAY()-$J361&gt;2,"⚑",""),"")</f>
        <v/>
      </c>
      <c r="Y361" s="34" t="str">
        <f aca="true">IF(AND($G361&lt;&gt;"",$M361="",$R361=""),IF(AND($G361-TODAY()&lt;=14,$G361&gt;=TODAY()),"⚑",""),"")</f>
        <v/>
      </c>
      <c r="Z361" s="34" t="str">
        <f aca="true">IF(AND($G361&lt;&gt;"",$P361="",$R361=""),IF(TODAY()&gt;$G361,"⚑",""),"")</f>
        <v/>
      </c>
      <c r="AA361" s="34" t="str">
        <f aca="true">IF(AND($E361&lt;&gt;"",$P361="",$R361=""),IF(TODAY()-MAX($E361,$H361,$M361,$S361)&gt;7,"⚑",""),"")</f>
        <v/>
      </c>
      <c r="AB361" s="34" t="str">
        <f aca="false">IF(OR($P361="",$G361=""),"",IF($P361&lt;=$G361,"Có","Không"))</f>
        <v/>
      </c>
      <c r="AC361" s="34" t="str">
        <f aca="false">IF(OR($P361="",$E361=""),"",$P361-$E361)</f>
        <v/>
      </c>
      <c r="AD361" s="35" t="str">
        <f aca="false">IF($A361="","",COUNTIF(CASE!$B$3:$B$202,$A361))</f>
        <v/>
      </c>
      <c r="AE361" s="34" t="str">
        <f aca="false">IF(OR($I361="",$E361=""),"",$I361-$E361)</f>
        <v/>
      </c>
      <c r="AF361" s="34" t="str">
        <f aca="false">IF(OR($K361="",$I361=""),"",$K361-$I361)</f>
        <v/>
      </c>
      <c r="AG361" s="34" t="str">
        <f aca="false">IF(OR($L361="",$K361=""),"",$L361-$K361)</f>
        <v/>
      </c>
      <c r="AH361" s="34" t="str">
        <f aca="false">IF(OR($M361="",$L361=""),"",$M361-$L361)</f>
        <v/>
      </c>
      <c r="AI361" s="34" t="str">
        <f aca="false">IF(OR($P361="",$M361=""),"",$P361-$M361)</f>
        <v/>
      </c>
    </row>
    <row r="362" customFormat="false" ht="15" hidden="false" customHeight="false" outlineLevel="0" collapsed="false">
      <c r="A362" s="29"/>
      <c r="B362" s="29"/>
      <c r="C362" s="29"/>
      <c r="D362" s="30"/>
      <c r="E362" s="31"/>
      <c r="F362" s="32" t="str">
        <f aca="false">IF($E362="","",$E362+7*IFERROR(VLOOKUP($B362,DS!$K$2:$M$4,2,FALSE()),12))</f>
        <v/>
      </c>
      <c r="G362" s="32" t="str">
        <f aca="false">IF($E362="","",$E362+7*IFERROR(VLOOKUP($B362,DS!$K$2:$M$4,3,FALSE()),12))</f>
        <v/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3" t="str">
        <f aca="false">IF($A362="","",IF($R362&lt;&gt;"","95 Hủy/hoàn",IF($Q362&lt;&gt;"","99 Đóng",IF($P362&lt;&gt;"","90 Đã giao",IF($O362&lt;&gt;"","80 Đang giao",IF($N362&lt;&gt;"","70 Thông quan",IF($M362&lt;&gt;"","60 Đã xuất",IF($L362&lt;&gt;"","50 QC đạt",IF($K362&lt;&gt;"","40 NCC đã gửi",IF($I362&lt;&gt;"","30 Đã đặt NCC",IF($H362&lt;&gt;"","20 Đã xác nhận","10 Mới")))))))))))</f>
        <v/>
      </c>
      <c r="U362" s="33" t="str">
        <f aca="false">IF($T362="","",IFERROR(VLOOKUP($T362,DS!$A$2:$B$12,2,FALSE()),""))</f>
        <v/>
      </c>
      <c r="V362" s="34" t="str">
        <f aca="true">IF(OR($T362="",LEFT($T362,2)="99",LEFT($T362,2)="95"),"",TODAY()-MAX($E362,$H362:$P362))</f>
        <v/>
      </c>
      <c r="W362" s="34" t="str">
        <f aca="true">IF(AND($E362&lt;&gt;"",$I362="",$R362=""),IF(TODAY()-$E362&gt;1,"⚑",""),"")</f>
        <v/>
      </c>
      <c r="X362" s="34" t="str">
        <f aca="true">IF(AND($J362&lt;&gt;"",$K362="",$R362=""),IF(TODAY()-$J362&gt;2,"⚑",""),"")</f>
        <v/>
      </c>
      <c r="Y362" s="34" t="str">
        <f aca="true">IF(AND($G362&lt;&gt;"",$M362="",$R362=""),IF(AND($G362-TODAY()&lt;=14,$G362&gt;=TODAY()),"⚑",""),"")</f>
        <v/>
      </c>
      <c r="Z362" s="34" t="str">
        <f aca="true">IF(AND($G362&lt;&gt;"",$P362="",$R362=""),IF(TODAY()&gt;$G362,"⚑",""),"")</f>
        <v/>
      </c>
      <c r="AA362" s="34" t="str">
        <f aca="true">IF(AND($E362&lt;&gt;"",$P362="",$R362=""),IF(TODAY()-MAX($E362,$H362,$M362,$S362)&gt;7,"⚑",""),"")</f>
        <v/>
      </c>
      <c r="AB362" s="34" t="str">
        <f aca="false">IF(OR($P362="",$G362=""),"",IF($P362&lt;=$G362,"Có","Không"))</f>
        <v/>
      </c>
      <c r="AC362" s="34" t="str">
        <f aca="false">IF(OR($P362="",$E362=""),"",$P362-$E362)</f>
        <v/>
      </c>
      <c r="AD362" s="35" t="str">
        <f aca="false">IF($A362="","",COUNTIF(CASE!$B$3:$B$202,$A362))</f>
        <v/>
      </c>
      <c r="AE362" s="34" t="str">
        <f aca="false">IF(OR($I362="",$E362=""),"",$I362-$E362)</f>
        <v/>
      </c>
      <c r="AF362" s="34" t="str">
        <f aca="false">IF(OR($K362="",$I362=""),"",$K362-$I362)</f>
        <v/>
      </c>
      <c r="AG362" s="34" t="str">
        <f aca="false">IF(OR($L362="",$K362=""),"",$L362-$K362)</f>
        <v/>
      </c>
      <c r="AH362" s="34" t="str">
        <f aca="false">IF(OR($M362="",$L362=""),"",$M362-$L362)</f>
        <v/>
      </c>
      <c r="AI362" s="34" t="str">
        <f aca="false">IF(OR($P362="",$M362=""),"",$P362-$M362)</f>
        <v/>
      </c>
    </row>
    <row r="363" customFormat="false" ht="15" hidden="false" customHeight="false" outlineLevel="0" collapsed="false">
      <c r="A363" s="29"/>
      <c r="B363" s="29"/>
      <c r="C363" s="29"/>
      <c r="D363" s="30"/>
      <c r="E363" s="31"/>
      <c r="F363" s="32" t="str">
        <f aca="false">IF($E363="","",$E363+7*IFERROR(VLOOKUP($B363,DS!$K$2:$M$4,2,FALSE()),12))</f>
        <v/>
      </c>
      <c r="G363" s="32" t="str">
        <f aca="false">IF($E363="","",$E363+7*IFERROR(VLOOKUP($B363,DS!$K$2:$M$4,3,FALSE()),12))</f>
        <v/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3" t="str">
        <f aca="false">IF($A363="","",IF($R363&lt;&gt;"","95 Hủy/hoàn",IF($Q363&lt;&gt;"","99 Đóng",IF($P363&lt;&gt;"","90 Đã giao",IF($O363&lt;&gt;"","80 Đang giao",IF($N363&lt;&gt;"","70 Thông quan",IF($M363&lt;&gt;"","60 Đã xuất",IF($L363&lt;&gt;"","50 QC đạt",IF($K363&lt;&gt;"","40 NCC đã gửi",IF($I363&lt;&gt;"","30 Đã đặt NCC",IF($H363&lt;&gt;"","20 Đã xác nhận","10 Mới")))))))))))</f>
        <v/>
      </c>
      <c r="U363" s="33" t="str">
        <f aca="false">IF($T363="","",IFERROR(VLOOKUP($T363,DS!$A$2:$B$12,2,FALSE()),""))</f>
        <v/>
      </c>
      <c r="V363" s="34" t="str">
        <f aca="true">IF(OR($T363="",LEFT($T363,2)="99",LEFT($T363,2)="95"),"",TODAY()-MAX($E363,$H363:$P363))</f>
        <v/>
      </c>
      <c r="W363" s="34" t="str">
        <f aca="true">IF(AND($E363&lt;&gt;"",$I363="",$R363=""),IF(TODAY()-$E363&gt;1,"⚑",""),"")</f>
        <v/>
      </c>
      <c r="X363" s="34" t="str">
        <f aca="true">IF(AND($J363&lt;&gt;"",$K363="",$R363=""),IF(TODAY()-$J363&gt;2,"⚑",""),"")</f>
        <v/>
      </c>
      <c r="Y363" s="34" t="str">
        <f aca="true">IF(AND($G363&lt;&gt;"",$M363="",$R363=""),IF(AND($G363-TODAY()&lt;=14,$G363&gt;=TODAY()),"⚑",""),"")</f>
        <v/>
      </c>
      <c r="Z363" s="34" t="str">
        <f aca="true">IF(AND($G363&lt;&gt;"",$P363="",$R363=""),IF(TODAY()&gt;$G363,"⚑",""),"")</f>
        <v/>
      </c>
      <c r="AA363" s="34" t="str">
        <f aca="true">IF(AND($E363&lt;&gt;"",$P363="",$R363=""),IF(TODAY()-MAX($E363,$H363,$M363,$S363)&gt;7,"⚑",""),"")</f>
        <v/>
      </c>
      <c r="AB363" s="34" t="str">
        <f aca="false">IF(OR($P363="",$G363=""),"",IF($P363&lt;=$G363,"Có","Không"))</f>
        <v/>
      </c>
      <c r="AC363" s="34" t="str">
        <f aca="false">IF(OR($P363="",$E363=""),"",$P363-$E363)</f>
        <v/>
      </c>
      <c r="AD363" s="35" t="str">
        <f aca="false">IF($A363="","",COUNTIF(CASE!$B$3:$B$202,$A363))</f>
        <v/>
      </c>
      <c r="AE363" s="34" t="str">
        <f aca="false">IF(OR($I363="",$E363=""),"",$I363-$E363)</f>
        <v/>
      </c>
      <c r="AF363" s="34" t="str">
        <f aca="false">IF(OR($K363="",$I363=""),"",$K363-$I363)</f>
        <v/>
      </c>
      <c r="AG363" s="34" t="str">
        <f aca="false">IF(OR($L363="",$K363=""),"",$L363-$K363)</f>
        <v/>
      </c>
      <c r="AH363" s="34" t="str">
        <f aca="false">IF(OR($M363="",$L363=""),"",$M363-$L363)</f>
        <v/>
      </c>
      <c r="AI363" s="34" t="str">
        <f aca="false">IF(OR($P363="",$M363=""),"",$P363-$M363)</f>
        <v/>
      </c>
    </row>
    <row r="364" customFormat="false" ht="15" hidden="false" customHeight="false" outlineLevel="0" collapsed="false">
      <c r="A364" s="29"/>
      <c r="B364" s="29"/>
      <c r="C364" s="29"/>
      <c r="D364" s="30"/>
      <c r="E364" s="31"/>
      <c r="F364" s="32" t="str">
        <f aca="false">IF($E364="","",$E364+7*IFERROR(VLOOKUP($B364,DS!$K$2:$M$4,2,FALSE()),12))</f>
        <v/>
      </c>
      <c r="G364" s="32" t="str">
        <f aca="false">IF($E364="","",$E364+7*IFERROR(VLOOKUP($B364,DS!$K$2:$M$4,3,FALSE()),12))</f>
        <v/>
      </c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3" t="str">
        <f aca="false">IF($A364="","",IF($R364&lt;&gt;"","95 Hủy/hoàn",IF($Q364&lt;&gt;"","99 Đóng",IF($P364&lt;&gt;"","90 Đã giao",IF($O364&lt;&gt;"","80 Đang giao",IF($N364&lt;&gt;"","70 Thông quan",IF($M364&lt;&gt;"","60 Đã xuất",IF($L364&lt;&gt;"","50 QC đạt",IF($K364&lt;&gt;"","40 NCC đã gửi",IF($I364&lt;&gt;"","30 Đã đặt NCC",IF($H364&lt;&gt;"","20 Đã xác nhận","10 Mới")))))))))))</f>
        <v/>
      </c>
      <c r="U364" s="33" t="str">
        <f aca="false">IF($T364="","",IFERROR(VLOOKUP($T364,DS!$A$2:$B$12,2,FALSE()),""))</f>
        <v/>
      </c>
      <c r="V364" s="34" t="str">
        <f aca="true">IF(OR($T364="",LEFT($T364,2)="99",LEFT($T364,2)="95"),"",TODAY()-MAX($E364,$H364:$P364))</f>
        <v/>
      </c>
      <c r="W364" s="34" t="str">
        <f aca="true">IF(AND($E364&lt;&gt;"",$I364="",$R364=""),IF(TODAY()-$E364&gt;1,"⚑",""),"")</f>
        <v/>
      </c>
      <c r="X364" s="34" t="str">
        <f aca="true">IF(AND($J364&lt;&gt;"",$K364="",$R364=""),IF(TODAY()-$J364&gt;2,"⚑",""),"")</f>
        <v/>
      </c>
      <c r="Y364" s="34" t="str">
        <f aca="true">IF(AND($G364&lt;&gt;"",$M364="",$R364=""),IF(AND($G364-TODAY()&lt;=14,$G364&gt;=TODAY()),"⚑",""),"")</f>
        <v/>
      </c>
      <c r="Z364" s="34" t="str">
        <f aca="true">IF(AND($G364&lt;&gt;"",$P364="",$R364=""),IF(TODAY()&gt;$G364,"⚑",""),"")</f>
        <v/>
      </c>
      <c r="AA364" s="34" t="str">
        <f aca="true">IF(AND($E364&lt;&gt;"",$P364="",$R364=""),IF(TODAY()-MAX($E364,$H364,$M364,$S364)&gt;7,"⚑",""),"")</f>
        <v/>
      </c>
      <c r="AB364" s="34" t="str">
        <f aca="false">IF(OR($P364="",$G364=""),"",IF($P364&lt;=$G364,"Có","Không"))</f>
        <v/>
      </c>
      <c r="AC364" s="34" t="str">
        <f aca="false">IF(OR($P364="",$E364=""),"",$P364-$E364)</f>
        <v/>
      </c>
      <c r="AD364" s="35" t="str">
        <f aca="false">IF($A364="","",COUNTIF(CASE!$B$3:$B$202,$A364))</f>
        <v/>
      </c>
      <c r="AE364" s="34" t="str">
        <f aca="false">IF(OR($I364="",$E364=""),"",$I364-$E364)</f>
        <v/>
      </c>
      <c r="AF364" s="34" t="str">
        <f aca="false">IF(OR($K364="",$I364=""),"",$K364-$I364)</f>
        <v/>
      </c>
      <c r="AG364" s="34" t="str">
        <f aca="false">IF(OR($L364="",$K364=""),"",$L364-$K364)</f>
        <v/>
      </c>
      <c r="AH364" s="34" t="str">
        <f aca="false">IF(OR($M364="",$L364=""),"",$M364-$L364)</f>
        <v/>
      </c>
      <c r="AI364" s="34" t="str">
        <f aca="false">IF(OR($P364="",$M364=""),"",$P364-$M364)</f>
        <v/>
      </c>
    </row>
    <row r="365" customFormat="false" ht="15" hidden="false" customHeight="false" outlineLevel="0" collapsed="false">
      <c r="A365" s="29"/>
      <c r="B365" s="29"/>
      <c r="C365" s="29"/>
      <c r="D365" s="30"/>
      <c r="E365" s="31"/>
      <c r="F365" s="32" t="str">
        <f aca="false">IF($E365="","",$E365+7*IFERROR(VLOOKUP($B365,DS!$K$2:$M$4,2,FALSE()),12))</f>
        <v/>
      </c>
      <c r="G365" s="32" t="str">
        <f aca="false">IF($E365="","",$E365+7*IFERROR(VLOOKUP($B365,DS!$K$2:$M$4,3,FALSE()),12))</f>
        <v/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3" t="str">
        <f aca="false">IF($A365="","",IF($R365&lt;&gt;"","95 Hủy/hoàn",IF($Q365&lt;&gt;"","99 Đóng",IF($P365&lt;&gt;"","90 Đã giao",IF($O365&lt;&gt;"","80 Đang giao",IF($N365&lt;&gt;"","70 Thông quan",IF($M365&lt;&gt;"","60 Đã xuất",IF($L365&lt;&gt;"","50 QC đạt",IF($K365&lt;&gt;"","40 NCC đã gửi",IF($I365&lt;&gt;"","30 Đã đặt NCC",IF($H365&lt;&gt;"","20 Đã xác nhận","10 Mới")))))))))))</f>
        <v/>
      </c>
      <c r="U365" s="33" t="str">
        <f aca="false">IF($T365="","",IFERROR(VLOOKUP($T365,DS!$A$2:$B$12,2,FALSE()),""))</f>
        <v/>
      </c>
      <c r="V365" s="34" t="str">
        <f aca="true">IF(OR($T365="",LEFT($T365,2)="99",LEFT($T365,2)="95"),"",TODAY()-MAX($E365,$H365:$P365))</f>
        <v/>
      </c>
      <c r="W365" s="34" t="str">
        <f aca="true">IF(AND($E365&lt;&gt;"",$I365="",$R365=""),IF(TODAY()-$E365&gt;1,"⚑",""),"")</f>
        <v/>
      </c>
      <c r="X365" s="34" t="str">
        <f aca="true">IF(AND($J365&lt;&gt;"",$K365="",$R365=""),IF(TODAY()-$J365&gt;2,"⚑",""),"")</f>
        <v/>
      </c>
      <c r="Y365" s="34" t="str">
        <f aca="true">IF(AND($G365&lt;&gt;"",$M365="",$R365=""),IF(AND($G365-TODAY()&lt;=14,$G365&gt;=TODAY()),"⚑",""),"")</f>
        <v/>
      </c>
      <c r="Z365" s="34" t="str">
        <f aca="true">IF(AND($G365&lt;&gt;"",$P365="",$R365=""),IF(TODAY()&gt;$G365,"⚑",""),"")</f>
        <v/>
      </c>
      <c r="AA365" s="34" t="str">
        <f aca="true">IF(AND($E365&lt;&gt;"",$P365="",$R365=""),IF(TODAY()-MAX($E365,$H365,$M365,$S365)&gt;7,"⚑",""),"")</f>
        <v/>
      </c>
      <c r="AB365" s="34" t="str">
        <f aca="false">IF(OR($P365="",$G365=""),"",IF($P365&lt;=$G365,"Có","Không"))</f>
        <v/>
      </c>
      <c r="AC365" s="34" t="str">
        <f aca="false">IF(OR($P365="",$E365=""),"",$P365-$E365)</f>
        <v/>
      </c>
      <c r="AD365" s="35" t="str">
        <f aca="false">IF($A365="","",COUNTIF(CASE!$B$3:$B$202,$A365))</f>
        <v/>
      </c>
      <c r="AE365" s="34" t="str">
        <f aca="false">IF(OR($I365="",$E365=""),"",$I365-$E365)</f>
        <v/>
      </c>
      <c r="AF365" s="34" t="str">
        <f aca="false">IF(OR($K365="",$I365=""),"",$K365-$I365)</f>
        <v/>
      </c>
      <c r="AG365" s="34" t="str">
        <f aca="false">IF(OR($L365="",$K365=""),"",$L365-$K365)</f>
        <v/>
      </c>
      <c r="AH365" s="34" t="str">
        <f aca="false">IF(OR($M365="",$L365=""),"",$M365-$L365)</f>
        <v/>
      </c>
      <c r="AI365" s="34" t="str">
        <f aca="false">IF(OR($P365="",$M365=""),"",$P365-$M365)</f>
        <v/>
      </c>
    </row>
    <row r="366" customFormat="false" ht="15" hidden="false" customHeight="false" outlineLevel="0" collapsed="false">
      <c r="A366" s="29"/>
      <c r="B366" s="29"/>
      <c r="C366" s="29"/>
      <c r="D366" s="30"/>
      <c r="E366" s="31"/>
      <c r="F366" s="32" t="str">
        <f aca="false">IF($E366="","",$E366+7*IFERROR(VLOOKUP($B366,DS!$K$2:$M$4,2,FALSE()),12))</f>
        <v/>
      </c>
      <c r="G366" s="32" t="str">
        <f aca="false">IF($E366="","",$E366+7*IFERROR(VLOOKUP($B366,DS!$K$2:$M$4,3,FALSE()),12))</f>
        <v/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3" t="str">
        <f aca="false">IF($A366="","",IF($R366&lt;&gt;"","95 Hủy/hoàn",IF($Q366&lt;&gt;"","99 Đóng",IF($P366&lt;&gt;"","90 Đã giao",IF($O366&lt;&gt;"","80 Đang giao",IF($N366&lt;&gt;"","70 Thông quan",IF($M366&lt;&gt;"","60 Đã xuất",IF($L366&lt;&gt;"","50 QC đạt",IF($K366&lt;&gt;"","40 NCC đã gửi",IF($I366&lt;&gt;"","30 Đã đặt NCC",IF($H366&lt;&gt;"","20 Đã xác nhận","10 Mới")))))))))))</f>
        <v/>
      </c>
      <c r="U366" s="33" t="str">
        <f aca="false">IF($T366="","",IFERROR(VLOOKUP($T366,DS!$A$2:$B$12,2,FALSE()),""))</f>
        <v/>
      </c>
      <c r="V366" s="34" t="str">
        <f aca="true">IF(OR($T366="",LEFT($T366,2)="99",LEFT($T366,2)="95"),"",TODAY()-MAX($E366,$H366:$P366))</f>
        <v/>
      </c>
      <c r="W366" s="34" t="str">
        <f aca="true">IF(AND($E366&lt;&gt;"",$I366="",$R366=""),IF(TODAY()-$E366&gt;1,"⚑",""),"")</f>
        <v/>
      </c>
      <c r="X366" s="34" t="str">
        <f aca="true">IF(AND($J366&lt;&gt;"",$K366="",$R366=""),IF(TODAY()-$J366&gt;2,"⚑",""),"")</f>
        <v/>
      </c>
      <c r="Y366" s="34" t="str">
        <f aca="true">IF(AND($G366&lt;&gt;"",$M366="",$R366=""),IF(AND($G366-TODAY()&lt;=14,$G366&gt;=TODAY()),"⚑",""),"")</f>
        <v/>
      </c>
      <c r="Z366" s="34" t="str">
        <f aca="true">IF(AND($G366&lt;&gt;"",$P366="",$R366=""),IF(TODAY()&gt;$G366,"⚑",""),"")</f>
        <v/>
      </c>
      <c r="AA366" s="34" t="str">
        <f aca="true">IF(AND($E366&lt;&gt;"",$P366="",$R366=""),IF(TODAY()-MAX($E366,$H366,$M366,$S366)&gt;7,"⚑",""),"")</f>
        <v/>
      </c>
      <c r="AB366" s="34" t="str">
        <f aca="false">IF(OR($P366="",$G366=""),"",IF($P366&lt;=$G366,"Có","Không"))</f>
        <v/>
      </c>
      <c r="AC366" s="34" t="str">
        <f aca="false">IF(OR($P366="",$E366=""),"",$P366-$E366)</f>
        <v/>
      </c>
      <c r="AD366" s="35" t="str">
        <f aca="false">IF($A366="","",COUNTIF(CASE!$B$3:$B$202,$A366))</f>
        <v/>
      </c>
      <c r="AE366" s="34" t="str">
        <f aca="false">IF(OR($I366="",$E366=""),"",$I366-$E366)</f>
        <v/>
      </c>
      <c r="AF366" s="34" t="str">
        <f aca="false">IF(OR($K366="",$I366=""),"",$K366-$I366)</f>
        <v/>
      </c>
      <c r="AG366" s="34" t="str">
        <f aca="false">IF(OR($L366="",$K366=""),"",$L366-$K366)</f>
        <v/>
      </c>
      <c r="AH366" s="34" t="str">
        <f aca="false">IF(OR($M366="",$L366=""),"",$M366-$L366)</f>
        <v/>
      </c>
      <c r="AI366" s="34" t="str">
        <f aca="false">IF(OR($P366="",$M366=""),"",$P366-$M366)</f>
        <v/>
      </c>
    </row>
    <row r="367" customFormat="false" ht="15" hidden="false" customHeight="false" outlineLevel="0" collapsed="false">
      <c r="A367" s="29"/>
      <c r="B367" s="29"/>
      <c r="C367" s="29"/>
      <c r="D367" s="30"/>
      <c r="E367" s="31"/>
      <c r="F367" s="32" t="str">
        <f aca="false">IF($E367="","",$E367+7*IFERROR(VLOOKUP($B367,DS!$K$2:$M$4,2,FALSE()),12))</f>
        <v/>
      </c>
      <c r="G367" s="32" t="str">
        <f aca="false">IF($E367="","",$E367+7*IFERROR(VLOOKUP($B367,DS!$K$2:$M$4,3,FALSE()),12))</f>
        <v/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3" t="str">
        <f aca="false">IF($A367="","",IF($R367&lt;&gt;"","95 Hủy/hoàn",IF($Q367&lt;&gt;"","99 Đóng",IF($P367&lt;&gt;"","90 Đã giao",IF($O367&lt;&gt;"","80 Đang giao",IF($N367&lt;&gt;"","70 Thông quan",IF($M367&lt;&gt;"","60 Đã xuất",IF($L367&lt;&gt;"","50 QC đạt",IF($K367&lt;&gt;"","40 NCC đã gửi",IF($I367&lt;&gt;"","30 Đã đặt NCC",IF($H367&lt;&gt;"","20 Đã xác nhận","10 Mới")))))))))))</f>
        <v/>
      </c>
      <c r="U367" s="33" t="str">
        <f aca="false">IF($T367="","",IFERROR(VLOOKUP($T367,DS!$A$2:$B$12,2,FALSE()),""))</f>
        <v/>
      </c>
      <c r="V367" s="34" t="str">
        <f aca="true">IF(OR($T367="",LEFT($T367,2)="99",LEFT($T367,2)="95"),"",TODAY()-MAX($E367,$H367:$P367))</f>
        <v/>
      </c>
      <c r="W367" s="34" t="str">
        <f aca="true">IF(AND($E367&lt;&gt;"",$I367="",$R367=""),IF(TODAY()-$E367&gt;1,"⚑",""),"")</f>
        <v/>
      </c>
      <c r="X367" s="34" t="str">
        <f aca="true">IF(AND($J367&lt;&gt;"",$K367="",$R367=""),IF(TODAY()-$J367&gt;2,"⚑",""),"")</f>
        <v/>
      </c>
      <c r="Y367" s="34" t="str">
        <f aca="true">IF(AND($G367&lt;&gt;"",$M367="",$R367=""),IF(AND($G367-TODAY()&lt;=14,$G367&gt;=TODAY()),"⚑",""),"")</f>
        <v/>
      </c>
      <c r="Z367" s="34" t="str">
        <f aca="true">IF(AND($G367&lt;&gt;"",$P367="",$R367=""),IF(TODAY()&gt;$G367,"⚑",""),"")</f>
        <v/>
      </c>
      <c r="AA367" s="34" t="str">
        <f aca="true">IF(AND($E367&lt;&gt;"",$P367="",$R367=""),IF(TODAY()-MAX($E367,$H367,$M367,$S367)&gt;7,"⚑",""),"")</f>
        <v/>
      </c>
      <c r="AB367" s="34" t="str">
        <f aca="false">IF(OR($P367="",$G367=""),"",IF($P367&lt;=$G367,"Có","Không"))</f>
        <v/>
      </c>
      <c r="AC367" s="34" t="str">
        <f aca="false">IF(OR($P367="",$E367=""),"",$P367-$E367)</f>
        <v/>
      </c>
      <c r="AD367" s="35" t="str">
        <f aca="false">IF($A367="","",COUNTIF(CASE!$B$3:$B$202,$A367))</f>
        <v/>
      </c>
      <c r="AE367" s="34" t="str">
        <f aca="false">IF(OR($I367="",$E367=""),"",$I367-$E367)</f>
        <v/>
      </c>
      <c r="AF367" s="34" t="str">
        <f aca="false">IF(OR($K367="",$I367=""),"",$K367-$I367)</f>
        <v/>
      </c>
      <c r="AG367" s="34" t="str">
        <f aca="false">IF(OR($L367="",$K367=""),"",$L367-$K367)</f>
        <v/>
      </c>
      <c r="AH367" s="34" t="str">
        <f aca="false">IF(OR($M367="",$L367=""),"",$M367-$L367)</f>
        <v/>
      </c>
      <c r="AI367" s="34" t="str">
        <f aca="false">IF(OR($P367="",$M367=""),"",$P367-$M367)</f>
        <v/>
      </c>
    </row>
    <row r="368" customFormat="false" ht="15" hidden="false" customHeight="false" outlineLevel="0" collapsed="false">
      <c r="A368" s="29"/>
      <c r="B368" s="29"/>
      <c r="C368" s="29"/>
      <c r="D368" s="30"/>
      <c r="E368" s="31"/>
      <c r="F368" s="32" t="str">
        <f aca="false">IF($E368="","",$E368+7*IFERROR(VLOOKUP($B368,DS!$K$2:$M$4,2,FALSE()),12))</f>
        <v/>
      </c>
      <c r="G368" s="32" t="str">
        <f aca="false">IF($E368="","",$E368+7*IFERROR(VLOOKUP($B368,DS!$K$2:$M$4,3,FALSE()),12))</f>
        <v/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3" t="str">
        <f aca="false">IF($A368="","",IF($R368&lt;&gt;"","95 Hủy/hoàn",IF($Q368&lt;&gt;"","99 Đóng",IF($P368&lt;&gt;"","90 Đã giao",IF($O368&lt;&gt;"","80 Đang giao",IF($N368&lt;&gt;"","70 Thông quan",IF($M368&lt;&gt;"","60 Đã xuất",IF($L368&lt;&gt;"","50 QC đạt",IF($K368&lt;&gt;"","40 NCC đã gửi",IF($I368&lt;&gt;"","30 Đã đặt NCC",IF($H368&lt;&gt;"","20 Đã xác nhận","10 Mới")))))))))))</f>
        <v/>
      </c>
      <c r="U368" s="33" t="str">
        <f aca="false">IF($T368="","",IFERROR(VLOOKUP($T368,DS!$A$2:$B$12,2,FALSE()),""))</f>
        <v/>
      </c>
      <c r="V368" s="34" t="str">
        <f aca="true">IF(OR($T368="",LEFT($T368,2)="99",LEFT($T368,2)="95"),"",TODAY()-MAX($E368,$H368:$P368))</f>
        <v/>
      </c>
      <c r="W368" s="34" t="str">
        <f aca="true">IF(AND($E368&lt;&gt;"",$I368="",$R368=""),IF(TODAY()-$E368&gt;1,"⚑",""),"")</f>
        <v/>
      </c>
      <c r="X368" s="34" t="str">
        <f aca="true">IF(AND($J368&lt;&gt;"",$K368="",$R368=""),IF(TODAY()-$J368&gt;2,"⚑",""),"")</f>
        <v/>
      </c>
      <c r="Y368" s="34" t="str">
        <f aca="true">IF(AND($G368&lt;&gt;"",$M368="",$R368=""),IF(AND($G368-TODAY()&lt;=14,$G368&gt;=TODAY()),"⚑",""),"")</f>
        <v/>
      </c>
      <c r="Z368" s="34" t="str">
        <f aca="true">IF(AND($G368&lt;&gt;"",$P368="",$R368=""),IF(TODAY()&gt;$G368,"⚑",""),"")</f>
        <v/>
      </c>
      <c r="AA368" s="34" t="str">
        <f aca="true">IF(AND($E368&lt;&gt;"",$P368="",$R368=""),IF(TODAY()-MAX($E368,$H368,$M368,$S368)&gt;7,"⚑",""),"")</f>
        <v/>
      </c>
      <c r="AB368" s="34" t="str">
        <f aca="false">IF(OR($P368="",$G368=""),"",IF($P368&lt;=$G368,"Có","Không"))</f>
        <v/>
      </c>
      <c r="AC368" s="34" t="str">
        <f aca="false">IF(OR($P368="",$E368=""),"",$P368-$E368)</f>
        <v/>
      </c>
      <c r="AD368" s="35" t="str">
        <f aca="false">IF($A368="","",COUNTIF(CASE!$B$3:$B$202,$A368))</f>
        <v/>
      </c>
      <c r="AE368" s="34" t="str">
        <f aca="false">IF(OR($I368="",$E368=""),"",$I368-$E368)</f>
        <v/>
      </c>
      <c r="AF368" s="34" t="str">
        <f aca="false">IF(OR($K368="",$I368=""),"",$K368-$I368)</f>
        <v/>
      </c>
      <c r="AG368" s="34" t="str">
        <f aca="false">IF(OR($L368="",$K368=""),"",$L368-$K368)</f>
        <v/>
      </c>
      <c r="AH368" s="34" t="str">
        <f aca="false">IF(OR($M368="",$L368=""),"",$M368-$L368)</f>
        <v/>
      </c>
      <c r="AI368" s="34" t="str">
        <f aca="false">IF(OR($P368="",$M368=""),"",$P368-$M368)</f>
        <v/>
      </c>
    </row>
    <row r="369" customFormat="false" ht="15" hidden="false" customHeight="false" outlineLevel="0" collapsed="false">
      <c r="A369" s="29"/>
      <c r="B369" s="29"/>
      <c r="C369" s="29"/>
      <c r="D369" s="30"/>
      <c r="E369" s="31"/>
      <c r="F369" s="32" t="str">
        <f aca="false">IF($E369="","",$E369+7*IFERROR(VLOOKUP($B369,DS!$K$2:$M$4,2,FALSE()),12))</f>
        <v/>
      </c>
      <c r="G369" s="32" t="str">
        <f aca="false">IF($E369="","",$E369+7*IFERROR(VLOOKUP($B369,DS!$K$2:$M$4,3,FALSE()),12))</f>
        <v/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3" t="str">
        <f aca="false">IF($A369="","",IF($R369&lt;&gt;"","95 Hủy/hoàn",IF($Q369&lt;&gt;"","99 Đóng",IF($P369&lt;&gt;"","90 Đã giao",IF($O369&lt;&gt;"","80 Đang giao",IF($N369&lt;&gt;"","70 Thông quan",IF($M369&lt;&gt;"","60 Đã xuất",IF($L369&lt;&gt;"","50 QC đạt",IF($K369&lt;&gt;"","40 NCC đã gửi",IF($I369&lt;&gt;"","30 Đã đặt NCC",IF($H369&lt;&gt;"","20 Đã xác nhận","10 Mới")))))))))))</f>
        <v/>
      </c>
      <c r="U369" s="33" t="str">
        <f aca="false">IF($T369="","",IFERROR(VLOOKUP($T369,DS!$A$2:$B$12,2,FALSE()),""))</f>
        <v/>
      </c>
      <c r="V369" s="34" t="str">
        <f aca="true">IF(OR($T369="",LEFT($T369,2)="99",LEFT($T369,2)="95"),"",TODAY()-MAX($E369,$H369:$P369))</f>
        <v/>
      </c>
      <c r="W369" s="34" t="str">
        <f aca="true">IF(AND($E369&lt;&gt;"",$I369="",$R369=""),IF(TODAY()-$E369&gt;1,"⚑",""),"")</f>
        <v/>
      </c>
      <c r="X369" s="34" t="str">
        <f aca="true">IF(AND($J369&lt;&gt;"",$K369="",$R369=""),IF(TODAY()-$J369&gt;2,"⚑",""),"")</f>
        <v/>
      </c>
      <c r="Y369" s="34" t="str">
        <f aca="true">IF(AND($G369&lt;&gt;"",$M369="",$R369=""),IF(AND($G369-TODAY()&lt;=14,$G369&gt;=TODAY()),"⚑",""),"")</f>
        <v/>
      </c>
      <c r="Z369" s="34" t="str">
        <f aca="true">IF(AND($G369&lt;&gt;"",$P369="",$R369=""),IF(TODAY()&gt;$G369,"⚑",""),"")</f>
        <v/>
      </c>
      <c r="AA369" s="34" t="str">
        <f aca="true">IF(AND($E369&lt;&gt;"",$P369="",$R369=""),IF(TODAY()-MAX($E369,$H369,$M369,$S369)&gt;7,"⚑",""),"")</f>
        <v/>
      </c>
      <c r="AB369" s="34" t="str">
        <f aca="false">IF(OR($P369="",$G369=""),"",IF($P369&lt;=$G369,"Có","Không"))</f>
        <v/>
      </c>
      <c r="AC369" s="34" t="str">
        <f aca="false">IF(OR($P369="",$E369=""),"",$P369-$E369)</f>
        <v/>
      </c>
      <c r="AD369" s="35" t="str">
        <f aca="false">IF($A369="","",COUNTIF(CASE!$B$3:$B$202,$A369))</f>
        <v/>
      </c>
      <c r="AE369" s="34" t="str">
        <f aca="false">IF(OR($I369="",$E369=""),"",$I369-$E369)</f>
        <v/>
      </c>
      <c r="AF369" s="34" t="str">
        <f aca="false">IF(OR($K369="",$I369=""),"",$K369-$I369)</f>
        <v/>
      </c>
      <c r="AG369" s="34" t="str">
        <f aca="false">IF(OR($L369="",$K369=""),"",$L369-$K369)</f>
        <v/>
      </c>
      <c r="AH369" s="34" t="str">
        <f aca="false">IF(OR($M369="",$L369=""),"",$M369-$L369)</f>
        <v/>
      </c>
      <c r="AI369" s="34" t="str">
        <f aca="false">IF(OR($P369="",$M369=""),"",$P369-$M369)</f>
        <v/>
      </c>
    </row>
    <row r="370" customFormat="false" ht="15" hidden="false" customHeight="false" outlineLevel="0" collapsed="false">
      <c r="A370" s="29"/>
      <c r="B370" s="29"/>
      <c r="C370" s="29"/>
      <c r="D370" s="30"/>
      <c r="E370" s="31"/>
      <c r="F370" s="32" t="str">
        <f aca="false">IF($E370="","",$E370+7*IFERROR(VLOOKUP($B370,DS!$K$2:$M$4,2,FALSE()),12))</f>
        <v/>
      </c>
      <c r="G370" s="32" t="str">
        <f aca="false">IF($E370="","",$E370+7*IFERROR(VLOOKUP($B370,DS!$K$2:$M$4,3,FALSE()),12))</f>
        <v/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3" t="str">
        <f aca="false">IF($A370="","",IF($R370&lt;&gt;"","95 Hủy/hoàn",IF($Q370&lt;&gt;"","99 Đóng",IF($P370&lt;&gt;"","90 Đã giao",IF($O370&lt;&gt;"","80 Đang giao",IF($N370&lt;&gt;"","70 Thông quan",IF($M370&lt;&gt;"","60 Đã xuất",IF($L370&lt;&gt;"","50 QC đạt",IF($K370&lt;&gt;"","40 NCC đã gửi",IF($I370&lt;&gt;"","30 Đã đặt NCC",IF($H370&lt;&gt;"","20 Đã xác nhận","10 Mới")))))))))))</f>
        <v/>
      </c>
      <c r="U370" s="33" t="str">
        <f aca="false">IF($T370="","",IFERROR(VLOOKUP($T370,DS!$A$2:$B$12,2,FALSE()),""))</f>
        <v/>
      </c>
      <c r="V370" s="34" t="str">
        <f aca="true">IF(OR($T370="",LEFT($T370,2)="99",LEFT($T370,2)="95"),"",TODAY()-MAX($E370,$H370:$P370))</f>
        <v/>
      </c>
      <c r="W370" s="34" t="str">
        <f aca="true">IF(AND($E370&lt;&gt;"",$I370="",$R370=""),IF(TODAY()-$E370&gt;1,"⚑",""),"")</f>
        <v/>
      </c>
      <c r="X370" s="34" t="str">
        <f aca="true">IF(AND($J370&lt;&gt;"",$K370="",$R370=""),IF(TODAY()-$J370&gt;2,"⚑",""),"")</f>
        <v/>
      </c>
      <c r="Y370" s="34" t="str">
        <f aca="true">IF(AND($G370&lt;&gt;"",$M370="",$R370=""),IF(AND($G370-TODAY()&lt;=14,$G370&gt;=TODAY()),"⚑",""),"")</f>
        <v/>
      </c>
      <c r="Z370" s="34" t="str">
        <f aca="true">IF(AND($G370&lt;&gt;"",$P370="",$R370=""),IF(TODAY()&gt;$G370,"⚑",""),"")</f>
        <v/>
      </c>
      <c r="AA370" s="34" t="str">
        <f aca="true">IF(AND($E370&lt;&gt;"",$P370="",$R370=""),IF(TODAY()-MAX($E370,$H370,$M370,$S370)&gt;7,"⚑",""),"")</f>
        <v/>
      </c>
      <c r="AB370" s="34" t="str">
        <f aca="false">IF(OR($P370="",$G370=""),"",IF($P370&lt;=$G370,"Có","Không"))</f>
        <v/>
      </c>
      <c r="AC370" s="34" t="str">
        <f aca="false">IF(OR($P370="",$E370=""),"",$P370-$E370)</f>
        <v/>
      </c>
      <c r="AD370" s="35" t="str">
        <f aca="false">IF($A370="","",COUNTIF(CASE!$B$3:$B$202,$A370))</f>
        <v/>
      </c>
      <c r="AE370" s="34" t="str">
        <f aca="false">IF(OR($I370="",$E370=""),"",$I370-$E370)</f>
        <v/>
      </c>
      <c r="AF370" s="34" t="str">
        <f aca="false">IF(OR($K370="",$I370=""),"",$K370-$I370)</f>
        <v/>
      </c>
      <c r="AG370" s="34" t="str">
        <f aca="false">IF(OR($L370="",$K370=""),"",$L370-$K370)</f>
        <v/>
      </c>
      <c r="AH370" s="34" t="str">
        <f aca="false">IF(OR($M370="",$L370=""),"",$M370-$L370)</f>
        <v/>
      </c>
      <c r="AI370" s="34" t="str">
        <f aca="false">IF(OR($P370="",$M370=""),"",$P370-$M370)</f>
        <v/>
      </c>
    </row>
    <row r="371" customFormat="false" ht="15" hidden="false" customHeight="false" outlineLevel="0" collapsed="false">
      <c r="A371" s="29"/>
      <c r="B371" s="29"/>
      <c r="C371" s="29"/>
      <c r="D371" s="30"/>
      <c r="E371" s="31"/>
      <c r="F371" s="32" t="str">
        <f aca="false">IF($E371="","",$E371+7*IFERROR(VLOOKUP($B371,DS!$K$2:$M$4,2,FALSE()),12))</f>
        <v/>
      </c>
      <c r="G371" s="32" t="str">
        <f aca="false">IF($E371="","",$E371+7*IFERROR(VLOOKUP($B371,DS!$K$2:$M$4,3,FALSE()),12))</f>
        <v/>
      </c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3" t="str">
        <f aca="false">IF($A371="","",IF($R371&lt;&gt;"","95 Hủy/hoàn",IF($Q371&lt;&gt;"","99 Đóng",IF($P371&lt;&gt;"","90 Đã giao",IF($O371&lt;&gt;"","80 Đang giao",IF($N371&lt;&gt;"","70 Thông quan",IF($M371&lt;&gt;"","60 Đã xuất",IF($L371&lt;&gt;"","50 QC đạt",IF($K371&lt;&gt;"","40 NCC đã gửi",IF($I371&lt;&gt;"","30 Đã đặt NCC",IF($H371&lt;&gt;"","20 Đã xác nhận","10 Mới")))))))))))</f>
        <v/>
      </c>
      <c r="U371" s="33" t="str">
        <f aca="false">IF($T371="","",IFERROR(VLOOKUP($T371,DS!$A$2:$B$12,2,FALSE()),""))</f>
        <v/>
      </c>
      <c r="V371" s="34" t="str">
        <f aca="true">IF(OR($T371="",LEFT($T371,2)="99",LEFT($T371,2)="95"),"",TODAY()-MAX($E371,$H371:$P371))</f>
        <v/>
      </c>
      <c r="W371" s="34" t="str">
        <f aca="true">IF(AND($E371&lt;&gt;"",$I371="",$R371=""),IF(TODAY()-$E371&gt;1,"⚑",""),"")</f>
        <v/>
      </c>
      <c r="X371" s="34" t="str">
        <f aca="true">IF(AND($J371&lt;&gt;"",$K371="",$R371=""),IF(TODAY()-$J371&gt;2,"⚑",""),"")</f>
        <v/>
      </c>
      <c r="Y371" s="34" t="str">
        <f aca="true">IF(AND($G371&lt;&gt;"",$M371="",$R371=""),IF(AND($G371-TODAY()&lt;=14,$G371&gt;=TODAY()),"⚑",""),"")</f>
        <v/>
      </c>
      <c r="Z371" s="34" t="str">
        <f aca="true">IF(AND($G371&lt;&gt;"",$P371="",$R371=""),IF(TODAY()&gt;$G371,"⚑",""),"")</f>
        <v/>
      </c>
      <c r="AA371" s="34" t="str">
        <f aca="true">IF(AND($E371&lt;&gt;"",$P371="",$R371=""),IF(TODAY()-MAX($E371,$H371,$M371,$S371)&gt;7,"⚑",""),"")</f>
        <v/>
      </c>
      <c r="AB371" s="34" t="str">
        <f aca="false">IF(OR($P371="",$G371=""),"",IF($P371&lt;=$G371,"Có","Không"))</f>
        <v/>
      </c>
      <c r="AC371" s="34" t="str">
        <f aca="false">IF(OR($P371="",$E371=""),"",$P371-$E371)</f>
        <v/>
      </c>
      <c r="AD371" s="35" t="str">
        <f aca="false">IF($A371="","",COUNTIF(CASE!$B$3:$B$202,$A371))</f>
        <v/>
      </c>
      <c r="AE371" s="34" t="str">
        <f aca="false">IF(OR($I371="",$E371=""),"",$I371-$E371)</f>
        <v/>
      </c>
      <c r="AF371" s="34" t="str">
        <f aca="false">IF(OR($K371="",$I371=""),"",$K371-$I371)</f>
        <v/>
      </c>
      <c r="AG371" s="34" t="str">
        <f aca="false">IF(OR($L371="",$K371=""),"",$L371-$K371)</f>
        <v/>
      </c>
      <c r="AH371" s="34" t="str">
        <f aca="false">IF(OR($M371="",$L371=""),"",$M371-$L371)</f>
        <v/>
      </c>
      <c r="AI371" s="34" t="str">
        <f aca="false">IF(OR($P371="",$M371=""),"",$P371-$M371)</f>
        <v/>
      </c>
    </row>
    <row r="372" customFormat="false" ht="15" hidden="false" customHeight="false" outlineLevel="0" collapsed="false">
      <c r="A372" s="29"/>
      <c r="B372" s="29"/>
      <c r="C372" s="29"/>
      <c r="D372" s="30"/>
      <c r="E372" s="31"/>
      <c r="F372" s="32" t="str">
        <f aca="false">IF($E372="","",$E372+7*IFERROR(VLOOKUP($B372,DS!$K$2:$M$4,2,FALSE()),12))</f>
        <v/>
      </c>
      <c r="G372" s="32" t="str">
        <f aca="false">IF($E372="","",$E372+7*IFERROR(VLOOKUP($B372,DS!$K$2:$M$4,3,FALSE()),12))</f>
        <v/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3" t="str">
        <f aca="false">IF($A372="","",IF($R372&lt;&gt;"","95 Hủy/hoàn",IF($Q372&lt;&gt;"","99 Đóng",IF($P372&lt;&gt;"","90 Đã giao",IF($O372&lt;&gt;"","80 Đang giao",IF($N372&lt;&gt;"","70 Thông quan",IF($M372&lt;&gt;"","60 Đã xuất",IF($L372&lt;&gt;"","50 QC đạt",IF($K372&lt;&gt;"","40 NCC đã gửi",IF($I372&lt;&gt;"","30 Đã đặt NCC",IF($H372&lt;&gt;"","20 Đã xác nhận","10 Mới")))))))))))</f>
        <v/>
      </c>
      <c r="U372" s="33" t="str">
        <f aca="false">IF($T372="","",IFERROR(VLOOKUP($T372,DS!$A$2:$B$12,2,FALSE()),""))</f>
        <v/>
      </c>
      <c r="V372" s="34" t="str">
        <f aca="true">IF(OR($T372="",LEFT($T372,2)="99",LEFT($T372,2)="95"),"",TODAY()-MAX($E372,$H372:$P372))</f>
        <v/>
      </c>
      <c r="W372" s="34" t="str">
        <f aca="true">IF(AND($E372&lt;&gt;"",$I372="",$R372=""),IF(TODAY()-$E372&gt;1,"⚑",""),"")</f>
        <v/>
      </c>
      <c r="X372" s="34" t="str">
        <f aca="true">IF(AND($J372&lt;&gt;"",$K372="",$R372=""),IF(TODAY()-$J372&gt;2,"⚑",""),"")</f>
        <v/>
      </c>
      <c r="Y372" s="34" t="str">
        <f aca="true">IF(AND($G372&lt;&gt;"",$M372="",$R372=""),IF(AND($G372-TODAY()&lt;=14,$G372&gt;=TODAY()),"⚑",""),"")</f>
        <v/>
      </c>
      <c r="Z372" s="34" t="str">
        <f aca="true">IF(AND($G372&lt;&gt;"",$P372="",$R372=""),IF(TODAY()&gt;$G372,"⚑",""),"")</f>
        <v/>
      </c>
      <c r="AA372" s="34" t="str">
        <f aca="true">IF(AND($E372&lt;&gt;"",$P372="",$R372=""),IF(TODAY()-MAX($E372,$H372,$M372,$S372)&gt;7,"⚑",""),"")</f>
        <v/>
      </c>
      <c r="AB372" s="34" t="str">
        <f aca="false">IF(OR($P372="",$G372=""),"",IF($P372&lt;=$G372,"Có","Không"))</f>
        <v/>
      </c>
      <c r="AC372" s="34" t="str">
        <f aca="false">IF(OR($P372="",$E372=""),"",$P372-$E372)</f>
        <v/>
      </c>
      <c r="AD372" s="35" t="str">
        <f aca="false">IF($A372="","",COUNTIF(CASE!$B$3:$B$202,$A372))</f>
        <v/>
      </c>
      <c r="AE372" s="34" t="str">
        <f aca="false">IF(OR($I372="",$E372=""),"",$I372-$E372)</f>
        <v/>
      </c>
      <c r="AF372" s="34" t="str">
        <f aca="false">IF(OR($K372="",$I372=""),"",$K372-$I372)</f>
        <v/>
      </c>
      <c r="AG372" s="34" t="str">
        <f aca="false">IF(OR($L372="",$K372=""),"",$L372-$K372)</f>
        <v/>
      </c>
      <c r="AH372" s="34" t="str">
        <f aca="false">IF(OR($M372="",$L372=""),"",$M372-$L372)</f>
        <v/>
      </c>
      <c r="AI372" s="34" t="str">
        <f aca="false">IF(OR($P372="",$M372=""),"",$P372-$M372)</f>
        <v/>
      </c>
    </row>
    <row r="373" customFormat="false" ht="15" hidden="false" customHeight="false" outlineLevel="0" collapsed="false">
      <c r="A373" s="29"/>
      <c r="B373" s="29"/>
      <c r="C373" s="29"/>
      <c r="D373" s="30"/>
      <c r="E373" s="31"/>
      <c r="F373" s="32" t="str">
        <f aca="false">IF($E373="","",$E373+7*IFERROR(VLOOKUP($B373,DS!$K$2:$M$4,2,FALSE()),12))</f>
        <v/>
      </c>
      <c r="G373" s="32" t="str">
        <f aca="false">IF($E373="","",$E373+7*IFERROR(VLOOKUP($B373,DS!$K$2:$M$4,3,FALSE()),12))</f>
        <v/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3" t="str">
        <f aca="false">IF($A373="","",IF($R373&lt;&gt;"","95 Hủy/hoàn",IF($Q373&lt;&gt;"","99 Đóng",IF($P373&lt;&gt;"","90 Đã giao",IF($O373&lt;&gt;"","80 Đang giao",IF($N373&lt;&gt;"","70 Thông quan",IF($M373&lt;&gt;"","60 Đã xuất",IF($L373&lt;&gt;"","50 QC đạt",IF($K373&lt;&gt;"","40 NCC đã gửi",IF($I373&lt;&gt;"","30 Đã đặt NCC",IF($H373&lt;&gt;"","20 Đã xác nhận","10 Mới")))))))))))</f>
        <v/>
      </c>
      <c r="U373" s="33" t="str">
        <f aca="false">IF($T373="","",IFERROR(VLOOKUP($T373,DS!$A$2:$B$12,2,FALSE()),""))</f>
        <v/>
      </c>
      <c r="V373" s="34" t="str">
        <f aca="true">IF(OR($T373="",LEFT($T373,2)="99",LEFT($T373,2)="95"),"",TODAY()-MAX($E373,$H373:$P373))</f>
        <v/>
      </c>
      <c r="W373" s="34" t="str">
        <f aca="true">IF(AND($E373&lt;&gt;"",$I373="",$R373=""),IF(TODAY()-$E373&gt;1,"⚑",""),"")</f>
        <v/>
      </c>
      <c r="X373" s="34" t="str">
        <f aca="true">IF(AND($J373&lt;&gt;"",$K373="",$R373=""),IF(TODAY()-$J373&gt;2,"⚑",""),"")</f>
        <v/>
      </c>
      <c r="Y373" s="34" t="str">
        <f aca="true">IF(AND($G373&lt;&gt;"",$M373="",$R373=""),IF(AND($G373-TODAY()&lt;=14,$G373&gt;=TODAY()),"⚑",""),"")</f>
        <v/>
      </c>
      <c r="Z373" s="34" t="str">
        <f aca="true">IF(AND($G373&lt;&gt;"",$P373="",$R373=""),IF(TODAY()&gt;$G373,"⚑",""),"")</f>
        <v/>
      </c>
      <c r="AA373" s="34" t="str">
        <f aca="true">IF(AND($E373&lt;&gt;"",$P373="",$R373=""),IF(TODAY()-MAX($E373,$H373,$M373,$S373)&gt;7,"⚑",""),"")</f>
        <v/>
      </c>
      <c r="AB373" s="34" t="str">
        <f aca="false">IF(OR($P373="",$G373=""),"",IF($P373&lt;=$G373,"Có","Không"))</f>
        <v/>
      </c>
      <c r="AC373" s="34" t="str">
        <f aca="false">IF(OR($P373="",$E373=""),"",$P373-$E373)</f>
        <v/>
      </c>
      <c r="AD373" s="35" t="str">
        <f aca="false">IF($A373="","",COUNTIF(CASE!$B$3:$B$202,$A373))</f>
        <v/>
      </c>
      <c r="AE373" s="34" t="str">
        <f aca="false">IF(OR($I373="",$E373=""),"",$I373-$E373)</f>
        <v/>
      </c>
      <c r="AF373" s="34" t="str">
        <f aca="false">IF(OR($K373="",$I373=""),"",$K373-$I373)</f>
        <v/>
      </c>
      <c r="AG373" s="34" t="str">
        <f aca="false">IF(OR($L373="",$K373=""),"",$L373-$K373)</f>
        <v/>
      </c>
      <c r="AH373" s="34" t="str">
        <f aca="false">IF(OR($M373="",$L373=""),"",$M373-$L373)</f>
        <v/>
      </c>
      <c r="AI373" s="34" t="str">
        <f aca="false">IF(OR($P373="",$M373=""),"",$P373-$M373)</f>
        <v/>
      </c>
    </row>
    <row r="374" customFormat="false" ht="15" hidden="false" customHeight="false" outlineLevel="0" collapsed="false">
      <c r="A374" s="29"/>
      <c r="B374" s="29"/>
      <c r="C374" s="29"/>
      <c r="D374" s="30"/>
      <c r="E374" s="31"/>
      <c r="F374" s="32" t="str">
        <f aca="false">IF($E374="","",$E374+7*IFERROR(VLOOKUP($B374,DS!$K$2:$M$4,2,FALSE()),12))</f>
        <v/>
      </c>
      <c r="G374" s="32" t="str">
        <f aca="false">IF($E374="","",$E374+7*IFERROR(VLOOKUP($B374,DS!$K$2:$M$4,3,FALSE()),12))</f>
        <v/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3" t="str">
        <f aca="false">IF($A374="","",IF($R374&lt;&gt;"","95 Hủy/hoàn",IF($Q374&lt;&gt;"","99 Đóng",IF($P374&lt;&gt;"","90 Đã giao",IF($O374&lt;&gt;"","80 Đang giao",IF($N374&lt;&gt;"","70 Thông quan",IF($M374&lt;&gt;"","60 Đã xuất",IF($L374&lt;&gt;"","50 QC đạt",IF($K374&lt;&gt;"","40 NCC đã gửi",IF($I374&lt;&gt;"","30 Đã đặt NCC",IF($H374&lt;&gt;"","20 Đã xác nhận","10 Mới")))))))))))</f>
        <v/>
      </c>
      <c r="U374" s="33" t="str">
        <f aca="false">IF($T374="","",IFERROR(VLOOKUP($T374,DS!$A$2:$B$12,2,FALSE()),""))</f>
        <v/>
      </c>
      <c r="V374" s="34" t="str">
        <f aca="true">IF(OR($T374="",LEFT($T374,2)="99",LEFT($T374,2)="95"),"",TODAY()-MAX($E374,$H374:$P374))</f>
        <v/>
      </c>
      <c r="W374" s="34" t="str">
        <f aca="true">IF(AND($E374&lt;&gt;"",$I374="",$R374=""),IF(TODAY()-$E374&gt;1,"⚑",""),"")</f>
        <v/>
      </c>
      <c r="X374" s="34" t="str">
        <f aca="true">IF(AND($J374&lt;&gt;"",$K374="",$R374=""),IF(TODAY()-$J374&gt;2,"⚑",""),"")</f>
        <v/>
      </c>
      <c r="Y374" s="34" t="str">
        <f aca="true">IF(AND($G374&lt;&gt;"",$M374="",$R374=""),IF(AND($G374-TODAY()&lt;=14,$G374&gt;=TODAY()),"⚑",""),"")</f>
        <v/>
      </c>
      <c r="Z374" s="34" t="str">
        <f aca="true">IF(AND($G374&lt;&gt;"",$P374="",$R374=""),IF(TODAY()&gt;$G374,"⚑",""),"")</f>
        <v/>
      </c>
      <c r="AA374" s="34" t="str">
        <f aca="true">IF(AND($E374&lt;&gt;"",$P374="",$R374=""),IF(TODAY()-MAX($E374,$H374,$M374,$S374)&gt;7,"⚑",""),"")</f>
        <v/>
      </c>
      <c r="AB374" s="34" t="str">
        <f aca="false">IF(OR($P374="",$G374=""),"",IF($P374&lt;=$G374,"Có","Không"))</f>
        <v/>
      </c>
      <c r="AC374" s="34" t="str">
        <f aca="false">IF(OR($P374="",$E374=""),"",$P374-$E374)</f>
        <v/>
      </c>
      <c r="AD374" s="35" t="str">
        <f aca="false">IF($A374="","",COUNTIF(CASE!$B$3:$B$202,$A374))</f>
        <v/>
      </c>
      <c r="AE374" s="34" t="str">
        <f aca="false">IF(OR($I374="",$E374=""),"",$I374-$E374)</f>
        <v/>
      </c>
      <c r="AF374" s="34" t="str">
        <f aca="false">IF(OR($K374="",$I374=""),"",$K374-$I374)</f>
        <v/>
      </c>
      <c r="AG374" s="34" t="str">
        <f aca="false">IF(OR($L374="",$K374=""),"",$L374-$K374)</f>
        <v/>
      </c>
      <c r="AH374" s="34" t="str">
        <f aca="false">IF(OR($M374="",$L374=""),"",$M374-$L374)</f>
        <v/>
      </c>
      <c r="AI374" s="34" t="str">
        <f aca="false">IF(OR($P374="",$M374=""),"",$P374-$M374)</f>
        <v/>
      </c>
    </row>
    <row r="375" customFormat="false" ht="15" hidden="false" customHeight="false" outlineLevel="0" collapsed="false">
      <c r="A375" s="29"/>
      <c r="B375" s="29"/>
      <c r="C375" s="29"/>
      <c r="D375" s="30"/>
      <c r="E375" s="31"/>
      <c r="F375" s="32" t="str">
        <f aca="false">IF($E375="","",$E375+7*IFERROR(VLOOKUP($B375,DS!$K$2:$M$4,2,FALSE()),12))</f>
        <v/>
      </c>
      <c r="G375" s="32" t="str">
        <f aca="false">IF($E375="","",$E375+7*IFERROR(VLOOKUP($B375,DS!$K$2:$M$4,3,FALSE()),12))</f>
        <v/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3" t="str">
        <f aca="false">IF($A375="","",IF($R375&lt;&gt;"","95 Hủy/hoàn",IF($Q375&lt;&gt;"","99 Đóng",IF($P375&lt;&gt;"","90 Đã giao",IF($O375&lt;&gt;"","80 Đang giao",IF($N375&lt;&gt;"","70 Thông quan",IF($M375&lt;&gt;"","60 Đã xuất",IF($L375&lt;&gt;"","50 QC đạt",IF($K375&lt;&gt;"","40 NCC đã gửi",IF($I375&lt;&gt;"","30 Đã đặt NCC",IF($H375&lt;&gt;"","20 Đã xác nhận","10 Mới")))))))))))</f>
        <v/>
      </c>
      <c r="U375" s="33" t="str">
        <f aca="false">IF($T375="","",IFERROR(VLOOKUP($T375,DS!$A$2:$B$12,2,FALSE()),""))</f>
        <v/>
      </c>
      <c r="V375" s="34" t="str">
        <f aca="true">IF(OR($T375="",LEFT($T375,2)="99",LEFT($T375,2)="95"),"",TODAY()-MAX($E375,$H375:$P375))</f>
        <v/>
      </c>
      <c r="W375" s="34" t="str">
        <f aca="true">IF(AND($E375&lt;&gt;"",$I375="",$R375=""),IF(TODAY()-$E375&gt;1,"⚑",""),"")</f>
        <v/>
      </c>
      <c r="X375" s="34" t="str">
        <f aca="true">IF(AND($J375&lt;&gt;"",$K375="",$R375=""),IF(TODAY()-$J375&gt;2,"⚑",""),"")</f>
        <v/>
      </c>
      <c r="Y375" s="34" t="str">
        <f aca="true">IF(AND($G375&lt;&gt;"",$M375="",$R375=""),IF(AND($G375-TODAY()&lt;=14,$G375&gt;=TODAY()),"⚑",""),"")</f>
        <v/>
      </c>
      <c r="Z375" s="34" t="str">
        <f aca="true">IF(AND($G375&lt;&gt;"",$P375="",$R375=""),IF(TODAY()&gt;$G375,"⚑",""),"")</f>
        <v/>
      </c>
      <c r="AA375" s="34" t="str">
        <f aca="true">IF(AND($E375&lt;&gt;"",$P375="",$R375=""),IF(TODAY()-MAX($E375,$H375,$M375,$S375)&gt;7,"⚑",""),"")</f>
        <v/>
      </c>
      <c r="AB375" s="34" t="str">
        <f aca="false">IF(OR($P375="",$G375=""),"",IF($P375&lt;=$G375,"Có","Không"))</f>
        <v/>
      </c>
      <c r="AC375" s="34" t="str">
        <f aca="false">IF(OR($P375="",$E375=""),"",$P375-$E375)</f>
        <v/>
      </c>
      <c r="AD375" s="35" t="str">
        <f aca="false">IF($A375="","",COUNTIF(CASE!$B$3:$B$202,$A375))</f>
        <v/>
      </c>
      <c r="AE375" s="34" t="str">
        <f aca="false">IF(OR($I375="",$E375=""),"",$I375-$E375)</f>
        <v/>
      </c>
      <c r="AF375" s="34" t="str">
        <f aca="false">IF(OR($K375="",$I375=""),"",$K375-$I375)</f>
        <v/>
      </c>
      <c r="AG375" s="34" t="str">
        <f aca="false">IF(OR($L375="",$K375=""),"",$L375-$K375)</f>
        <v/>
      </c>
      <c r="AH375" s="34" t="str">
        <f aca="false">IF(OR($M375="",$L375=""),"",$M375-$L375)</f>
        <v/>
      </c>
      <c r="AI375" s="34" t="str">
        <f aca="false">IF(OR($P375="",$M375=""),"",$P375-$M375)</f>
        <v/>
      </c>
    </row>
    <row r="376" customFormat="false" ht="15" hidden="false" customHeight="false" outlineLevel="0" collapsed="false">
      <c r="A376" s="29"/>
      <c r="B376" s="29"/>
      <c r="C376" s="29"/>
      <c r="D376" s="30"/>
      <c r="E376" s="31"/>
      <c r="F376" s="32" t="str">
        <f aca="false">IF($E376="","",$E376+7*IFERROR(VLOOKUP($B376,DS!$K$2:$M$4,2,FALSE()),12))</f>
        <v/>
      </c>
      <c r="G376" s="32" t="str">
        <f aca="false">IF($E376="","",$E376+7*IFERROR(VLOOKUP($B376,DS!$K$2:$M$4,3,FALSE()),12))</f>
        <v/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3" t="str">
        <f aca="false">IF($A376="","",IF($R376&lt;&gt;"","95 Hủy/hoàn",IF($Q376&lt;&gt;"","99 Đóng",IF($P376&lt;&gt;"","90 Đã giao",IF($O376&lt;&gt;"","80 Đang giao",IF($N376&lt;&gt;"","70 Thông quan",IF($M376&lt;&gt;"","60 Đã xuất",IF($L376&lt;&gt;"","50 QC đạt",IF($K376&lt;&gt;"","40 NCC đã gửi",IF($I376&lt;&gt;"","30 Đã đặt NCC",IF($H376&lt;&gt;"","20 Đã xác nhận","10 Mới")))))))))))</f>
        <v/>
      </c>
      <c r="U376" s="33" t="str">
        <f aca="false">IF($T376="","",IFERROR(VLOOKUP($T376,DS!$A$2:$B$12,2,FALSE()),""))</f>
        <v/>
      </c>
      <c r="V376" s="34" t="str">
        <f aca="true">IF(OR($T376="",LEFT($T376,2)="99",LEFT($T376,2)="95"),"",TODAY()-MAX($E376,$H376:$P376))</f>
        <v/>
      </c>
      <c r="W376" s="34" t="str">
        <f aca="true">IF(AND($E376&lt;&gt;"",$I376="",$R376=""),IF(TODAY()-$E376&gt;1,"⚑",""),"")</f>
        <v/>
      </c>
      <c r="X376" s="34" t="str">
        <f aca="true">IF(AND($J376&lt;&gt;"",$K376="",$R376=""),IF(TODAY()-$J376&gt;2,"⚑",""),"")</f>
        <v/>
      </c>
      <c r="Y376" s="34" t="str">
        <f aca="true">IF(AND($G376&lt;&gt;"",$M376="",$R376=""),IF(AND($G376-TODAY()&lt;=14,$G376&gt;=TODAY()),"⚑",""),"")</f>
        <v/>
      </c>
      <c r="Z376" s="34" t="str">
        <f aca="true">IF(AND($G376&lt;&gt;"",$P376="",$R376=""),IF(TODAY()&gt;$G376,"⚑",""),"")</f>
        <v/>
      </c>
      <c r="AA376" s="34" t="str">
        <f aca="true">IF(AND($E376&lt;&gt;"",$P376="",$R376=""),IF(TODAY()-MAX($E376,$H376,$M376,$S376)&gt;7,"⚑",""),"")</f>
        <v/>
      </c>
      <c r="AB376" s="34" t="str">
        <f aca="false">IF(OR($P376="",$G376=""),"",IF($P376&lt;=$G376,"Có","Không"))</f>
        <v/>
      </c>
      <c r="AC376" s="34" t="str">
        <f aca="false">IF(OR($P376="",$E376=""),"",$P376-$E376)</f>
        <v/>
      </c>
      <c r="AD376" s="35" t="str">
        <f aca="false">IF($A376="","",COUNTIF(CASE!$B$3:$B$202,$A376))</f>
        <v/>
      </c>
      <c r="AE376" s="34" t="str">
        <f aca="false">IF(OR($I376="",$E376=""),"",$I376-$E376)</f>
        <v/>
      </c>
      <c r="AF376" s="34" t="str">
        <f aca="false">IF(OR($K376="",$I376=""),"",$K376-$I376)</f>
        <v/>
      </c>
      <c r="AG376" s="34" t="str">
        <f aca="false">IF(OR($L376="",$K376=""),"",$L376-$K376)</f>
        <v/>
      </c>
      <c r="AH376" s="34" t="str">
        <f aca="false">IF(OR($M376="",$L376=""),"",$M376-$L376)</f>
        <v/>
      </c>
      <c r="AI376" s="34" t="str">
        <f aca="false">IF(OR($P376="",$M376=""),"",$P376-$M376)</f>
        <v/>
      </c>
    </row>
    <row r="377" customFormat="false" ht="15" hidden="false" customHeight="false" outlineLevel="0" collapsed="false">
      <c r="A377" s="29"/>
      <c r="B377" s="29"/>
      <c r="C377" s="29"/>
      <c r="D377" s="30"/>
      <c r="E377" s="31"/>
      <c r="F377" s="32" t="str">
        <f aca="false">IF($E377="","",$E377+7*IFERROR(VLOOKUP($B377,DS!$K$2:$M$4,2,FALSE()),12))</f>
        <v/>
      </c>
      <c r="G377" s="32" t="str">
        <f aca="false">IF($E377="","",$E377+7*IFERROR(VLOOKUP($B377,DS!$K$2:$M$4,3,FALSE()),12))</f>
        <v/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3" t="str">
        <f aca="false">IF($A377="","",IF($R377&lt;&gt;"","95 Hủy/hoàn",IF($Q377&lt;&gt;"","99 Đóng",IF($P377&lt;&gt;"","90 Đã giao",IF($O377&lt;&gt;"","80 Đang giao",IF($N377&lt;&gt;"","70 Thông quan",IF($M377&lt;&gt;"","60 Đã xuất",IF($L377&lt;&gt;"","50 QC đạt",IF($K377&lt;&gt;"","40 NCC đã gửi",IF($I377&lt;&gt;"","30 Đã đặt NCC",IF($H377&lt;&gt;"","20 Đã xác nhận","10 Mới")))))))))))</f>
        <v/>
      </c>
      <c r="U377" s="33" t="str">
        <f aca="false">IF($T377="","",IFERROR(VLOOKUP($T377,DS!$A$2:$B$12,2,FALSE()),""))</f>
        <v/>
      </c>
      <c r="V377" s="34" t="str">
        <f aca="true">IF(OR($T377="",LEFT($T377,2)="99",LEFT($T377,2)="95"),"",TODAY()-MAX($E377,$H377:$P377))</f>
        <v/>
      </c>
      <c r="W377" s="34" t="str">
        <f aca="true">IF(AND($E377&lt;&gt;"",$I377="",$R377=""),IF(TODAY()-$E377&gt;1,"⚑",""),"")</f>
        <v/>
      </c>
      <c r="X377" s="34" t="str">
        <f aca="true">IF(AND($J377&lt;&gt;"",$K377="",$R377=""),IF(TODAY()-$J377&gt;2,"⚑",""),"")</f>
        <v/>
      </c>
      <c r="Y377" s="34" t="str">
        <f aca="true">IF(AND($G377&lt;&gt;"",$M377="",$R377=""),IF(AND($G377-TODAY()&lt;=14,$G377&gt;=TODAY()),"⚑",""),"")</f>
        <v/>
      </c>
      <c r="Z377" s="34" t="str">
        <f aca="true">IF(AND($G377&lt;&gt;"",$P377="",$R377=""),IF(TODAY()&gt;$G377,"⚑",""),"")</f>
        <v/>
      </c>
      <c r="AA377" s="34" t="str">
        <f aca="true">IF(AND($E377&lt;&gt;"",$P377="",$R377=""),IF(TODAY()-MAX($E377,$H377,$M377,$S377)&gt;7,"⚑",""),"")</f>
        <v/>
      </c>
      <c r="AB377" s="34" t="str">
        <f aca="false">IF(OR($P377="",$G377=""),"",IF($P377&lt;=$G377,"Có","Không"))</f>
        <v/>
      </c>
      <c r="AC377" s="34" t="str">
        <f aca="false">IF(OR($P377="",$E377=""),"",$P377-$E377)</f>
        <v/>
      </c>
      <c r="AD377" s="35" t="str">
        <f aca="false">IF($A377="","",COUNTIF(CASE!$B$3:$B$202,$A377))</f>
        <v/>
      </c>
      <c r="AE377" s="34" t="str">
        <f aca="false">IF(OR($I377="",$E377=""),"",$I377-$E377)</f>
        <v/>
      </c>
      <c r="AF377" s="34" t="str">
        <f aca="false">IF(OR($K377="",$I377=""),"",$K377-$I377)</f>
        <v/>
      </c>
      <c r="AG377" s="34" t="str">
        <f aca="false">IF(OR($L377="",$K377=""),"",$L377-$K377)</f>
        <v/>
      </c>
      <c r="AH377" s="34" t="str">
        <f aca="false">IF(OR($M377="",$L377=""),"",$M377-$L377)</f>
        <v/>
      </c>
      <c r="AI377" s="34" t="str">
        <f aca="false">IF(OR($P377="",$M377=""),"",$P377-$M377)</f>
        <v/>
      </c>
    </row>
    <row r="378" customFormat="false" ht="15" hidden="false" customHeight="false" outlineLevel="0" collapsed="false">
      <c r="A378" s="29"/>
      <c r="B378" s="29"/>
      <c r="C378" s="29"/>
      <c r="D378" s="30"/>
      <c r="E378" s="31"/>
      <c r="F378" s="32" t="str">
        <f aca="false">IF($E378="","",$E378+7*IFERROR(VLOOKUP($B378,DS!$K$2:$M$4,2,FALSE()),12))</f>
        <v/>
      </c>
      <c r="G378" s="32" t="str">
        <f aca="false">IF($E378="","",$E378+7*IFERROR(VLOOKUP($B378,DS!$K$2:$M$4,3,FALSE()),12))</f>
        <v/>
      </c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3" t="str">
        <f aca="false">IF($A378="","",IF($R378&lt;&gt;"","95 Hủy/hoàn",IF($Q378&lt;&gt;"","99 Đóng",IF($P378&lt;&gt;"","90 Đã giao",IF($O378&lt;&gt;"","80 Đang giao",IF($N378&lt;&gt;"","70 Thông quan",IF($M378&lt;&gt;"","60 Đã xuất",IF($L378&lt;&gt;"","50 QC đạt",IF($K378&lt;&gt;"","40 NCC đã gửi",IF($I378&lt;&gt;"","30 Đã đặt NCC",IF($H378&lt;&gt;"","20 Đã xác nhận","10 Mới")))))))))))</f>
        <v/>
      </c>
      <c r="U378" s="33" t="str">
        <f aca="false">IF($T378="","",IFERROR(VLOOKUP($T378,DS!$A$2:$B$12,2,FALSE()),""))</f>
        <v/>
      </c>
      <c r="V378" s="34" t="str">
        <f aca="true">IF(OR($T378="",LEFT($T378,2)="99",LEFT($T378,2)="95"),"",TODAY()-MAX($E378,$H378:$P378))</f>
        <v/>
      </c>
      <c r="W378" s="34" t="str">
        <f aca="true">IF(AND($E378&lt;&gt;"",$I378="",$R378=""),IF(TODAY()-$E378&gt;1,"⚑",""),"")</f>
        <v/>
      </c>
      <c r="X378" s="34" t="str">
        <f aca="true">IF(AND($J378&lt;&gt;"",$K378="",$R378=""),IF(TODAY()-$J378&gt;2,"⚑",""),"")</f>
        <v/>
      </c>
      <c r="Y378" s="34" t="str">
        <f aca="true">IF(AND($G378&lt;&gt;"",$M378="",$R378=""),IF(AND($G378-TODAY()&lt;=14,$G378&gt;=TODAY()),"⚑",""),"")</f>
        <v/>
      </c>
      <c r="Z378" s="34" t="str">
        <f aca="true">IF(AND($G378&lt;&gt;"",$P378="",$R378=""),IF(TODAY()&gt;$G378,"⚑",""),"")</f>
        <v/>
      </c>
      <c r="AA378" s="34" t="str">
        <f aca="true">IF(AND($E378&lt;&gt;"",$P378="",$R378=""),IF(TODAY()-MAX($E378,$H378,$M378,$S378)&gt;7,"⚑",""),"")</f>
        <v/>
      </c>
      <c r="AB378" s="34" t="str">
        <f aca="false">IF(OR($P378="",$G378=""),"",IF($P378&lt;=$G378,"Có","Không"))</f>
        <v/>
      </c>
      <c r="AC378" s="34" t="str">
        <f aca="false">IF(OR($P378="",$E378=""),"",$P378-$E378)</f>
        <v/>
      </c>
      <c r="AD378" s="35" t="str">
        <f aca="false">IF($A378="","",COUNTIF(CASE!$B$3:$B$202,$A378))</f>
        <v/>
      </c>
      <c r="AE378" s="34" t="str">
        <f aca="false">IF(OR($I378="",$E378=""),"",$I378-$E378)</f>
        <v/>
      </c>
      <c r="AF378" s="34" t="str">
        <f aca="false">IF(OR($K378="",$I378=""),"",$K378-$I378)</f>
        <v/>
      </c>
      <c r="AG378" s="34" t="str">
        <f aca="false">IF(OR($L378="",$K378=""),"",$L378-$K378)</f>
        <v/>
      </c>
      <c r="AH378" s="34" t="str">
        <f aca="false">IF(OR($M378="",$L378=""),"",$M378-$L378)</f>
        <v/>
      </c>
      <c r="AI378" s="34" t="str">
        <f aca="false">IF(OR($P378="",$M378=""),"",$P378-$M378)</f>
        <v/>
      </c>
    </row>
    <row r="379" customFormat="false" ht="15" hidden="false" customHeight="false" outlineLevel="0" collapsed="false">
      <c r="A379" s="29"/>
      <c r="B379" s="29"/>
      <c r="C379" s="29"/>
      <c r="D379" s="30"/>
      <c r="E379" s="31"/>
      <c r="F379" s="32" t="str">
        <f aca="false">IF($E379="","",$E379+7*IFERROR(VLOOKUP($B379,DS!$K$2:$M$4,2,FALSE()),12))</f>
        <v/>
      </c>
      <c r="G379" s="32" t="str">
        <f aca="false">IF($E379="","",$E379+7*IFERROR(VLOOKUP($B379,DS!$K$2:$M$4,3,FALSE()),12))</f>
        <v/>
      </c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3" t="str">
        <f aca="false">IF($A379="","",IF($R379&lt;&gt;"","95 Hủy/hoàn",IF($Q379&lt;&gt;"","99 Đóng",IF($P379&lt;&gt;"","90 Đã giao",IF($O379&lt;&gt;"","80 Đang giao",IF($N379&lt;&gt;"","70 Thông quan",IF($M379&lt;&gt;"","60 Đã xuất",IF($L379&lt;&gt;"","50 QC đạt",IF($K379&lt;&gt;"","40 NCC đã gửi",IF($I379&lt;&gt;"","30 Đã đặt NCC",IF($H379&lt;&gt;"","20 Đã xác nhận","10 Mới")))))))))))</f>
        <v/>
      </c>
      <c r="U379" s="33" t="str">
        <f aca="false">IF($T379="","",IFERROR(VLOOKUP($T379,DS!$A$2:$B$12,2,FALSE()),""))</f>
        <v/>
      </c>
      <c r="V379" s="34" t="str">
        <f aca="true">IF(OR($T379="",LEFT($T379,2)="99",LEFT($T379,2)="95"),"",TODAY()-MAX($E379,$H379:$P379))</f>
        <v/>
      </c>
      <c r="W379" s="34" t="str">
        <f aca="true">IF(AND($E379&lt;&gt;"",$I379="",$R379=""),IF(TODAY()-$E379&gt;1,"⚑",""),"")</f>
        <v/>
      </c>
      <c r="X379" s="34" t="str">
        <f aca="true">IF(AND($J379&lt;&gt;"",$K379="",$R379=""),IF(TODAY()-$J379&gt;2,"⚑",""),"")</f>
        <v/>
      </c>
      <c r="Y379" s="34" t="str">
        <f aca="true">IF(AND($G379&lt;&gt;"",$M379="",$R379=""),IF(AND($G379-TODAY()&lt;=14,$G379&gt;=TODAY()),"⚑",""),"")</f>
        <v/>
      </c>
      <c r="Z379" s="34" t="str">
        <f aca="true">IF(AND($G379&lt;&gt;"",$P379="",$R379=""),IF(TODAY()&gt;$G379,"⚑",""),"")</f>
        <v/>
      </c>
      <c r="AA379" s="34" t="str">
        <f aca="true">IF(AND($E379&lt;&gt;"",$P379="",$R379=""),IF(TODAY()-MAX($E379,$H379,$M379,$S379)&gt;7,"⚑",""),"")</f>
        <v/>
      </c>
      <c r="AB379" s="34" t="str">
        <f aca="false">IF(OR($P379="",$G379=""),"",IF($P379&lt;=$G379,"Có","Không"))</f>
        <v/>
      </c>
      <c r="AC379" s="34" t="str">
        <f aca="false">IF(OR($P379="",$E379=""),"",$P379-$E379)</f>
        <v/>
      </c>
      <c r="AD379" s="35" t="str">
        <f aca="false">IF($A379="","",COUNTIF(CASE!$B$3:$B$202,$A379))</f>
        <v/>
      </c>
      <c r="AE379" s="34" t="str">
        <f aca="false">IF(OR($I379="",$E379=""),"",$I379-$E379)</f>
        <v/>
      </c>
      <c r="AF379" s="34" t="str">
        <f aca="false">IF(OR($K379="",$I379=""),"",$K379-$I379)</f>
        <v/>
      </c>
      <c r="AG379" s="34" t="str">
        <f aca="false">IF(OR($L379="",$K379=""),"",$L379-$K379)</f>
        <v/>
      </c>
      <c r="AH379" s="34" t="str">
        <f aca="false">IF(OR($M379="",$L379=""),"",$M379-$L379)</f>
        <v/>
      </c>
      <c r="AI379" s="34" t="str">
        <f aca="false">IF(OR($P379="",$M379=""),"",$P379-$M379)</f>
        <v/>
      </c>
    </row>
    <row r="380" customFormat="false" ht="15" hidden="false" customHeight="false" outlineLevel="0" collapsed="false">
      <c r="A380" s="29"/>
      <c r="B380" s="29"/>
      <c r="C380" s="29"/>
      <c r="D380" s="30"/>
      <c r="E380" s="31"/>
      <c r="F380" s="32" t="str">
        <f aca="false">IF($E380="","",$E380+7*IFERROR(VLOOKUP($B380,DS!$K$2:$M$4,2,FALSE()),12))</f>
        <v/>
      </c>
      <c r="G380" s="32" t="str">
        <f aca="false">IF($E380="","",$E380+7*IFERROR(VLOOKUP($B380,DS!$K$2:$M$4,3,FALSE()),12))</f>
        <v/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3" t="str">
        <f aca="false">IF($A380="","",IF($R380&lt;&gt;"","95 Hủy/hoàn",IF($Q380&lt;&gt;"","99 Đóng",IF($P380&lt;&gt;"","90 Đã giao",IF($O380&lt;&gt;"","80 Đang giao",IF($N380&lt;&gt;"","70 Thông quan",IF($M380&lt;&gt;"","60 Đã xuất",IF($L380&lt;&gt;"","50 QC đạt",IF($K380&lt;&gt;"","40 NCC đã gửi",IF($I380&lt;&gt;"","30 Đã đặt NCC",IF($H380&lt;&gt;"","20 Đã xác nhận","10 Mới")))))))))))</f>
        <v/>
      </c>
      <c r="U380" s="33" t="str">
        <f aca="false">IF($T380="","",IFERROR(VLOOKUP($T380,DS!$A$2:$B$12,2,FALSE()),""))</f>
        <v/>
      </c>
      <c r="V380" s="34" t="str">
        <f aca="true">IF(OR($T380="",LEFT($T380,2)="99",LEFT($T380,2)="95"),"",TODAY()-MAX($E380,$H380:$P380))</f>
        <v/>
      </c>
      <c r="W380" s="34" t="str">
        <f aca="true">IF(AND($E380&lt;&gt;"",$I380="",$R380=""),IF(TODAY()-$E380&gt;1,"⚑",""),"")</f>
        <v/>
      </c>
      <c r="X380" s="34" t="str">
        <f aca="true">IF(AND($J380&lt;&gt;"",$K380="",$R380=""),IF(TODAY()-$J380&gt;2,"⚑",""),"")</f>
        <v/>
      </c>
      <c r="Y380" s="34" t="str">
        <f aca="true">IF(AND($G380&lt;&gt;"",$M380="",$R380=""),IF(AND($G380-TODAY()&lt;=14,$G380&gt;=TODAY()),"⚑",""),"")</f>
        <v/>
      </c>
      <c r="Z380" s="34" t="str">
        <f aca="true">IF(AND($G380&lt;&gt;"",$P380="",$R380=""),IF(TODAY()&gt;$G380,"⚑",""),"")</f>
        <v/>
      </c>
      <c r="AA380" s="34" t="str">
        <f aca="true">IF(AND($E380&lt;&gt;"",$P380="",$R380=""),IF(TODAY()-MAX($E380,$H380,$M380,$S380)&gt;7,"⚑",""),"")</f>
        <v/>
      </c>
      <c r="AB380" s="34" t="str">
        <f aca="false">IF(OR($P380="",$G380=""),"",IF($P380&lt;=$G380,"Có","Không"))</f>
        <v/>
      </c>
      <c r="AC380" s="34" t="str">
        <f aca="false">IF(OR($P380="",$E380=""),"",$P380-$E380)</f>
        <v/>
      </c>
      <c r="AD380" s="35" t="str">
        <f aca="false">IF($A380="","",COUNTIF(CASE!$B$3:$B$202,$A380))</f>
        <v/>
      </c>
      <c r="AE380" s="34" t="str">
        <f aca="false">IF(OR($I380="",$E380=""),"",$I380-$E380)</f>
        <v/>
      </c>
      <c r="AF380" s="34" t="str">
        <f aca="false">IF(OR($K380="",$I380=""),"",$K380-$I380)</f>
        <v/>
      </c>
      <c r="AG380" s="34" t="str">
        <f aca="false">IF(OR($L380="",$K380=""),"",$L380-$K380)</f>
        <v/>
      </c>
      <c r="AH380" s="34" t="str">
        <f aca="false">IF(OR($M380="",$L380=""),"",$M380-$L380)</f>
        <v/>
      </c>
      <c r="AI380" s="34" t="str">
        <f aca="false">IF(OR($P380="",$M380=""),"",$P380-$M380)</f>
        <v/>
      </c>
    </row>
    <row r="381" customFormat="false" ht="15" hidden="false" customHeight="false" outlineLevel="0" collapsed="false">
      <c r="A381" s="29"/>
      <c r="B381" s="29"/>
      <c r="C381" s="29"/>
      <c r="D381" s="30"/>
      <c r="E381" s="31"/>
      <c r="F381" s="32" t="str">
        <f aca="false">IF($E381="","",$E381+7*IFERROR(VLOOKUP($B381,DS!$K$2:$M$4,2,FALSE()),12))</f>
        <v/>
      </c>
      <c r="G381" s="32" t="str">
        <f aca="false">IF($E381="","",$E381+7*IFERROR(VLOOKUP($B381,DS!$K$2:$M$4,3,FALSE()),12))</f>
        <v/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3" t="str">
        <f aca="false">IF($A381="","",IF($R381&lt;&gt;"","95 Hủy/hoàn",IF($Q381&lt;&gt;"","99 Đóng",IF($P381&lt;&gt;"","90 Đã giao",IF($O381&lt;&gt;"","80 Đang giao",IF($N381&lt;&gt;"","70 Thông quan",IF($M381&lt;&gt;"","60 Đã xuất",IF($L381&lt;&gt;"","50 QC đạt",IF($K381&lt;&gt;"","40 NCC đã gửi",IF($I381&lt;&gt;"","30 Đã đặt NCC",IF($H381&lt;&gt;"","20 Đã xác nhận","10 Mới")))))))))))</f>
        <v/>
      </c>
      <c r="U381" s="33" t="str">
        <f aca="false">IF($T381="","",IFERROR(VLOOKUP($T381,DS!$A$2:$B$12,2,FALSE()),""))</f>
        <v/>
      </c>
      <c r="V381" s="34" t="str">
        <f aca="true">IF(OR($T381="",LEFT($T381,2)="99",LEFT($T381,2)="95"),"",TODAY()-MAX($E381,$H381:$P381))</f>
        <v/>
      </c>
      <c r="W381" s="34" t="str">
        <f aca="true">IF(AND($E381&lt;&gt;"",$I381="",$R381=""),IF(TODAY()-$E381&gt;1,"⚑",""),"")</f>
        <v/>
      </c>
      <c r="X381" s="34" t="str">
        <f aca="true">IF(AND($J381&lt;&gt;"",$K381="",$R381=""),IF(TODAY()-$J381&gt;2,"⚑",""),"")</f>
        <v/>
      </c>
      <c r="Y381" s="34" t="str">
        <f aca="true">IF(AND($G381&lt;&gt;"",$M381="",$R381=""),IF(AND($G381-TODAY()&lt;=14,$G381&gt;=TODAY()),"⚑",""),"")</f>
        <v/>
      </c>
      <c r="Z381" s="34" t="str">
        <f aca="true">IF(AND($G381&lt;&gt;"",$P381="",$R381=""),IF(TODAY()&gt;$G381,"⚑",""),"")</f>
        <v/>
      </c>
      <c r="AA381" s="34" t="str">
        <f aca="true">IF(AND($E381&lt;&gt;"",$P381="",$R381=""),IF(TODAY()-MAX($E381,$H381,$M381,$S381)&gt;7,"⚑",""),"")</f>
        <v/>
      </c>
      <c r="AB381" s="34" t="str">
        <f aca="false">IF(OR($P381="",$G381=""),"",IF($P381&lt;=$G381,"Có","Không"))</f>
        <v/>
      </c>
      <c r="AC381" s="34" t="str">
        <f aca="false">IF(OR($P381="",$E381=""),"",$P381-$E381)</f>
        <v/>
      </c>
      <c r="AD381" s="35" t="str">
        <f aca="false">IF($A381="","",COUNTIF(CASE!$B$3:$B$202,$A381))</f>
        <v/>
      </c>
      <c r="AE381" s="34" t="str">
        <f aca="false">IF(OR($I381="",$E381=""),"",$I381-$E381)</f>
        <v/>
      </c>
      <c r="AF381" s="34" t="str">
        <f aca="false">IF(OR($K381="",$I381=""),"",$K381-$I381)</f>
        <v/>
      </c>
      <c r="AG381" s="34" t="str">
        <f aca="false">IF(OR($L381="",$K381=""),"",$L381-$K381)</f>
        <v/>
      </c>
      <c r="AH381" s="34" t="str">
        <f aca="false">IF(OR($M381="",$L381=""),"",$M381-$L381)</f>
        <v/>
      </c>
      <c r="AI381" s="34" t="str">
        <f aca="false">IF(OR($P381="",$M381=""),"",$P381-$M381)</f>
        <v/>
      </c>
    </row>
    <row r="382" customFormat="false" ht="15" hidden="false" customHeight="false" outlineLevel="0" collapsed="false">
      <c r="A382" s="29"/>
      <c r="B382" s="29"/>
      <c r="C382" s="29"/>
      <c r="D382" s="30"/>
      <c r="E382" s="31"/>
      <c r="F382" s="32" t="str">
        <f aca="false">IF($E382="","",$E382+7*IFERROR(VLOOKUP($B382,DS!$K$2:$M$4,2,FALSE()),12))</f>
        <v/>
      </c>
      <c r="G382" s="32" t="str">
        <f aca="false">IF($E382="","",$E382+7*IFERROR(VLOOKUP($B382,DS!$K$2:$M$4,3,FALSE()),12))</f>
        <v/>
      </c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3" t="str">
        <f aca="false">IF($A382="","",IF($R382&lt;&gt;"","95 Hủy/hoàn",IF($Q382&lt;&gt;"","99 Đóng",IF($P382&lt;&gt;"","90 Đã giao",IF($O382&lt;&gt;"","80 Đang giao",IF($N382&lt;&gt;"","70 Thông quan",IF($M382&lt;&gt;"","60 Đã xuất",IF($L382&lt;&gt;"","50 QC đạt",IF($K382&lt;&gt;"","40 NCC đã gửi",IF($I382&lt;&gt;"","30 Đã đặt NCC",IF($H382&lt;&gt;"","20 Đã xác nhận","10 Mới")))))))))))</f>
        <v/>
      </c>
      <c r="U382" s="33" t="str">
        <f aca="false">IF($T382="","",IFERROR(VLOOKUP($T382,DS!$A$2:$B$12,2,FALSE()),""))</f>
        <v/>
      </c>
      <c r="V382" s="34" t="str">
        <f aca="true">IF(OR($T382="",LEFT($T382,2)="99",LEFT($T382,2)="95"),"",TODAY()-MAX($E382,$H382:$P382))</f>
        <v/>
      </c>
      <c r="W382" s="34" t="str">
        <f aca="true">IF(AND($E382&lt;&gt;"",$I382="",$R382=""),IF(TODAY()-$E382&gt;1,"⚑",""),"")</f>
        <v/>
      </c>
      <c r="X382" s="34" t="str">
        <f aca="true">IF(AND($J382&lt;&gt;"",$K382="",$R382=""),IF(TODAY()-$J382&gt;2,"⚑",""),"")</f>
        <v/>
      </c>
      <c r="Y382" s="34" t="str">
        <f aca="true">IF(AND($G382&lt;&gt;"",$M382="",$R382=""),IF(AND($G382-TODAY()&lt;=14,$G382&gt;=TODAY()),"⚑",""),"")</f>
        <v/>
      </c>
      <c r="Z382" s="34" t="str">
        <f aca="true">IF(AND($G382&lt;&gt;"",$P382="",$R382=""),IF(TODAY()&gt;$G382,"⚑",""),"")</f>
        <v/>
      </c>
      <c r="AA382" s="34" t="str">
        <f aca="true">IF(AND($E382&lt;&gt;"",$P382="",$R382=""),IF(TODAY()-MAX($E382,$H382,$M382,$S382)&gt;7,"⚑",""),"")</f>
        <v/>
      </c>
      <c r="AB382" s="34" t="str">
        <f aca="false">IF(OR($P382="",$G382=""),"",IF($P382&lt;=$G382,"Có","Không"))</f>
        <v/>
      </c>
      <c r="AC382" s="34" t="str">
        <f aca="false">IF(OR($P382="",$E382=""),"",$P382-$E382)</f>
        <v/>
      </c>
      <c r="AD382" s="35" t="str">
        <f aca="false">IF($A382="","",COUNTIF(CASE!$B$3:$B$202,$A382))</f>
        <v/>
      </c>
      <c r="AE382" s="34" t="str">
        <f aca="false">IF(OR($I382="",$E382=""),"",$I382-$E382)</f>
        <v/>
      </c>
      <c r="AF382" s="34" t="str">
        <f aca="false">IF(OR($K382="",$I382=""),"",$K382-$I382)</f>
        <v/>
      </c>
      <c r="AG382" s="34" t="str">
        <f aca="false">IF(OR($L382="",$K382=""),"",$L382-$K382)</f>
        <v/>
      </c>
      <c r="AH382" s="34" t="str">
        <f aca="false">IF(OR($M382="",$L382=""),"",$M382-$L382)</f>
        <v/>
      </c>
      <c r="AI382" s="34" t="str">
        <f aca="false">IF(OR($P382="",$M382=""),"",$P382-$M382)</f>
        <v/>
      </c>
    </row>
    <row r="383" customFormat="false" ht="15" hidden="false" customHeight="false" outlineLevel="0" collapsed="false">
      <c r="A383" s="29"/>
      <c r="B383" s="29"/>
      <c r="C383" s="29"/>
      <c r="D383" s="30"/>
      <c r="E383" s="31"/>
      <c r="F383" s="32" t="str">
        <f aca="false">IF($E383="","",$E383+7*IFERROR(VLOOKUP($B383,DS!$K$2:$M$4,2,FALSE()),12))</f>
        <v/>
      </c>
      <c r="G383" s="32" t="str">
        <f aca="false">IF($E383="","",$E383+7*IFERROR(VLOOKUP($B383,DS!$K$2:$M$4,3,FALSE()),12))</f>
        <v/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3" t="str">
        <f aca="false">IF($A383="","",IF($R383&lt;&gt;"","95 Hủy/hoàn",IF($Q383&lt;&gt;"","99 Đóng",IF($P383&lt;&gt;"","90 Đã giao",IF($O383&lt;&gt;"","80 Đang giao",IF($N383&lt;&gt;"","70 Thông quan",IF($M383&lt;&gt;"","60 Đã xuất",IF($L383&lt;&gt;"","50 QC đạt",IF($K383&lt;&gt;"","40 NCC đã gửi",IF($I383&lt;&gt;"","30 Đã đặt NCC",IF($H383&lt;&gt;"","20 Đã xác nhận","10 Mới")))))))))))</f>
        <v/>
      </c>
      <c r="U383" s="33" t="str">
        <f aca="false">IF($T383="","",IFERROR(VLOOKUP($T383,DS!$A$2:$B$12,2,FALSE()),""))</f>
        <v/>
      </c>
      <c r="V383" s="34" t="str">
        <f aca="true">IF(OR($T383="",LEFT($T383,2)="99",LEFT($T383,2)="95"),"",TODAY()-MAX($E383,$H383:$P383))</f>
        <v/>
      </c>
      <c r="W383" s="34" t="str">
        <f aca="true">IF(AND($E383&lt;&gt;"",$I383="",$R383=""),IF(TODAY()-$E383&gt;1,"⚑",""),"")</f>
        <v/>
      </c>
      <c r="X383" s="34" t="str">
        <f aca="true">IF(AND($J383&lt;&gt;"",$K383="",$R383=""),IF(TODAY()-$J383&gt;2,"⚑",""),"")</f>
        <v/>
      </c>
      <c r="Y383" s="34" t="str">
        <f aca="true">IF(AND($G383&lt;&gt;"",$M383="",$R383=""),IF(AND($G383-TODAY()&lt;=14,$G383&gt;=TODAY()),"⚑",""),"")</f>
        <v/>
      </c>
      <c r="Z383" s="34" t="str">
        <f aca="true">IF(AND($G383&lt;&gt;"",$P383="",$R383=""),IF(TODAY()&gt;$G383,"⚑",""),"")</f>
        <v/>
      </c>
      <c r="AA383" s="34" t="str">
        <f aca="true">IF(AND($E383&lt;&gt;"",$P383="",$R383=""),IF(TODAY()-MAX($E383,$H383,$M383,$S383)&gt;7,"⚑",""),"")</f>
        <v/>
      </c>
      <c r="AB383" s="34" t="str">
        <f aca="false">IF(OR($P383="",$G383=""),"",IF($P383&lt;=$G383,"Có","Không"))</f>
        <v/>
      </c>
      <c r="AC383" s="34" t="str">
        <f aca="false">IF(OR($P383="",$E383=""),"",$P383-$E383)</f>
        <v/>
      </c>
      <c r="AD383" s="35" t="str">
        <f aca="false">IF($A383="","",COUNTIF(CASE!$B$3:$B$202,$A383))</f>
        <v/>
      </c>
      <c r="AE383" s="34" t="str">
        <f aca="false">IF(OR($I383="",$E383=""),"",$I383-$E383)</f>
        <v/>
      </c>
      <c r="AF383" s="34" t="str">
        <f aca="false">IF(OR($K383="",$I383=""),"",$K383-$I383)</f>
        <v/>
      </c>
      <c r="AG383" s="34" t="str">
        <f aca="false">IF(OR($L383="",$K383=""),"",$L383-$K383)</f>
        <v/>
      </c>
      <c r="AH383" s="34" t="str">
        <f aca="false">IF(OR($M383="",$L383=""),"",$M383-$L383)</f>
        <v/>
      </c>
      <c r="AI383" s="34" t="str">
        <f aca="false">IF(OR($P383="",$M383=""),"",$P383-$M383)</f>
        <v/>
      </c>
    </row>
    <row r="384" customFormat="false" ht="15" hidden="false" customHeight="false" outlineLevel="0" collapsed="false">
      <c r="A384" s="29"/>
      <c r="B384" s="29"/>
      <c r="C384" s="29"/>
      <c r="D384" s="30"/>
      <c r="E384" s="31"/>
      <c r="F384" s="32" t="str">
        <f aca="false">IF($E384="","",$E384+7*IFERROR(VLOOKUP($B384,DS!$K$2:$M$4,2,FALSE()),12))</f>
        <v/>
      </c>
      <c r="G384" s="32" t="str">
        <f aca="false">IF($E384="","",$E384+7*IFERROR(VLOOKUP($B384,DS!$K$2:$M$4,3,FALSE()),12))</f>
        <v/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3" t="str">
        <f aca="false">IF($A384="","",IF($R384&lt;&gt;"","95 Hủy/hoàn",IF($Q384&lt;&gt;"","99 Đóng",IF($P384&lt;&gt;"","90 Đã giao",IF($O384&lt;&gt;"","80 Đang giao",IF($N384&lt;&gt;"","70 Thông quan",IF($M384&lt;&gt;"","60 Đã xuất",IF($L384&lt;&gt;"","50 QC đạt",IF($K384&lt;&gt;"","40 NCC đã gửi",IF($I384&lt;&gt;"","30 Đã đặt NCC",IF($H384&lt;&gt;"","20 Đã xác nhận","10 Mới")))))))))))</f>
        <v/>
      </c>
      <c r="U384" s="33" t="str">
        <f aca="false">IF($T384="","",IFERROR(VLOOKUP($T384,DS!$A$2:$B$12,2,FALSE()),""))</f>
        <v/>
      </c>
      <c r="V384" s="34" t="str">
        <f aca="true">IF(OR($T384="",LEFT($T384,2)="99",LEFT($T384,2)="95"),"",TODAY()-MAX($E384,$H384:$P384))</f>
        <v/>
      </c>
      <c r="W384" s="34" t="str">
        <f aca="true">IF(AND($E384&lt;&gt;"",$I384="",$R384=""),IF(TODAY()-$E384&gt;1,"⚑",""),"")</f>
        <v/>
      </c>
      <c r="X384" s="34" t="str">
        <f aca="true">IF(AND($J384&lt;&gt;"",$K384="",$R384=""),IF(TODAY()-$J384&gt;2,"⚑",""),"")</f>
        <v/>
      </c>
      <c r="Y384" s="34" t="str">
        <f aca="true">IF(AND($G384&lt;&gt;"",$M384="",$R384=""),IF(AND($G384-TODAY()&lt;=14,$G384&gt;=TODAY()),"⚑",""),"")</f>
        <v/>
      </c>
      <c r="Z384" s="34" t="str">
        <f aca="true">IF(AND($G384&lt;&gt;"",$P384="",$R384=""),IF(TODAY()&gt;$G384,"⚑",""),"")</f>
        <v/>
      </c>
      <c r="AA384" s="34" t="str">
        <f aca="true">IF(AND($E384&lt;&gt;"",$P384="",$R384=""),IF(TODAY()-MAX($E384,$H384,$M384,$S384)&gt;7,"⚑",""),"")</f>
        <v/>
      </c>
      <c r="AB384" s="34" t="str">
        <f aca="false">IF(OR($P384="",$G384=""),"",IF($P384&lt;=$G384,"Có","Không"))</f>
        <v/>
      </c>
      <c r="AC384" s="34" t="str">
        <f aca="false">IF(OR($P384="",$E384=""),"",$P384-$E384)</f>
        <v/>
      </c>
      <c r="AD384" s="35" t="str">
        <f aca="false">IF($A384="","",COUNTIF(CASE!$B$3:$B$202,$A384))</f>
        <v/>
      </c>
      <c r="AE384" s="34" t="str">
        <f aca="false">IF(OR($I384="",$E384=""),"",$I384-$E384)</f>
        <v/>
      </c>
      <c r="AF384" s="34" t="str">
        <f aca="false">IF(OR($K384="",$I384=""),"",$K384-$I384)</f>
        <v/>
      </c>
      <c r="AG384" s="34" t="str">
        <f aca="false">IF(OR($L384="",$K384=""),"",$L384-$K384)</f>
        <v/>
      </c>
      <c r="AH384" s="34" t="str">
        <f aca="false">IF(OR($M384="",$L384=""),"",$M384-$L384)</f>
        <v/>
      </c>
      <c r="AI384" s="34" t="str">
        <f aca="false">IF(OR($P384="",$M384=""),"",$P384-$M384)</f>
        <v/>
      </c>
    </row>
    <row r="385" customFormat="false" ht="15" hidden="false" customHeight="false" outlineLevel="0" collapsed="false">
      <c r="A385" s="29"/>
      <c r="B385" s="29"/>
      <c r="C385" s="29"/>
      <c r="D385" s="30"/>
      <c r="E385" s="31"/>
      <c r="F385" s="32" t="str">
        <f aca="false">IF($E385="","",$E385+7*IFERROR(VLOOKUP($B385,DS!$K$2:$M$4,2,FALSE()),12))</f>
        <v/>
      </c>
      <c r="G385" s="32" t="str">
        <f aca="false">IF($E385="","",$E385+7*IFERROR(VLOOKUP($B385,DS!$K$2:$M$4,3,FALSE()),12))</f>
        <v/>
      </c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3" t="str">
        <f aca="false">IF($A385="","",IF($R385&lt;&gt;"","95 Hủy/hoàn",IF($Q385&lt;&gt;"","99 Đóng",IF($P385&lt;&gt;"","90 Đã giao",IF($O385&lt;&gt;"","80 Đang giao",IF($N385&lt;&gt;"","70 Thông quan",IF($M385&lt;&gt;"","60 Đã xuất",IF($L385&lt;&gt;"","50 QC đạt",IF($K385&lt;&gt;"","40 NCC đã gửi",IF($I385&lt;&gt;"","30 Đã đặt NCC",IF($H385&lt;&gt;"","20 Đã xác nhận","10 Mới")))))))))))</f>
        <v/>
      </c>
      <c r="U385" s="33" t="str">
        <f aca="false">IF($T385="","",IFERROR(VLOOKUP($T385,DS!$A$2:$B$12,2,FALSE()),""))</f>
        <v/>
      </c>
      <c r="V385" s="34" t="str">
        <f aca="true">IF(OR($T385="",LEFT($T385,2)="99",LEFT($T385,2)="95"),"",TODAY()-MAX($E385,$H385:$P385))</f>
        <v/>
      </c>
      <c r="W385" s="34" t="str">
        <f aca="true">IF(AND($E385&lt;&gt;"",$I385="",$R385=""),IF(TODAY()-$E385&gt;1,"⚑",""),"")</f>
        <v/>
      </c>
      <c r="X385" s="34" t="str">
        <f aca="true">IF(AND($J385&lt;&gt;"",$K385="",$R385=""),IF(TODAY()-$J385&gt;2,"⚑",""),"")</f>
        <v/>
      </c>
      <c r="Y385" s="34" t="str">
        <f aca="true">IF(AND($G385&lt;&gt;"",$M385="",$R385=""),IF(AND($G385-TODAY()&lt;=14,$G385&gt;=TODAY()),"⚑",""),"")</f>
        <v/>
      </c>
      <c r="Z385" s="34" t="str">
        <f aca="true">IF(AND($G385&lt;&gt;"",$P385="",$R385=""),IF(TODAY()&gt;$G385,"⚑",""),"")</f>
        <v/>
      </c>
      <c r="AA385" s="34" t="str">
        <f aca="true">IF(AND($E385&lt;&gt;"",$P385="",$R385=""),IF(TODAY()-MAX($E385,$H385,$M385,$S385)&gt;7,"⚑",""),"")</f>
        <v/>
      </c>
      <c r="AB385" s="34" t="str">
        <f aca="false">IF(OR($P385="",$G385=""),"",IF($P385&lt;=$G385,"Có","Không"))</f>
        <v/>
      </c>
      <c r="AC385" s="34" t="str">
        <f aca="false">IF(OR($P385="",$E385=""),"",$P385-$E385)</f>
        <v/>
      </c>
      <c r="AD385" s="35" t="str">
        <f aca="false">IF($A385="","",COUNTIF(CASE!$B$3:$B$202,$A385))</f>
        <v/>
      </c>
      <c r="AE385" s="34" t="str">
        <f aca="false">IF(OR($I385="",$E385=""),"",$I385-$E385)</f>
        <v/>
      </c>
      <c r="AF385" s="34" t="str">
        <f aca="false">IF(OR($K385="",$I385=""),"",$K385-$I385)</f>
        <v/>
      </c>
      <c r="AG385" s="34" t="str">
        <f aca="false">IF(OR($L385="",$K385=""),"",$L385-$K385)</f>
        <v/>
      </c>
      <c r="AH385" s="34" t="str">
        <f aca="false">IF(OR($M385="",$L385=""),"",$M385-$L385)</f>
        <v/>
      </c>
      <c r="AI385" s="34" t="str">
        <f aca="false">IF(OR($P385="",$M385=""),"",$P385-$M385)</f>
        <v/>
      </c>
    </row>
    <row r="386" customFormat="false" ht="15" hidden="false" customHeight="false" outlineLevel="0" collapsed="false">
      <c r="A386" s="29"/>
      <c r="B386" s="29"/>
      <c r="C386" s="29"/>
      <c r="D386" s="30"/>
      <c r="E386" s="31"/>
      <c r="F386" s="32" t="str">
        <f aca="false">IF($E386="","",$E386+7*IFERROR(VLOOKUP($B386,DS!$K$2:$M$4,2,FALSE()),12))</f>
        <v/>
      </c>
      <c r="G386" s="32" t="str">
        <f aca="false">IF($E386="","",$E386+7*IFERROR(VLOOKUP($B386,DS!$K$2:$M$4,3,FALSE()),12))</f>
        <v/>
      </c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3" t="str">
        <f aca="false">IF($A386="","",IF($R386&lt;&gt;"","95 Hủy/hoàn",IF($Q386&lt;&gt;"","99 Đóng",IF($P386&lt;&gt;"","90 Đã giao",IF($O386&lt;&gt;"","80 Đang giao",IF($N386&lt;&gt;"","70 Thông quan",IF($M386&lt;&gt;"","60 Đã xuất",IF($L386&lt;&gt;"","50 QC đạt",IF($K386&lt;&gt;"","40 NCC đã gửi",IF($I386&lt;&gt;"","30 Đã đặt NCC",IF($H386&lt;&gt;"","20 Đã xác nhận","10 Mới")))))))))))</f>
        <v/>
      </c>
      <c r="U386" s="33" t="str">
        <f aca="false">IF($T386="","",IFERROR(VLOOKUP($T386,DS!$A$2:$B$12,2,FALSE()),""))</f>
        <v/>
      </c>
      <c r="V386" s="34" t="str">
        <f aca="true">IF(OR($T386="",LEFT($T386,2)="99",LEFT($T386,2)="95"),"",TODAY()-MAX($E386,$H386:$P386))</f>
        <v/>
      </c>
      <c r="W386" s="34" t="str">
        <f aca="true">IF(AND($E386&lt;&gt;"",$I386="",$R386=""),IF(TODAY()-$E386&gt;1,"⚑",""),"")</f>
        <v/>
      </c>
      <c r="X386" s="34" t="str">
        <f aca="true">IF(AND($J386&lt;&gt;"",$K386="",$R386=""),IF(TODAY()-$J386&gt;2,"⚑",""),"")</f>
        <v/>
      </c>
      <c r="Y386" s="34" t="str">
        <f aca="true">IF(AND($G386&lt;&gt;"",$M386="",$R386=""),IF(AND($G386-TODAY()&lt;=14,$G386&gt;=TODAY()),"⚑",""),"")</f>
        <v/>
      </c>
      <c r="Z386" s="34" t="str">
        <f aca="true">IF(AND($G386&lt;&gt;"",$P386="",$R386=""),IF(TODAY()&gt;$G386,"⚑",""),"")</f>
        <v/>
      </c>
      <c r="AA386" s="34" t="str">
        <f aca="true">IF(AND($E386&lt;&gt;"",$P386="",$R386=""),IF(TODAY()-MAX($E386,$H386,$M386,$S386)&gt;7,"⚑",""),"")</f>
        <v/>
      </c>
      <c r="AB386" s="34" t="str">
        <f aca="false">IF(OR($P386="",$G386=""),"",IF($P386&lt;=$G386,"Có","Không"))</f>
        <v/>
      </c>
      <c r="AC386" s="34" t="str">
        <f aca="false">IF(OR($P386="",$E386=""),"",$P386-$E386)</f>
        <v/>
      </c>
      <c r="AD386" s="35" t="str">
        <f aca="false">IF($A386="","",COUNTIF(CASE!$B$3:$B$202,$A386))</f>
        <v/>
      </c>
      <c r="AE386" s="34" t="str">
        <f aca="false">IF(OR($I386="",$E386=""),"",$I386-$E386)</f>
        <v/>
      </c>
      <c r="AF386" s="34" t="str">
        <f aca="false">IF(OR($K386="",$I386=""),"",$K386-$I386)</f>
        <v/>
      </c>
      <c r="AG386" s="34" t="str">
        <f aca="false">IF(OR($L386="",$K386=""),"",$L386-$K386)</f>
        <v/>
      </c>
      <c r="AH386" s="34" t="str">
        <f aca="false">IF(OR($M386="",$L386=""),"",$M386-$L386)</f>
        <v/>
      </c>
      <c r="AI386" s="34" t="str">
        <f aca="false">IF(OR($P386="",$M386=""),"",$P386-$M386)</f>
        <v/>
      </c>
    </row>
    <row r="387" customFormat="false" ht="15" hidden="false" customHeight="false" outlineLevel="0" collapsed="false">
      <c r="A387" s="29"/>
      <c r="B387" s="29"/>
      <c r="C387" s="29"/>
      <c r="D387" s="30"/>
      <c r="E387" s="31"/>
      <c r="F387" s="32" t="str">
        <f aca="false">IF($E387="","",$E387+7*IFERROR(VLOOKUP($B387,DS!$K$2:$M$4,2,FALSE()),12))</f>
        <v/>
      </c>
      <c r="G387" s="32" t="str">
        <f aca="false">IF($E387="","",$E387+7*IFERROR(VLOOKUP($B387,DS!$K$2:$M$4,3,FALSE()),12))</f>
        <v/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3" t="str">
        <f aca="false">IF($A387="","",IF($R387&lt;&gt;"","95 Hủy/hoàn",IF($Q387&lt;&gt;"","99 Đóng",IF($P387&lt;&gt;"","90 Đã giao",IF($O387&lt;&gt;"","80 Đang giao",IF($N387&lt;&gt;"","70 Thông quan",IF($M387&lt;&gt;"","60 Đã xuất",IF($L387&lt;&gt;"","50 QC đạt",IF($K387&lt;&gt;"","40 NCC đã gửi",IF($I387&lt;&gt;"","30 Đã đặt NCC",IF($H387&lt;&gt;"","20 Đã xác nhận","10 Mới")))))))))))</f>
        <v/>
      </c>
      <c r="U387" s="33" t="str">
        <f aca="false">IF($T387="","",IFERROR(VLOOKUP($T387,DS!$A$2:$B$12,2,FALSE()),""))</f>
        <v/>
      </c>
      <c r="V387" s="34" t="str">
        <f aca="true">IF(OR($T387="",LEFT($T387,2)="99",LEFT($T387,2)="95"),"",TODAY()-MAX($E387,$H387:$P387))</f>
        <v/>
      </c>
      <c r="W387" s="34" t="str">
        <f aca="true">IF(AND($E387&lt;&gt;"",$I387="",$R387=""),IF(TODAY()-$E387&gt;1,"⚑",""),"")</f>
        <v/>
      </c>
      <c r="X387" s="34" t="str">
        <f aca="true">IF(AND($J387&lt;&gt;"",$K387="",$R387=""),IF(TODAY()-$J387&gt;2,"⚑",""),"")</f>
        <v/>
      </c>
      <c r="Y387" s="34" t="str">
        <f aca="true">IF(AND($G387&lt;&gt;"",$M387="",$R387=""),IF(AND($G387-TODAY()&lt;=14,$G387&gt;=TODAY()),"⚑",""),"")</f>
        <v/>
      </c>
      <c r="Z387" s="34" t="str">
        <f aca="true">IF(AND($G387&lt;&gt;"",$P387="",$R387=""),IF(TODAY()&gt;$G387,"⚑",""),"")</f>
        <v/>
      </c>
      <c r="AA387" s="34" t="str">
        <f aca="true">IF(AND($E387&lt;&gt;"",$P387="",$R387=""),IF(TODAY()-MAX($E387,$H387,$M387,$S387)&gt;7,"⚑",""),"")</f>
        <v/>
      </c>
      <c r="AB387" s="34" t="str">
        <f aca="false">IF(OR($P387="",$G387=""),"",IF($P387&lt;=$G387,"Có","Không"))</f>
        <v/>
      </c>
      <c r="AC387" s="34" t="str">
        <f aca="false">IF(OR($P387="",$E387=""),"",$P387-$E387)</f>
        <v/>
      </c>
      <c r="AD387" s="35" t="str">
        <f aca="false">IF($A387="","",COUNTIF(CASE!$B$3:$B$202,$A387))</f>
        <v/>
      </c>
      <c r="AE387" s="34" t="str">
        <f aca="false">IF(OR($I387="",$E387=""),"",$I387-$E387)</f>
        <v/>
      </c>
      <c r="AF387" s="34" t="str">
        <f aca="false">IF(OR($K387="",$I387=""),"",$K387-$I387)</f>
        <v/>
      </c>
      <c r="AG387" s="34" t="str">
        <f aca="false">IF(OR($L387="",$K387=""),"",$L387-$K387)</f>
        <v/>
      </c>
      <c r="AH387" s="34" t="str">
        <f aca="false">IF(OR($M387="",$L387=""),"",$M387-$L387)</f>
        <v/>
      </c>
      <c r="AI387" s="34" t="str">
        <f aca="false">IF(OR($P387="",$M387=""),"",$P387-$M387)</f>
        <v/>
      </c>
    </row>
    <row r="388" customFormat="false" ht="15" hidden="false" customHeight="false" outlineLevel="0" collapsed="false">
      <c r="A388" s="29"/>
      <c r="B388" s="29"/>
      <c r="C388" s="29"/>
      <c r="D388" s="30"/>
      <c r="E388" s="31"/>
      <c r="F388" s="32" t="str">
        <f aca="false">IF($E388="","",$E388+7*IFERROR(VLOOKUP($B388,DS!$K$2:$M$4,2,FALSE()),12))</f>
        <v/>
      </c>
      <c r="G388" s="32" t="str">
        <f aca="false">IF($E388="","",$E388+7*IFERROR(VLOOKUP($B388,DS!$K$2:$M$4,3,FALSE()),12))</f>
        <v/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3" t="str">
        <f aca="false">IF($A388="","",IF($R388&lt;&gt;"","95 Hủy/hoàn",IF($Q388&lt;&gt;"","99 Đóng",IF($P388&lt;&gt;"","90 Đã giao",IF($O388&lt;&gt;"","80 Đang giao",IF($N388&lt;&gt;"","70 Thông quan",IF($M388&lt;&gt;"","60 Đã xuất",IF($L388&lt;&gt;"","50 QC đạt",IF($K388&lt;&gt;"","40 NCC đã gửi",IF($I388&lt;&gt;"","30 Đã đặt NCC",IF($H388&lt;&gt;"","20 Đã xác nhận","10 Mới")))))))))))</f>
        <v/>
      </c>
      <c r="U388" s="33" t="str">
        <f aca="false">IF($T388="","",IFERROR(VLOOKUP($T388,DS!$A$2:$B$12,2,FALSE()),""))</f>
        <v/>
      </c>
      <c r="V388" s="34" t="str">
        <f aca="true">IF(OR($T388="",LEFT($T388,2)="99",LEFT($T388,2)="95"),"",TODAY()-MAX($E388,$H388:$P388))</f>
        <v/>
      </c>
      <c r="W388" s="34" t="str">
        <f aca="true">IF(AND($E388&lt;&gt;"",$I388="",$R388=""),IF(TODAY()-$E388&gt;1,"⚑",""),"")</f>
        <v/>
      </c>
      <c r="X388" s="34" t="str">
        <f aca="true">IF(AND($J388&lt;&gt;"",$K388="",$R388=""),IF(TODAY()-$J388&gt;2,"⚑",""),"")</f>
        <v/>
      </c>
      <c r="Y388" s="34" t="str">
        <f aca="true">IF(AND($G388&lt;&gt;"",$M388="",$R388=""),IF(AND($G388-TODAY()&lt;=14,$G388&gt;=TODAY()),"⚑",""),"")</f>
        <v/>
      </c>
      <c r="Z388" s="34" t="str">
        <f aca="true">IF(AND($G388&lt;&gt;"",$P388="",$R388=""),IF(TODAY()&gt;$G388,"⚑",""),"")</f>
        <v/>
      </c>
      <c r="AA388" s="34" t="str">
        <f aca="true">IF(AND($E388&lt;&gt;"",$P388="",$R388=""),IF(TODAY()-MAX($E388,$H388,$M388,$S388)&gt;7,"⚑",""),"")</f>
        <v/>
      </c>
      <c r="AB388" s="34" t="str">
        <f aca="false">IF(OR($P388="",$G388=""),"",IF($P388&lt;=$G388,"Có","Không"))</f>
        <v/>
      </c>
      <c r="AC388" s="34" t="str">
        <f aca="false">IF(OR($P388="",$E388=""),"",$P388-$E388)</f>
        <v/>
      </c>
      <c r="AD388" s="35" t="str">
        <f aca="false">IF($A388="","",COUNTIF(CASE!$B$3:$B$202,$A388))</f>
        <v/>
      </c>
      <c r="AE388" s="34" t="str">
        <f aca="false">IF(OR($I388="",$E388=""),"",$I388-$E388)</f>
        <v/>
      </c>
      <c r="AF388" s="34" t="str">
        <f aca="false">IF(OR($K388="",$I388=""),"",$K388-$I388)</f>
        <v/>
      </c>
      <c r="AG388" s="34" t="str">
        <f aca="false">IF(OR($L388="",$K388=""),"",$L388-$K388)</f>
        <v/>
      </c>
      <c r="AH388" s="34" t="str">
        <f aca="false">IF(OR($M388="",$L388=""),"",$M388-$L388)</f>
        <v/>
      </c>
      <c r="AI388" s="34" t="str">
        <f aca="false">IF(OR($P388="",$M388=""),"",$P388-$M388)</f>
        <v/>
      </c>
    </row>
    <row r="389" customFormat="false" ht="15" hidden="false" customHeight="false" outlineLevel="0" collapsed="false">
      <c r="A389" s="29"/>
      <c r="B389" s="29"/>
      <c r="C389" s="29"/>
      <c r="D389" s="30"/>
      <c r="E389" s="31"/>
      <c r="F389" s="32" t="str">
        <f aca="false">IF($E389="","",$E389+7*IFERROR(VLOOKUP($B389,DS!$K$2:$M$4,2,FALSE()),12))</f>
        <v/>
      </c>
      <c r="G389" s="32" t="str">
        <f aca="false">IF($E389="","",$E389+7*IFERROR(VLOOKUP($B389,DS!$K$2:$M$4,3,FALSE()),12))</f>
        <v/>
      </c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3" t="str">
        <f aca="false">IF($A389="","",IF($R389&lt;&gt;"","95 Hủy/hoàn",IF($Q389&lt;&gt;"","99 Đóng",IF($P389&lt;&gt;"","90 Đã giao",IF($O389&lt;&gt;"","80 Đang giao",IF($N389&lt;&gt;"","70 Thông quan",IF($M389&lt;&gt;"","60 Đã xuất",IF($L389&lt;&gt;"","50 QC đạt",IF($K389&lt;&gt;"","40 NCC đã gửi",IF($I389&lt;&gt;"","30 Đã đặt NCC",IF($H389&lt;&gt;"","20 Đã xác nhận","10 Mới")))))))))))</f>
        <v/>
      </c>
      <c r="U389" s="33" t="str">
        <f aca="false">IF($T389="","",IFERROR(VLOOKUP($T389,DS!$A$2:$B$12,2,FALSE()),""))</f>
        <v/>
      </c>
      <c r="V389" s="34" t="str">
        <f aca="true">IF(OR($T389="",LEFT($T389,2)="99",LEFT($T389,2)="95"),"",TODAY()-MAX($E389,$H389:$P389))</f>
        <v/>
      </c>
      <c r="W389" s="34" t="str">
        <f aca="true">IF(AND($E389&lt;&gt;"",$I389="",$R389=""),IF(TODAY()-$E389&gt;1,"⚑",""),"")</f>
        <v/>
      </c>
      <c r="X389" s="34" t="str">
        <f aca="true">IF(AND($J389&lt;&gt;"",$K389="",$R389=""),IF(TODAY()-$J389&gt;2,"⚑",""),"")</f>
        <v/>
      </c>
      <c r="Y389" s="34" t="str">
        <f aca="true">IF(AND($G389&lt;&gt;"",$M389="",$R389=""),IF(AND($G389-TODAY()&lt;=14,$G389&gt;=TODAY()),"⚑",""),"")</f>
        <v/>
      </c>
      <c r="Z389" s="34" t="str">
        <f aca="true">IF(AND($G389&lt;&gt;"",$P389="",$R389=""),IF(TODAY()&gt;$G389,"⚑",""),"")</f>
        <v/>
      </c>
      <c r="AA389" s="34" t="str">
        <f aca="true">IF(AND($E389&lt;&gt;"",$P389="",$R389=""),IF(TODAY()-MAX($E389,$H389,$M389,$S389)&gt;7,"⚑",""),"")</f>
        <v/>
      </c>
      <c r="AB389" s="34" t="str">
        <f aca="false">IF(OR($P389="",$G389=""),"",IF($P389&lt;=$G389,"Có","Không"))</f>
        <v/>
      </c>
      <c r="AC389" s="34" t="str">
        <f aca="false">IF(OR($P389="",$E389=""),"",$P389-$E389)</f>
        <v/>
      </c>
      <c r="AD389" s="35" t="str">
        <f aca="false">IF($A389="","",COUNTIF(CASE!$B$3:$B$202,$A389))</f>
        <v/>
      </c>
      <c r="AE389" s="34" t="str">
        <f aca="false">IF(OR($I389="",$E389=""),"",$I389-$E389)</f>
        <v/>
      </c>
      <c r="AF389" s="34" t="str">
        <f aca="false">IF(OR($K389="",$I389=""),"",$K389-$I389)</f>
        <v/>
      </c>
      <c r="AG389" s="34" t="str">
        <f aca="false">IF(OR($L389="",$K389=""),"",$L389-$K389)</f>
        <v/>
      </c>
      <c r="AH389" s="34" t="str">
        <f aca="false">IF(OR($M389="",$L389=""),"",$M389-$L389)</f>
        <v/>
      </c>
      <c r="AI389" s="34" t="str">
        <f aca="false">IF(OR($P389="",$M389=""),"",$P389-$M389)</f>
        <v/>
      </c>
    </row>
    <row r="390" customFormat="false" ht="15" hidden="false" customHeight="false" outlineLevel="0" collapsed="false">
      <c r="A390" s="29"/>
      <c r="B390" s="29"/>
      <c r="C390" s="29"/>
      <c r="D390" s="30"/>
      <c r="E390" s="31"/>
      <c r="F390" s="32" t="str">
        <f aca="false">IF($E390="","",$E390+7*IFERROR(VLOOKUP($B390,DS!$K$2:$M$4,2,FALSE()),12))</f>
        <v/>
      </c>
      <c r="G390" s="32" t="str">
        <f aca="false">IF($E390="","",$E390+7*IFERROR(VLOOKUP($B390,DS!$K$2:$M$4,3,FALSE()),12))</f>
        <v/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3" t="str">
        <f aca="false">IF($A390="","",IF($R390&lt;&gt;"","95 Hủy/hoàn",IF($Q390&lt;&gt;"","99 Đóng",IF($P390&lt;&gt;"","90 Đã giao",IF($O390&lt;&gt;"","80 Đang giao",IF($N390&lt;&gt;"","70 Thông quan",IF($M390&lt;&gt;"","60 Đã xuất",IF($L390&lt;&gt;"","50 QC đạt",IF($K390&lt;&gt;"","40 NCC đã gửi",IF($I390&lt;&gt;"","30 Đã đặt NCC",IF($H390&lt;&gt;"","20 Đã xác nhận","10 Mới")))))))))))</f>
        <v/>
      </c>
      <c r="U390" s="33" t="str">
        <f aca="false">IF($T390="","",IFERROR(VLOOKUP($T390,DS!$A$2:$B$12,2,FALSE()),""))</f>
        <v/>
      </c>
      <c r="V390" s="34" t="str">
        <f aca="true">IF(OR($T390="",LEFT($T390,2)="99",LEFT($T390,2)="95"),"",TODAY()-MAX($E390,$H390:$P390))</f>
        <v/>
      </c>
      <c r="W390" s="34" t="str">
        <f aca="true">IF(AND($E390&lt;&gt;"",$I390="",$R390=""),IF(TODAY()-$E390&gt;1,"⚑",""),"")</f>
        <v/>
      </c>
      <c r="X390" s="34" t="str">
        <f aca="true">IF(AND($J390&lt;&gt;"",$K390="",$R390=""),IF(TODAY()-$J390&gt;2,"⚑",""),"")</f>
        <v/>
      </c>
      <c r="Y390" s="34" t="str">
        <f aca="true">IF(AND($G390&lt;&gt;"",$M390="",$R390=""),IF(AND($G390-TODAY()&lt;=14,$G390&gt;=TODAY()),"⚑",""),"")</f>
        <v/>
      </c>
      <c r="Z390" s="34" t="str">
        <f aca="true">IF(AND($G390&lt;&gt;"",$P390="",$R390=""),IF(TODAY()&gt;$G390,"⚑",""),"")</f>
        <v/>
      </c>
      <c r="AA390" s="34" t="str">
        <f aca="true">IF(AND($E390&lt;&gt;"",$P390="",$R390=""),IF(TODAY()-MAX($E390,$H390,$M390,$S390)&gt;7,"⚑",""),"")</f>
        <v/>
      </c>
      <c r="AB390" s="34" t="str">
        <f aca="false">IF(OR($P390="",$G390=""),"",IF($P390&lt;=$G390,"Có","Không"))</f>
        <v/>
      </c>
      <c r="AC390" s="34" t="str">
        <f aca="false">IF(OR($P390="",$E390=""),"",$P390-$E390)</f>
        <v/>
      </c>
      <c r="AD390" s="35" t="str">
        <f aca="false">IF($A390="","",COUNTIF(CASE!$B$3:$B$202,$A390))</f>
        <v/>
      </c>
      <c r="AE390" s="34" t="str">
        <f aca="false">IF(OR($I390="",$E390=""),"",$I390-$E390)</f>
        <v/>
      </c>
      <c r="AF390" s="34" t="str">
        <f aca="false">IF(OR($K390="",$I390=""),"",$K390-$I390)</f>
        <v/>
      </c>
      <c r="AG390" s="34" t="str">
        <f aca="false">IF(OR($L390="",$K390=""),"",$L390-$K390)</f>
        <v/>
      </c>
      <c r="AH390" s="34" t="str">
        <f aca="false">IF(OR($M390="",$L390=""),"",$M390-$L390)</f>
        <v/>
      </c>
      <c r="AI390" s="34" t="str">
        <f aca="false">IF(OR($P390="",$M390=""),"",$P390-$M390)</f>
        <v/>
      </c>
    </row>
    <row r="391" customFormat="false" ht="15" hidden="false" customHeight="false" outlineLevel="0" collapsed="false">
      <c r="A391" s="29"/>
      <c r="B391" s="29"/>
      <c r="C391" s="29"/>
      <c r="D391" s="30"/>
      <c r="E391" s="31"/>
      <c r="F391" s="32" t="str">
        <f aca="false">IF($E391="","",$E391+7*IFERROR(VLOOKUP($B391,DS!$K$2:$M$4,2,FALSE()),12))</f>
        <v/>
      </c>
      <c r="G391" s="32" t="str">
        <f aca="false">IF($E391="","",$E391+7*IFERROR(VLOOKUP($B391,DS!$K$2:$M$4,3,FALSE()),12))</f>
        <v/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3" t="str">
        <f aca="false">IF($A391="","",IF($R391&lt;&gt;"","95 Hủy/hoàn",IF($Q391&lt;&gt;"","99 Đóng",IF($P391&lt;&gt;"","90 Đã giao",IF($O391&lt;&gt;"","80 Đang giao",IF($N391&lt;&gt;"","70 Thông quan",IF($M391&lt;&gt;"","60 Đã xuất",IF($L391&lt;&gt;"","50 QC đạt",IF($K391&lt;&gt;"","40 NCC đã gửi",IF($I391&lt;&gt;"","30 Đã đặt NCC",IF($H391&lt;&gt;"","20 Đã xác nhận","10 Mới")))))))))))</f>
        <v/>
      </c>
      <c r="U391" s="33" t="str">
        <f aca="false">IF($T391="","",IFERROR(VLOOKUP($T391,DS!$A$2:$B$12,2,FALSE()),""))</f>
        <v/>
      </c>
      <c r="V391" s="34" t="str">
        <f aca="true">IF(OR($T391="",LEFT($T391,2)="99",LEFT($T391,2)="95"),"",TODAY()-MAX($E391,$H391:$P391))</f>
        <v/>
      </c>
      <c r="W391" s="34" t="str">
        <f aca="true">IF(AND($E391&lt;&gt;"",$I391="",$R391=""),IF(TODAY()-$E391&gt;1,"⚑",""),"")</f>
        <v/>
      </c>
      <c r="X391" s="34" t="str">
        <f aca="true">IF(AND($J391&lt;&gt;"",$K391="",$R391=""),IF(TODAY()-$J391&gt;2,"⚑",""),"")</f>
        <v/>
      </c>
      <c r="Y391" s="34" t="str">
        <f aca="true">IF(AND($G391&lt;&gt;"",$M391="",$R391=""),IF(AND($G391-TODAY()&lt;=14,$G391&gt;=TODAY()),"⚑",""),"")</f>
        <v/>
      </c>
      <c r="Z391" s="34" t="str">
        <f aca="true">IF(AND($G391&lt;&gt;"",$P391="",$R391=""),IF(TODAY()&gt;$G391,"⚑",""),"")</f>
        <v/>
      </c>
      <c r="AA391" s="34" t="str">
        <f aca="true">IF(AND($E391&lt;&gt;"",$P391="",$R391=""),IF(TODAY()-MAX($E391,$H391,$M391,$S391)&gt;7,"⚑",""),"")</f>
        <v/>
      </c>
      <c r="AB391" s="34" t="str">
        <f aca="false">IF(OR($P391="",$G391=""),"",IF($P391&lt;=$G391,"Có","Không"))</f>
        <v/>
      </c>
      <c r="AC391" s="34" t="str">
        <f aca="false">IF(OR($P391="",$E391=""),"",$P391-$E391)</f>
        <v/>
      </c>
      <c r="AD391" s="35" t="str">
        <f aca="false">IF($A391="","",COUNTIF(CASE!$B$3:$B$202,$A391))</f>
        <v/>
      </c>
      <c r="AE391" s="34" t="str">
        <f aca="false">IF(OR($I391="",$E391=""),"",$I391-$E391)</f>
        <v/>
      </c>
      <c r="AF391" s="34" t="str">
        <f aca="false">IF(OR($K391="",$I391=""),"",$K391-$I391)</f>
        <v/>
      </c>
      <c r="AG391" s="34" t="str">
        <f aca="false">IF(OR($L391="",$K391=""),"",$L391-$K391)</f>
        <v/>
      </c>
      <c r="AH391" s="34" t="str">
        <f aca="false">IF(OR($M391="",$L391=""),"",$M391-$L391)</f>
        <v/>
      </c>
      <c r="AI391" s="34" t="str">
        <f aca="false">IF(OR($P391="",$M391=""),"",$P391-$M391)</f>
        <v/>
      </c>
    </row>
    <row r="392" customFormat="false" ht="15" hidden="false" customHeight="false" outlineLevel="0" collapsed="false">
      <c r="A392" s="29"/>
      <c r="B392" s="29"/>
      <c r="C392" s="29"/>
      <c r="D392" s="30"/>
      <c r="E392" s="31"/>
      <c r="F392" s="32" t="str">
        <f aca="false">IF($E392="","",$E392+7*IFERROR(VLOOKUP($B392,DS!$K$2:$M$4,2,FALSE()),12))</f>
        <v/>
      </c>
      <c r="G392" s="32" t="str">
        <f aca="false">IF($E392="","",$E392+7*IFERROR(VLOOKUP($B392,DS!$K$2:$M$4,3,FALSE()),12))</f>
        <v/>
      </c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3" t="str">
        <f aca="false">IF($A392="","",IF($R392&lt;&gt;"","95 Hủy/hoàn",IF($Q392&lt;&gt;"","99 Đóng",IF($P392&lt;&gt;"","90 Đã giao",IF($O392&lt;&gt;"","80 Đang giao",IF($N392&lt;&gt;"","70 Thông quan",IF($M392&lt;&gt;"","60 Đã xuất",IF($L392&lt;&gt;"","50 QC đạt",IF($K392&lt;&gt;"","40 NCC đã gửi",IF($I392&lt;&gt;"","30 Đã đặt NCC",IF($H392&lt;&gt;"","20 Đã xác nhận","10 Mới")))))))))))</f>
        <v/>
      </c>
      <c r="U392" s="33" t="str">
        <f aca="false">IF($T392="","",IFERROR(VLOOKUP($T392,DS!$A$2:$B$12,2,FALSE()),""))</f>
        <v/>
      </c>
      <c r="V392" s="34" t="str">
        <f aca="true">IF(OR($T392="",LEFT($T392,2)="99",LEFT($T392,2)="95"),"",TODAY()-MAX($E392,$H392:$P392))</f>
        <v/>
      </c>
      <c r="W392" s="34" t="str">
        <f aca="true">IF(AND($E392&lt;&gt;"",$I392="",$R392=""),IF(TODAY()-$E392&gt;1,"⚑",""),"")</f>
        <v/>
      </c>
      <c r="X392" s="34" t="str">
        <f aca="true">IF(AND($J392&lt;&gt;"",$K392="",$R392=""),IF(TODAY()-$J392&gt;2,"⚑",""),"")</f>
        <v/>
      </c>
      <c r="Y392" s="34" t="str">
        <f aca="true">IF(AND($G392&lt;&gt;"",$M392="",$R392=""),IF(AND($G392-TODAY()&lt;=14,$G392&gt;=TODAY()),"⚑",""),"")</f>
        <v/>
      </c>
      <c r="Z392" s="34" t="str">
        <f aca="true">IF(AND($G392&lt;&gt;"",$P392="",$R392=""),IF(TODAY()&gt;$G392,"⚑",""),"")</f>
        <v/>
      </c>
      <c r="AA392" s="34" t="str">
        <f aca="true">IF(AND($E392&lt;&gt;"",$P392="",$R392=""),IF(TODAY()-MAX($E392,$H392,$M392,$S392)&gt;7,"⚑",""),"")</f>
        <v/>
      </c>
      <c r="AB392" s="34" t="str">
        <f aca="false">IF(OR($P392="",$G392=""),"",IF($P392&lt;=$G392,"Có","Không"))</f>
        <v/>
      </c>
      <c r="AC392" s="34" t="str">
        <f aca="false">IF(OR($P392="",$E392=""),"",$P392-$E392)</f>
        <v/>
      </c>
      <c r="AD392" s="35" t="str">
        <f aca="false">IF($A392="","",COUNTIF(CASE!$B$3:$B$202,$A392))</f>
        <v/>
      </c>
      <c r="AE392" s="34" t="str">
        <f aca="false">IF(OR($I392="",$E392=""),"",$I392-$E392)</f>
        <v/>
      </c>
      <c r="AF392" s="34" t="str">
        <f aca="false">IF(OR($K392="",$I392=""),"",$K392-$I392)</f>
        <v/>
      </c>
      <c r="AG392" s="34" t="str">
        <f aca="false">IF(OR($L392="",$K392=""),"",$L392-$K392)</f>
        <v/>
      </c>
      <c r="AH392" s="34" t="str">
        <f aca="false">IF(OR($M392="",$L392=""),"",$M392-$L392)</f>
        <v/>
      </c>
      <c r="AI392" s="34" t="str">
        <f aca="false">IF(OR($P392="",$M392=""),"",$P392-$M392)</f>
        <v/>
      </c>
    </row>
    <row r="393" customFormat="false" ht="15" hidden="false" customHeight="false" outlineLevel="0" collapsed="false">
      <c r="A393" s="29"/>
      <c r="B393" s="29"/>
      <c r="C393" s="29"/>
      <c r="D393" s="30"/>
      <c r="E393" s="31"/>
      <c r="F393" s="32" t="str">
        <f aca="false">IF($E393="","",$E393+7*IFERROR(VLOOKUP($B393,DS!$K$2:$M$4,2,FALSE()),12))</f>
        <v/>
      </c>
      <c r="G393" s="32" t="str">
        <f aca="false">IF($E393="","",$E393+7*IFERROR(VLOOKUP($B393,DS!$K$2:$M$4,3,FALSE()),12))</f>
        <v/>
      </c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3" t="str">
        <f aca="false">IF($A393="","",IF($R393&lt;&gt;"","95 Hủy/hoàn",IF($Q393&lt;&gt;"","99 Đóng",IF($P393&lt;&gt;"","90 Đã giao",IF($O393&lt;&gt;"","80 Đang giao",IF($N393&lt;&gt;"","70 Thông quan",IF($M393&lt;&gt;"","60 Đã xuất",IF($L393&lt;&gt;"","50 QC đạt",IF($K393&lt;&gt;"","40 NCC đã gửi",IF($I393&lt;&gt;"","30 Đã đặt NCC",IF($H393&lt;&gt;"","20 Đã xác nhận","10 Mới")))))))))))</f>
        <v/>
      </c>
      <c r="U393" s="33" t="str">
        <f aca="false">IF($T393="","",IFERROR(VLOOKUP($T393,DS!$A$2:$B$12,2,FALSE()),""))</f>
        <v/>
      </c>
      <c r="V393" s="34" t="str">
        <f aca="true">IF(OR($T393="",LEFT($T393,2)="99",LEFT($T393,2)="95"),"",TODAY()-MAX($E393,$H393:$P393))</f>
        <v/>
      </c>
      <c r="W393" s="34" t="str">
        <f aca="true">IF(AND($E393&lt;&gt;"",$I393="",$R393=""),IF(TODAY()-$E393&gt;1,"⚑",""),"")</f>
        <v/>
      </c>
      <c r="X393" s="34" t="str">
        <f aca="true">IF(AND($J393&lt;&gt;"",$K393="",$R393=""),IF(TODAY()-$J393&gt;2,"⚑",""),"")</f>
        <v/>
      </c>
      <c r="Y393" s="34" t="str">
        <f aca="true">IF(AND($G393&lt;&gt;"",$M393="",$R393=""),IF(AND($G393-TODAY()&lt;=14,$G393&gt;=TODAY()),"⚑",""),"")</f>
        <v/>
      </c>
      <c r="Z393" s="34" t="str">
        <f aca="true">IF(AND($G393&lt;&gt;"",$P393="",$R393=""),IF(TODAY()&gt;$G393,"⚑",""),"")</f>
        <v/>
      </c>
      <c r="AA393" s="34" t="str">
        <f aca="true">IF(AND($E393&lt;&gt;"",$P393="",$R393=""),IF(TODAY()-MAX($E393,$H393,$M393,$S393)&gt;7,"⚑",""),"")</f>
        <v/>
      </c>
      <c r="AB393" s="34" t="str">
        <f aca="false">IF(OR($P393="",$G393=""),"",IF($P393&lt;=$G393,"Có","Không"))</f>
        <v/>
      </c>
      <c r="AC393" s="34" t="str">
        <f aca="false">IF(OR($P393="",$E393=""),"",$P393-$E393)</f>
        <v/>
      </c>
      <c r="AD393" s="35" t="str">
        <f aca="false">IF($A393="","",COUNTIF(CASE!$B$3:$B$202,$A393))</f>
        <v/>
      </c>
      <c r="AE393" s="34" t="str">
        <f aca="false">IF(OR($I393="",$E393=""),"",$I393-$E393)</f>
        <v/>
      </c>
      <c r="AF393" s="34" t="str">
        <f aca="false">IF(OR($K393="",$I393=""),"",$K393-$I393)</f>
        <v/>
      </c>
      <c r="AG393" s="34" t="str">
        <f aca="false">IF(OR($L393="",$K393=""),"",$L393-$K393)</f>
        <v/>
      </c>
      <c r="AH393" s="34" t="str">
        <f aca="false">IF(OR($M393="",$L393=""),"",$M393-$L393)</f>
        <v/>
      </c>
      <c r="AI393" s="34" t="str">
        <f aca="false">IF(OR($P393="",$M393=""),"",$P393-$M393)</f>
        <v/>
      </c>
    </row>
    <row r="394" customFormat="false" ht="15" hidden="false" customHeight="false" outlineLevel="0" collapsed="false">
      <c r="A394" s="29"/>
      <c r="B394" s="29"/>
      <c r="C394" s="29"/>
      <c r="D394" s="30"/>
      <c r="E394" s="31"/>
      <c r="F394" s="32" t="str">
        <f aca="false">IF($E394="","",$E394+7*IFERROR(VLOOKUP($B394,DS!$K$2:$M$4,2,FALSE()),12))</f>
        <v/>
      </c>
      <c r="G394" s="32" t="str">
        <f aca="false">IF($E394="","",$E394+7*IFERROR(VLOOKUP($B394,DS!$K$2:$M$4,3,FALSE()),12))</f>
        <v/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3" t="str">
        <f aca="false">IF($A394="","",IF($R394&lt;&gt;"","95 Hủy/hoàn",IF($Q394&lt;&gt;"","99 Đóng",IF($P394&lt;&gt;"","90 Đã giao",IF($O394&lt;&gt;"","80 Đang giao",IF($N394&lt;&gt;"","70 Thông quan",IF($M394&lt;&gt;"","60 Đã xuất",IF($L394&lt;&gt;"","50 QC đạt",IF($K394&lt;&gt;"","40 NCC đã gửi",IF($I394&lt;&gt;"","30 Đã đặt NCC",IF($H394&lt;&gt;"","20 Đã xác nhận","10 Mới")))))))))))</f>
        <v/>
      </c>
      <c r="U394" s="33" t="str">
        <f aca="false">IF($T394="","",IFERROR(VLOOKUP($T394,DS!$A$2:$B$12,2,FALSE()),""))</f>
        <v/>
      </c>
      <c r="V394" s="34" t="str">
        <f aca="true">IF(OR($T394="",LEFT($T394,2)="99",LEFT($T394,2)="95"),"",TODAY()-MAX($E394,$H394:$P394))</f>
        <v/>
      </c>
      <c r="W394" s="34" t="str">
        <f aca="true">IF(AND($E394&lt;&gt;"",$I394="",$R394=""),IF(TODAY()-$E394&gt;1,"⚑",""),"")</f>
        <v/>
      </c>
      <c r="X394" s="34" t="str">
        <f aca="true">IF(AND($J394&lt;&gt;"",$K394="",$R394=""),IF(TODAY()-$J394&gt;2,"⚑",""),"")</f>
        <v/>
      </c>
      <c r="Y394" s="34" t="str">
        <f aca="true">IF(AND($G394&lt;&gt;"",$M394="",$R394=""),IF(AND($G394-TODAY()&lt;=14,$G394&gt;=TODAY()),"⚑",""),"")</f>
        <v/>
      </c>
      <c r="Z394" s="34" t="str">
        <f aca="true">IF(AND($G394&lt;&gt;"",$P394="",$R394=""),IF(TODAY()&gt;$G394,"⚑",""),"")</f>
        <v/>
      </c>
      <c r="AA394" s="34" t="str">
        <f aca="true">IF(AND($E394&lt;&gt;"",$P394="",$R394=""),IF(TODAY()-MAX($E394,$H394,$M394,$S394)&gt;7,"⚑",""),"")</f>
        <v/>
      </c>
      <c r="AB394" s="34" t="str">
        <f aca="false">IF(OR($P394="",$G394=""),"",IF($P394&lt;=$G394,"Có","Không"))</f>
        <v/>
      </c>
      <c r="AC394" s="34" t="str">
        <f aca="false">IF(OR($P394="",$E394=""),"",$P394-$E394)</f>
        <v/>
      </c>
      <c r="AD394" s="35" t="str">
        <f aca="false">IF($A394="","",COUNTIF(CASE!$B$3:$B$202,$A394))</f>
        <v/>
      </c>
      <c r="AE394" s="34" t="str">
        <f aca="false">IF(OR($I394="",$E394=""),"",$I394-$E394)</f>
        <v/>
      </c>
      <c r="AF394" s="34" t="str">
        <f aca="false">IF(OR($K394="",$I394=""),"",$K394-$I394)</f>
        <v/>
      </c>
      <c r="AG394" s="34" t="str">
        <f aca="false">IF(OR($L394="",$K394=""),"",$L394-$K394)</f>
        <v/>
      </c>
      <c r="AH394" s="34" t="str">
        <f aca="false">IF(OR($M394="",$L394=""),"",$M394-$L394)</f>
        <v/>
      </c>
      <c r="AI394" s="34" t="str">
        <f aca="false">IF(OR($P394="",$M394=""),"",$P394-$M394)</f>
        <v/>
      </c>
    </row>
    <row r="395" customFormat="false" ht="15" hidden="false" customHeight="false" outlineLevel="0" collapsed="false">
      <c r="A395" s="29"/>
      <c r="B395" s="29"/>
      <c r="C395" s="29"/>
      <c r="D395" s="30"/>
      <c r="E395" s="31"/>
      <c r="F395" s="32" t="str">
        <f aca="false">IF($E395="","",$E395+7*IFERROR(VLOOKUP($B395,DS!$K$2:$M$4,2,FALSE()),12))</f>
        <v/>
      </c>
      <c r="G395" s="32" t="str">
        <f aca="false">IF($E395="","",$E395+7*IFERROR(VLOOKUP($B395,DS!$K$2:$M$4,3,FALSE()),12))</f>
        <v/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3" t="str">
        <f aca="false">IF($A395="","",IF($R395&lt;&gt;"","95 Hủy/hoàn",IF($Q395&lt;&gt;"","99 Đóng",IF($P395&lt;&gt;"","90 Đã giao",IF($O395&lt;&gt;"","80 Đang giao",IF($N395&lt;&gt;"","70 Thông quan",IF($M395&lt;&gt;"","60 Đã xuất",IF($L395&lt;&gt;"","50 QC đạt",IF($K395&lt;&gt;"","40 NCC đã gửi",IF($I395&lt;&gt;"","30 Đã đặt NCC",IF($H395&lt;&gt;"","20 Đã xác nhận","10 Mới")))))))))))</f>
        <v/>
      </c>
      <c r="U395" s="33" t="str">
        <f aca="false">IF($T395="","",IFERROR(VLOOKUP($T395,DS!$A$2:$B$12,2,FALSE()),""))</f>
        <v/>
      </c>
      <c r="V395" s="34" t="str">
        <f aca="true">IF(OR($T395="",LEFT($T395,2)="99",LEFT($T395,2)="95"),"",TODAY()-MAX($E395,$H395:$P395))</f>
        <v/>
      </c>
      <c r="W395" s="34" t="str">
        <f aca="true">IF(AND($E395&lt;&gt;"",$I395="",$R395=""),IF(TODAY()-$E395&gt;1,"⚑",""),"")</f>
        <v/>
      </c>
      <c r="X395" s="34" t="str">
        <f aca="true">IF(AND($J395&lt;&gt;"",$K395="",$R395=""),IF(TODAY()-$J395&gt;2,"⚑",""),"")</f>
        <v/>
      </c>
      <c r="Y395" s="34" t="str">
        <f aca="true">IF(AND($G395&lt;&gt;"",$M395="",$R395=""),IF(AND($G395-TODAY()&lt;=14,$G395&gt;=TODAY()),"⚑",""),"")</f>
        <v/>
      </c>
      <c r="Z395" s="34" t="str">
        <f aca="true">IF(AND($G395&lt;&gt;"",$P395="",$R395=""),IF(TODAY()&gt;$G395,"⚑",""),"")</f>
        <v/>
      </c>
      <c r="AA395" s="34" t="str">
        <f aca="true">IF(AND($E395&lt;&gt;"",$P395="",$R395=""),IF(TODAY()-MAX($E395,$H395,$M395,$S395)&gt;7,"⚑",""),"")</f>
        <v/>
      </c>
      <c r="AB395" s="34" t="str">
        <f aca="false">IF(OR($P395="",$G395=""),"",IF($P395&lt;=$G395,"Có","Không"))</f>
        <v/>
      </c>
      <c r="AC395" s="34" t="str">
        <f aca="false">IF(OR($P395="",$E395=""),"",$P395-$E395)</f>
        <v/>
      </c>
      <c r="AD395" s="35" t="str">
        <f aca="false">IF($A395="","",COUNTIF(CASE!$B$3:$B$202,$A395))</f>
        <v/>
      </c>
      <c r="AE395" s="34" t="str">
        <f aca="false">IF(OR($I395="",$E395=""),"",$I395-$E395)</f>
        <v/>
      </c>
      <c r="AF395" s="34" t="str">
        <f aca="false">IF(OR($K395="",$I395=""),"",$K395-$I395)</f>
        <v/>
      </c>
      <c r="AG395" s="34" t="str">
        <f aca="false">IF(OR($L395="",$K395=""),"",$L395-$K395)</f>
        <v/>
      </c>
      <c r="AH395" s="34" t="str">
        <f aca="false">IF(OR($M395="",$L395=""),"",$M395-$L395)</f>
        <v/>
      </c>
      <c r="AI395" s="34" t="str">
        <f aca="false">IF(OR($P395="",$M395=""),"",$P395-$M395)</f>
        <v/>
      </c>
    </row>
    <row r="396" customFormat="false" ht="15" hidden="false" customHeight="false" outlineLevel="0" collapsed="false">
      <c r="A396" s="29"/>
      <c r="B396" s="29"/>
      <c r="C396" s="29"/>
      <c r="D396" s="30"/>
      <c r="E396" s="31"/>
      <c r="F396" s="32" t="str">
        <f aca="false">IF($E396="","",$E396+7*IFERROR(VLOOKUP($B396,DS!$K$2:$M$4,2,FALSE()),12))</f>
        <v/>
      </c>
      <c r="G396" s="32" t="str">
        <f aca="false">IF($E396="","",$E396+7*IFERROR(VLOOKUP($B396,DS!$K$2:$M$4,3,FALSE()),12))</f>
        <v/>
      </c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3" t="str">
        <f aca="false">IF($A396="","",IF($R396&lt;&gt;"","95 Hủy/hoàn",IF($Q396&lt;&gt;"","99 Đóng",IF($P396&lt;&gt;"","90 Đã giao",IF($O396&lt;&gt;"","80 Đang giao",IF($N396&lt;&gt;"","70 Thông quan",IF($M396&lt;&gt;"","60 Đã xuất",IF($L396&lt;&gt;"","50 QC đạt",IF($K396&lt;&gt;"","40 NCC đã gửi",IF($I396&lt;&gt;"","30 Đã đặt NCC",IF($H396&lt;&gt;"","20 Đã xác nhận","10 Mới")))))))))))</f>
        <v/>
      </c>
      <c r="U396" s="33" t="str">
        <f aca="false">IF($T396="","",IFERROR(VLOOKUP($T396,DS!$A$2:$B$12,2,FALSE()),""))</f>
        <v/>
      </c>
      <c r="V396" s="34" t="str">
        <f aca="true">IF(OR($T396="",LEFT($T396,2)="99",LEFT($T396,2)="95"),"",TODAY()-MAX($E396,$H396:$P396))</f>
        <v/>
      </c>
      <c r="W396" s="34" t="str">
        <f aca="true">IF(AND($E396&lt;&gt;"",$I396="",$R396=""),IF(TODAY()-$E396&gt;1,"⚑",""),"")</f>
        <v/>
      </c>
      <c r="X396" s="34" t="str">
        <f aca="true">IF(AND($J396&lt;&gt;"",$K396="",$R396=""),IF(TODAY()-$J396&gt;2,"⚑",""),"")</f>
        <v/>
      </c>
      <c r="Y396" s="34" t="str">
        <f aca="true">IF(AND($G396&lt;&gt;"",$M396="",$R396=""),IF(AND($G396-TODAY()&lt;=14,$G396&gt;=TODAY()),"⚑",""),"")</f>
        <v/>
      </c>
      <c r="Z396" s="34" t="str">
        <f aca="true">IF(AND($G396&lt;&gt;"",$P396="",$R396=""),IF(TODAY()&gt;$G396,"⚑",""),"")</f>
        <v/>
      </c>
      <c r="AA396" s="34" t="str">
        <f aca="true">IF(AND($E396&lt;&gt;"",$P396="",$R396=""),IF(TODAY()-MAX($E396,$H396,$M396,$S396)&gt;7,"⚑",""),"")</f>
        <v/>
      </c>
      <c r="AB396" s="34" t="str">
        <f aca="false">IF(OR($P396="",$G396=""),"",IF($P396&lt;=$G396,"Có","Không"))</f>
        <v/>
      </c>
      <c r="AC396" s="34" t="str">
        <f aca="false">IF(OR($P396="",$E396=""),"",$P396-$E396)</f>
        <v/>
      </c>
      <c r="AD396" s="35" t="str">
        <f aca="false">IF($A396="","",COUNTIF(CASE!$B$3:$B$202,$A396))</f>
        <v/>
      </c>
      <c r="AE396" s="34" t="str">
        <f aca="false">IF(OR($I396="",$E396=""),"",$I396-$E396)</f>
        <v/>
      </c>
      <c r="AF396" s="34" t="str">
        <f aca="false">IF(OR($K396="",$I396=""),"",$K396-$I396)</f>
        <v/>
      </c>
      <c r="AG396" s="34" t="str">
        <f aca="false">IF(OR($L396="",$K396=""),"",$L396-$K396)</f>
        <v/>
      </c>
      <c r="AH396" s="34" t="str">
        <f aca="false">IF(OR($M396="",$L396=""),"",$M396-$L396)</f>
        <v/>
      </c>
      <c r="AI396" s="34" t="str">
        <f aca="false">IF(OR($P396="",$M396=""),"",$P396-$M396)</f>
        <v/>
      </c>
    </row>
    <row r="397" customFormat="false" ht="15" hidden="false" customHeight="false" outlineLevel="0" collapsed="false">
      <c r="A397" s="29"/>
      <c r="B397" s="29"/>
      <c r="C397" s="29"/>
      <c r="D397" s="30"/>
      <c r="E397" s="31"/>
      <c r="F397" s="32" t="str">
        <f aca="false">IF($E397="","",$E397+7*IFERROR(VLOOKUP($B397,DS!$K$2:$M$4,2,FALSE()),12))</f>
        <v/>
      </c>
      <c r="G397" s="32" t="str">
        <f aca="false">IF($E397="","",$E397+7*IFERROR(VLOOKUP($B397,DS!$K$2:$M$4,3,FALSE()),12))</f>
        <v/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3" t="str">
        <f aca="false">IF($A397="","",IF($R397&lt;&gt;"","95 Hủy/hoàn",IF($Q397&lt;&gt;"","99 Đóng",IF($P397&lt;&gt;"","90 Đã giao",IF($O397&lt;&gt;"","80 Đang giao",IF($N397&lt;&gt;"","70 Thông quan",IF($M397&lt;&gt;"","60 Đã xuất",IF($L397&lt;&gt;"","50 QC đạt",IF($K397&lt;&gt;"","40 NCC đã gửi",IF($I397&lt;&gt;"","30 Đã đặt NCC",IF($H397&lt;&gt;"","20 Đã xác nhận","10 Mới")))))))))))</f>
        <v/>
      </c>
      <c r="U397" s="33" t="str">
        <f aca="false">IF($T397="","",IFERROR(VLOOKUP($T397,DS!$A$2:$B$12,2,FALSE()),""))</f>
        <v/>
      </c>
      <c r="V397" s="34" t="str">
        <f aca="true">IF(OR($T397="",LEFT($T397,2)="99",LEFT($T397,2)="95"),"",TODAY()-MAX($E397,$H397:$P397))</f>
        <v/>
      </c>
      <c r="W397" s="34" t="str">
        <f aca="true">IF(AND($E397&lt;&gt;"",$I397="",$R397=""),IF(TODAY()-$E397&gt;1,"⚑",""),"")</f>
        <v/>
      </c>
      <c r="X397" s="34" t="str">
        <f aca="true">IF(AND($J397&lt;&gt;"",$K397="",$R397=""),IF(TODAY()-$J397&gt;2,"⚑",""),"")</f>
        <v/>
      </c>
      <c r="Y397" s="34" t="str">
        <f aca="true">IF(AND($G397&lt;&gt;"",$M397="",$R397=""),IF(AND($G397-TODAY()&lt;=14,$G397&gt;=TODAY()),"⚑",""),"")</f>
        <v/>
      </c>
      <c r="Z397" s="34" t="str">
        <f aca="true">IF(AND($G397&lt;&gt;"",$P397="",$R397=""),IF(TODAY()&gt;$G397,"⚑",""),"")</f>
        <v/>
      </c>
      <c r="AA397" s="34" t="str">
        <f aca="true">IF(AND($E397&lt;&gt;"",$P397="",$R397=""),IF(TODAY()-MAX($E397,$H397,$M397,$S397)&gt;7,"⚑",""),"")</f>
        <v/>
      </c>
      <c r="AB397" s="34" t="str">
        <f aca="false">IF(OR($P397="",$G397=""),"",IF($P397&lt;=$G397,"Có","Không"))</f>
        <v/>
      </c>
      <c r="AC397" s="34" t="str">
        <f aca="false">IF(OR($P397="",$E397=""),"",$P397-$E397)</f>
        <v/>
      </c>
      <c r="AD397" s="35" t="str">
        <f aca="false">IF($A397="","",COUNTIF(CASE!$B$3:$B$202,$A397))</f>
        <v/>
      </c>
      <c r="AE397" s="34" t="str">
        <f aca="false">IF(OR($I397="",$E397=""),"",$I397-$E397)</f>
        <v/>
      </c>
      <c r="AF397" s="34" t="str">
        <f aca="false">IF(OR($K397="",$I397=""),"",$K397-$I397)</f>
        <v/>
      </c>
      <c r="AG397" s="34" t="str">
        <f aca="false">IF(OR($L397="",$K397=""),"",$L397-$K397)</f>
        <v/>
      </c>
      <c r="AH397" s="34" t="str">
        <f aca="false">IF(OR($M397="",$L397=""),"",$M397-$L397)</f>
        <v/>
      </c>
      <c r="AI397" s="34" t="str">
        <f aca="false">IF(OR($P397="",$M397=""),"",$P397-$M397)</f>
        <v/>
      </c>
    </row>
    <row r="398" customFormat="false" ht="15" hidden="false" customHeight="false" outlineLevel="0" collapsed="false">
      <c r="A398" s="29"/>
      <c r="B398" s="29"/>
      <c r="C398" s="29"/>
      <c r="D398" s="30"/>
      <c r="E398" s="31"/>
      <c r="F398" s="32" t="str">
        <f aca="false">IF($E398="","",$E398+7*IFERROR(VLOOKUP($B398,DS!$K$2:$M$4,2,FALSE()),12))</f>
        <v/>
      </c>
      <c r="G398" s="32" t="str">
        <f aca="false">IF($E398="","",$E398+7*IFERROR(VLOOKUP($B398,DS!$K$2:$M$4,3,FALSE()),12))</f>
        <v/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3" t="str">
        <f aca="false">IF($A398="","",IF($R398&lt;&gt;"","95 Hủy/hoàn",IF($Q398&lt;&gt;"","99 Đóng",IF($P398&lt;&gt;"","90 Đã giao",IF($O398&lt;&gt;"","80 Đang giao",IF($N398&lt;&gt;"","70 Thông quan",IF($M398&lt;&gt;"","60 Đã xuất",IF($L398&lt;&gt;"","50 QC đạt",IF($K398&lt;&gt;"","40 NCC đã gửi",IF($I398&lt;&gt;"","30 Đã đặt NCC",IF($H398&lt;&gt;"","20 Đã xác nhận","10 Mới")))))))))))</f>
        <v/>
      </c>
      <c r="U398" s="33" t="str">
        <f aca="false">IF($T398="","",IFERROR(VLOOKUP($T398,DS!$A$2:$B$12,2,FALSE()),""))</f>
        <v/>
      </c>
      <c r="V398" s="34" t="str">
        <f aca="true">IF(OR($T398="",LEFT($T398,2)="99",LEFT($T398,2)="95"),"",TODAY()-MAX($E398,$H398:$P398))</f>
        <v/>
      </c>
      <c r="W398" s="34" t="str">
        <f aca="true">IF(AND($E398&lt;&gt;"",$I398="",$R398=""),IF(TODAY()-$E398&gt;1,"⚑",""),"")</f>
        <v/>
      </c>
      <c r="X398" s="34" t="str">
        <f aca="true">IF(AND($J398&lt;&gt;"",$K398="",$R398=""),IF(TODAY()-$J398&gt;2,"⚑",""),"")</f>
        <v/>
      </c>
      <c r="Y398" s="34" t="str">
        <f aca="true">IF(AND($G398&lt;&gt;"",$M398="",$R398=""),IF(AND($G398-TODAY()&lt;=14,$G398&gt;=TODAY()),"⚑",""),"")</f>
        <v/>
      </c>
      <c r="Z398" s="34" t="str">
        <f aca="true">IF(AND($G398&lt;&gt;"",$P398="",$R398=""),IF(TODAY()&gt;$G398,"⚑",""),"")</f>
        <v/>
      </c>
      <c r="AA398" s="34" t="str">
        <f aca="true">IF(AND($E398&lt;&gt;"",$P398="",$R398=""),IF(TODAY()-MAX($E398,$H398,$M398,$S398)&gt;7,"⚑",""),"")</f>
        <v/>
      </c>
      <c r="AB398" s="34" t="str">
        <f aca="false">IF(OR($P398="",$G398=""),"",IF($P398&lt;=$G398,"Có","Không"))</f>
        <v/>
      </c>
      <c r="AC398" s="34" t="str">
        <f aca="false">IF(OR($P398="",$E398=""),"",$P398-$E398)</f>
        <v/>
      </c>
      <c r="AD398" s="35" t="str">
        <f aca="false">IF($A398="","",COUNTIF(CASE!$B$3:$B$202,$A398))</f>
        <v/>
      </c>
      <c r="AE398" s="34" t="str">
        <f aca="false">IF(OR($I398="",$E398=""),"",$I398-$E398)</f>
        <v/>
      </c>
      <c r="AF398" s="34" t="str">
        <f aca="false">IF(OR($K398="",$I398=""),"",$K398-$I398)</f>
        <v/>
      </c>
      <c r="AG398" s="34" t="str">
        <f aca="false">IF(OR($L398="",$K398=""),"",$L398-$K398)</f>
        <v/>
      </c>
      <c r="AH398" s="34" t="str">
        <f aca="false">IF(OR($M398="",$L398=""),"",$M398-$L398)</f>
        <v/>
      </c>
      <c r="AI398" s="34" t="str">
        <f aca="false">IF(OR($P398="",$M398=""),"",$P398-$M398)</f>
        <v/>
      </c>
    </row>
    <row r="399" customFormat="false" ht="15" hidden="false" customHeight="false" outlineLevel="0" collapsed="false">
      <c r="A399" s="29"/>
      <c r="B399" s="29"/>
      <c r="C399" s="29"/>
      <c r="D399" s="30"/>
      <c r="E399" s="31"/>
      <c r="F399" s="32" t="str">
        <f aca="false">IF($E399="","",$E399+7*IFERROR(VLOOKUP($B399,DS!$K$2:$M$4,2,FALSE()),12))</f>
        <v/>
      </c>
      <c r="G399" s="32" t="str">
        <f aca="false">IF($E399="","",$E399+7*IFERROR(VLOOKUP($B399,DS!$K$2:$M$4,3,FALSE()),12))</f>
        <v/>
      </c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3" t="str">
        <f aca="false">IF($A399="","",IF($R399&lt;&gt;"","95 Hủy/hoàn",IF($Q399&lt;&gt;"","99 Đóng",IF($P399&lt;&gt;"","90 Đã giao",IF($O399&lt;&gt;"","80 Đang giao",IF($N399&lt;&gt;"","70 Thông quan",IF($M399&lt;&gt;"","60 Đã xuất",IF($L399&lt;&gt;"","50 QC đạt",IF($K399&lt;&gt;"","40 NCC đã gửi",IF($I399&lt;&gt;"","30 Đã đặt NCC",IF($H399&lt;&gt;"","20 Đã xác nhận","10 Mới")))))))))))</f>
        <v/>
      </c>
      <c r="U399" s="33" t="str">
        <f aca="false">IF($T399="","",IFERROR(VLOOKUP($T399,DS!$A$2:$B$12,2,FALSE()),""))</f>
        <v/>
      </c>
      <c r="V399" s="34" t="str">
        <f aca="true">IF(OR($T399="",LEFT($T399,2)="99",LEFT($T399,2)="95"),"",TODAY()-MAX($E399,$H399:$P399))</f>
        <v/>
      </c>
      <c r="W399" s="34" t="str">
        <f aca="true">IF(AND($E399&lt;&gt;"",$I399="",$R399=""),IF(TODAY()-$E399&gt;1,"⚑",""),"")</f>
        <v/>
      </c>
      <c r="X399" s="34" t="str">
        <f aca="true">IF(AND($J399&lt;&gt;"",$K399="",$R399=""),IF(TODAY()-$J399&gt;2,"⚑",""),"")</f>
        <v/>
      </c>
      <c r="Y399" s="34" t="str">
        <f aca="true">IF(AND($G399&lt;&gt;"",$M399="",$R399=""),IF(AND($G399-TODAY()&lt;=14,$G399&gt;=TODAY()),"⚑",""),"")</f>
        <v/>
      </c>
      <c r="Z399" s="34" t="str">
        <f aca="true">IF(AND($G399&lt;&gt;"",$P399="",$R399=""),IF(TODAY()&gt;$G399,"⚑",""),"")</f>
        <v/>
      </c>
      <c r="AA399" s="34" t="str">
        <f aca="true">IF(AND($E399&lt;&gt;"",$P399="",$R399=""),IF(TODAY()-MAX($E399,$H399,$M399,$S399)&gt;7,"⚑",""),"")</f>
        <v/>
      </c>
      <c r="AB399" s="34" t="str">
        <f aca="false">IF(OR($P399="",$G399=""),"",IF($P399&lt;=$G399,"Có","Không"))</f>
        <v/>
      </c>
      <c r="AC399" s="34" t="str">
        <f aca="false">IF(OR($P399="",$E399=""),"",$P399-$E399)</f>
        <v/>
      </c>
      <c r="AD399" s="35" t="str">
        <f aca="false">IF($A399="","",COUNTIF(CASE!$B$3:$B$202,$A399))</f>
        <v/>
      </c>
      <c r="AE399" s="34" t="str">
        <f aca="false">IF(OR($I399="",$E399=""),"",$I399-$E399)</f>
        <v/>
      </c>
      <c r="AF399" s="34" t="str">
        <f aca="false">IF(OR($K399="",$I399=""),"",$K399-$I399)</f>
        <v/>
      </c>
      <c r="AG399" s="34" t="str">
        <f aca="false">IF(OR($L399="",$K399=""),"",$L399-$K399)</f>
        <v/>
      </c>
      <c r="AH399" s="34" t="str">
        <f aca="false">IF(OR($M399="",$L399=""),"",$M399-$L399)</f>
        <v/>
      </c>
      <c r="AI399" s="34" t="str">
        <f aca="false">IF(OR($P399="",$M399=""),"",$P399-$M399)</f>
        <v/>
      </c>
    </row>
    <row r="400" customFormat="false" ht="15" hidden="false" customHeight="false" outlineLevel="0" collapsed="false">
      <c r="A400" s="29"/>
      <c r="B400" s="29"/>
      <c r="C400" s="29"/>
      <c r="D400" s="30"/>
      <c r="E400" s="31"/>
      <c r="F400" s="32" t="str">
        <f aca="false">IF($E400="","",$E400+7*IFERROR(VLOOKUP($B400,DS!$K$2:$M$4,2,FALSE()),12))</f>
        <v/>
      </c>
      <c r="G400" s="32" t="str">
        <f aca="false">IF($E400="","",$E400+7*IFERROR(VLOOKUP($B400,DS!$K$2:$M$4,3,FALSE()),12))</f>
        <v/>
      </c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3" t="str">
        <f aca="false">IF($A400="","",IF($R400&lt;&gt;"","95 Hủy/hoàn",IF($Q400&lt;&gt;"","99 Đóng",IF($P400&lt;&gt;"","90 Đã giao",IF($O400&lt;&gt;"","80 Đang giao",IF($N400&lt;&gt;"","70 Thông quan",IF($M400&lt;&gt;"","60 Đã xuất",IF($L400&lt;&gt;"","50 QC đạt",IF($K400&lt;&gt;"","40 NCC đã gửi",IF($I400&lt;&gt;"","30 Đã đặt NCC",IF($H400&lt;&gt;"","20 Đã xác nhận","10 Mới")))))))))))</f>
        <v/>
      </c>
      <c r="U400" s="33" t="str">
        <f aca="false">IF($T400="","",IFERROR(VLOOKUP($T400,DS!$A$2:$B$12,2,FALSE()),""))</f>
        <v/>
      </c>
      <c r="V400" s="34" t="str">
        <f aca="true">IF(OR($T400="",LEFT($T400,2)="99",LEFT($T400,2)="95"),"",TODAY()-MAX($E400,$H400:$P400))</f>
        <v/>
      </c>
      <c r="W400" s="34" t="str">
        <f aca="true">IF(AND($E400&lt;&gt;"",$I400="",$R400=""),IF(TODAY()-$E400&gt;1,"⚑",""),"")</f>
        <v/>
      </c>
      <c r="X400" s="34" t="str">
        <f aca="true">IF(AND($J400&lt;&gt;"",$K400="",$R400=""),IF(TODAY()-$J400&gt;2,"⚑",""),"")</f>
        <v/>
      </c>
      <c r="Y400" s="34" t="str">
        <f aca="true">IF(AND($G400&lt;&gt;"",$M400="",$R400=""),IF(AND($G400-TODAY()&lt;=14,$G400&gt;=TODAY()),"⚑",""),"")</f>
        <v/>
      </c>
      <c r="Z400" s="34" t="str">
        <f aca="true">IF(AND($G400&lt;&gt;"",$P400="",$R400=""),IF(TODAY()&gt;$G400,"⚑",""),"")</f>
        <v/>
      </c>
      <c r="AA400" s="34" t="str">
        <f aca="true">IF(AND($E400&lt;&gt;"",$P400="",$R400=""),IF(TODAY()-MAX($E400,$H400,$M400,$S400)&gt;7,"⚑",""),"")</f>
        <v/>
      </c>
      <c r="AB400" s="34" t="str">
        <f aca="false">IF(OR($P400="",$G400=""),"",IF($P400&lt;=$G400,"Có","Không"))</f>
        <v/>
      </c>
      <c r="AC400" s="34" t="str">
        <f aca="false">IF(OR($P400="",$E400=""),"",$P400-$E400)</f>
        <v/>
      </c>
      <c r="AD400" s="35" t="str">
        <f aca="false">IF($A400="","",COUNTIF(CASE!$B$3:$B$202,$A400))</f>
        <v/>
      </c>
      <c r="AE400" s="34" t="str">
        <f aca="false">IF(OR($I400="",$E400=""),"",$I400-$E400)</f>
        <v/>
      </c>
      <c r="AF400" s="34" t="str">
        <f aca="false">IF(OR($K400="",$I400=""),"",$K400-$I400)</f>
        <v/>
      </c>
      <c r="AG400" s="34" t="str">
        <f aca="false">IF(OR($L400="",$K400=""),"",$L400-$K400)</f>
        <v/>
      </c>
      <c r="AH400" s="34" t="str">
        <f aca="false">IF(OR($M400="",$L400=""),"",$M400-$L400)</f>
        <v/>
      </c>
      <c r="AI400" s="34" t="str">
        <f aca="false">IF(OR($P400="",$M400=""),"",$P400-$M400)</f>
        <v/>
      </c>
    </row>
    <row r="401" customFormat="false" ht="15" hidden="false" customHeight="false" outlineLevel="0" collapsed="false">
      <c r="A401" s="29"/>
      <c r="B401" s="29"/>
      <c r="C401" s="29"/>
      <c r="D401" s="30"/>
      <c r="E401" s="31"/>
      <c r="F401" s="32" t="str">
        <f aca="false">IF($E401="","",$E401+7*IFERROR(VLOOKUP($B401,DS!$K$2:$M$4,2,FALSE()),12))</f>
        <v/>
      </c>
      <c r="G401" s="32" t="str">
        <f aca="false">IF($E401="","",$E401+7*IFERROR(VLOOKUP($B401,DS!$K$2:$M$4,3,FALSE()),12))</f>
        <v/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3" t="str">
        <f aca="false">IF($A401="","",IF($R401&lt;&gt;"","95 Hủy/hoàn",IF($Q401&lt;&gt;"","99 Đóng",IF($P401&lt;&gt;"","90 Đã giao",IF($O401&lt;&gt;"","80 Đang giao",IF($N401&lt;&gt;"","70 Thông quan",IF($M401&lt;&gt;"","60 Đã xuất",IF($L401&lt;&gt;"","50 QC đạt",IF($K401&lt;&gt;"","40 NCC đã gửi",IF($I401&lt;&gt;"","30 Đã đặt NCC",IF($H401&lt;&gt;"","20 Đã xác nhận","10 Mới")))))))))))</f>
        <v/>
      </c>
      <c r="U401" s="33" t="str">
        <f aca="false">IF($T401="","",IFERROR(VLOOKUP($T401,DS!$A$2:$B$12,2,FALSE()),""))</f>
        <v/>
      </c>
      <c r="V401" s="34" t="str">
        <f aca="true">IF(OR($T401="",LEFT($T401,2)="99",LEFT($T401,2)="95"),"",TODAY()-MAX($E401,$H401:$P401))</f>
        <v/>
      </c>
      <c r="W401" s="34" t="str">
        <f aca="true">IF(AND($E401&lt;&gt;"",$I401="",$R401=""),IF(TODAY()-$E401&gt;1,"⚑",""),"")</f>
        <v/>
      </c>
      <c r="X401" s="34" t="str">
        <f aca="true">IF(AND($J401&lt;&gt;"",$K401="",$R401=""),IF(TODAY()-$J401&gt;2,"⚑",""),"")</f>
        <v/>
      </c>
      <c r="Y401" s="34" t="str">
        <f aca="true">IF(AND($G401&lt;&gt;"",$M401="",$R401=""),IF(AND($G401-TODAY()&lt;=14,$G401&gt;=TODAY()),"⚑",""),"")</f>
        <v/>
      </c>
      <c r="Z401" s="34" t="str">
        <f aca="true">IF(AND($G401&lt;&gt;"",$P401="",$R401=""),IF(TODAY()&gt;$G401,"⚑",""),"")</f>
        <v/>
      </c>
      <c r="AA401" s="34" t="str">
        <f aca="true">IF(AND($E401&lt;&gt;"",$P401="",$R401=""),IF(TODAY()-MAX($E401,$H401,$M401,$S401)&gt;7,"⚑",""),"")</f>
        <v/>
      </c>
      <c r="AB401" s="34" t="str">
        <f aca="false">IF(OR($P401="",$G401=""),"",IF($P401&lt;=$G401,"Có","Không"))</f>
        <v/>
      </c>
      <c r="AC401" s="34" t="str">
        <f aca="false">IF(OR($P401="",$E401=""),"",$P401-$E401)</f>
        <v/>
      </c>
      <c r="AD401" s="35" t="str">
        <f aca="false">IF($A401="","",COUNTIF(CASE!$B$3:$B$202,$A401))</f>
        <v/>
      </c>
      <c r="AE401" s="34" t="str">
        <f aca="false">IF(OR($I401="",$E401=""),"",$I401-$E401)</f>
        <v/>
      </c>
      <c r="AF401" s="34" t="str">
        <f aca="false">IF(OR($K401="",$I401=""),"",$K401-$I401)</f>
        <v/>
      </c>
      <c r="AG401" s="34" t="str">
        <f aca="false">IF(OR($L401="",$K401=""),"",$L401-$K401)</f>
        <v/>
      </c>
      <c r="AH401" s="34" t="str">
        <f aca="false">IF(OR($M401="",$L401=""),"",$M401-$L401)</f>
        <v/>
      </c>
      <c r="AI401" s="34" t="str">
        <f aca="false">IF(OR($P401="",$M401=""),"",$P401-$M401)</f>
        <v/>
      </c>
    </row>
    <row r="402" customFormat="false" ht="15" hidden="false" customHeight="false" outlineLevel="0" collapsed="false">
      <c r="A402" s="29"/>
      <c r="B402" s="29"/>
      <c r="C402" s="29"/>
      <c r="D402" s="30"/>
      <c r="E402" s="31"/>
      <c r="F402" s="32" t="str">
        <f aca="false">IF($E402="","",$E402+7*IFERROR(VLOOKUP($B402,DS!$K$2:$M$4,2,FALSE()),12))</f>
        <v/>
      </c>
      <c r="G402" s="32" t="str">
        <f aca="false">IF($E402="","",$E402+7*IFERROR(VLOOKUP($B402,DS!$K$2:$M$4,3,FALSE()),12))</f>
        <v/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3" t="str">
        <f aca="false">IF($A402="","",IF($R402&lt;&gt;"","95 Hủy/hoàn",IF($Q402&lt;&gt;"","99 Đóng",IF($P402&lt;&gt;"","90 Đã giao",IF($O402&lt;&gt;"","80 Đang giao",IF($N402&lt;&gt;"","70 Thông quan",IF($M402&lt;&gt;"","60 Đã xuất",IF($L402&lt;&gt;"","50 QC đạt",IF($K402&lt;&gt;"","40 NCC đã gửi",IF($I402&lt;&gt;"","30 Đã đặt NCC",IF($H402&lt;&gt;"","20 Đã xác nhận","10 Mới")))))))))))</f>
        <v/>
      </c>
      <c r="U402" s="33" t="str">
        <f aca="false">IF($T402="","",IFERROR(VLOOKUP($T402,DS!$A$2:$B$12,2,FALSE()),""))</f>
        <v/>
      </c>
      <c r="V402" s="34" t="str">
        <f aca="true">IF(OR($T402="",LEFT($T402,2)="99",LEFT($T402,2)="95"),"",TODAY()-MAX($E402,$H402:$P402))</f>
        <v/>
      </c>
      <c r="W402" s="34" t="str">
        <f aca="true">IF(AND($E402&lt;&gt;"",$I402="",$R402=""),IF(TODAY()-$E402&gt;1,"⚑",""),"")</f>
        <v/>
      </c>
      <c r="X402" s="34" t="str">
        <f aca="true">IF(AND($J402&lt;&gt;"",$K402="",$R402=""),IF(TODAY()-$J402&gt;2,"⚑",""),"")</f>
        <v/>
      </c>
      <c r="Y402" s="34" t="str">
        <f aca="true">IF(AND($G402&lt;&gt;"",$M402="",$R402=""),IF(AND($G402-TODAY()&lt;=14,$G402&gt;=TODAY()),"⚑",""),"")</f>
        <v/>
      </c>
      <c r="Z402" s="34" t="str">
        <f aca="true">IF(AND($G402&lt;&gt;"",$P402="",$R402=""),IF(TODAY()&gt;$G402,"⚑",""),"")</f>
        <v/>
      </c>
      <c r="AA402" s="34" t="str">
        <f aca="true">IF(AND($E402&lt;&gt;"",$P402="",$R402=""),IF(TODAY()-MAX($E402,$H402,$M402,$S402)&gt;7,"⚑",""),"")</f>
        <v/>
      </c>
      <c r="AB402" s="34" t="str">
        <f aca="false">IF(OR($P402="",$G402=""),"",IF($P402&lt;=$G402,"Có","Không"))</f>
        <v/>
      </c>
      <c r="AC402" s="34" t="str">
        <f aca="false">IF(OR($P402="",$E402=""),"",$P402-$E402)</f>
        <v/>
      </c>
      <c r="AD402" s="35" t="str">
        <f aca="false">IF($A402="","",COUNTIF(CASE!$B$3:$B$202,$A402))</f>
        <v/>
      </c>
      <c r="AE402" s="34" t="str">
        <f aca="false">IF(OR($I402="",$E402=""),"",$I402-$E402)</f>
        <v/>
      </c>
      <c r="AF402" s="34" t="str">
        <f aca="false">IF(OR($K402="",$I402=""),"",$K402-$I402)</f>
        <v/>
      </c>
      <c r="AG402" s="34" t="str">
        <f aca="false">IF(OR($L402="",$K402=""),"",$L402-$K402)</f>
        <v/>
      </c>
      <c r="AH402" s="34" t="str">
        <f aca="false">IF(OR($M402="",$L402=""),"",$M402-$L402)</f>
        <v/>
      </c>
      <c r="AI402" s="34" t="str">
        <f aca="false">IF(OR($P402="",$M402=""),"",$P402-$M402)</f>
        <v/>
      </c>
    </row>
  </sheetData>
  <autoFilter ref="A2:AI402"/>
  <conditionalFormatting sqref="W3:W402">
    <cfRule type="cellIs" priority="2" operator="equal" aboveAverage="0" equalAverage="0" bottom="0" percent="0" rank="0" text="" dxfId="14">
      <formula>"⚑"</formula>
    </cfRule>
  </conditionalFormatting>
  <conditionalFormatting sqref="X3:X402">
    <cfRule type="cellIs" priority="3" operator="equal" aboveAverage="0" equalAverage="0" bottom="0" percent="0" rank="0" text="" dxfId="14">
      <formula>"⚑"</formula>
    </cfRule>
  </conditionalFormatting>
  <conditionalFormatting sqref="Y3:Y402">
    <cfRule type="cellIs" priority="4" operator="equal" aboveAverage="0" equalAverage="0" bottom="0" percent="0" rank="0" text="" dxfId="14">
      <formula>"⚑"</formula>
    </cfRule>
  </conditionalFormatting>
  <conditionalFormatting sqref="Z3:Z402">
    <cfRule type="cellIs" priority="5" operator="equal" aboveAverage="0" equalAverage="0" bottom="0" percent="0" rank="0" text="" dxfId="14">
      <formula>"⚑"</formula>
    </cfRule>
  </conditionalFormatting>
  <conditionalFormatting sqref="AA3:AA402">
    <cfRule type="cellIs" priority="6" operator="equal" aboveAverage="0" equalAverage="0" bottom="0" percent="0" rank="0" text="" dxfId="14">
      <formula>"⚑"</formula>
    </cfRule>
  </conditionalFormatting>
  <conditionalFormatting sqref="AB3:AB402">
    <cfRule type="cellIs" priority="7" operator="equal" aboveAverage="0" equalAverage="0" bottom="0" percent="0" rank="0" text="" dxfId="15">
      <formula>"Có"</formula>
    </cfRule>
    <cfRule type="cellIs" priority="8" operator="equal" aboveAverage="0" equalAverage="0" bottom="0" percent="0" rank="0" text="" dxfId="16">
      <formula>"Không"</formula>
    </cfRule>
  </conditionalFormatting>
  <conditionalFormatting sqref="T3:T402">
    <cfRule type="expression" priority="9" aboveAverage="0" equalAverage="0" bottom="0" percent="0" rank="0" text="" dxfId="16">
      <formula>LEFT($T3,2)="95"</formula>
    </cfRule>
    <cfRule type="expression" priority="10" aboveAverage="0" equalAverage="0" bottom="0" percent="0" rank="0" text="" dxfId="15">
      <formula>LEFT($T3,2)="99"</formula>
    </cfRule>
  </conditionalFormatting>
  <conditionalFormatting sqref="AD3:AD402">
    <cfRule type="cellIs" priority="11" operator="greaterThan" aboveAverage="0" equalAverage="0" bottom="0" percent="0" rank="0" text="" dxfId="17">
      <formula>0</formula>
    </cfRule>
  </conditionalFormatting>
  <dataValidations count="2">
    <dataValidation allowBlank="true" errorStyle="stop" operator="between" showDropDown="false" showErrorMessage="false" showInputMessage="false" sqref="B3:B402" type="list">
      <formula1>DS!$K$2:$K$4</formula1>
      <formula2>0</formula2>
    </dataValidation>
    <dataValidation allowBlank="true" error="Nhập ngày (dd/mm/yy)" errorStyle="stop" errorTitle="Sai định dạng" operator="greaterThan" showDropDown="false" showErrorMessage="false" showInputMessage="false" sqref="E3:E402 H3:S402" type="date">
      <formula1>DATE(2025,1,1)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8"/>
    <col collapsed="false" customWidth="true" hidden="false" outlineLevel="0" max="16" min="13" style="0" width="11"/>
    <col collapsed="false" customWidth="true" hidden="false" outlineLevel="0" max="17" min="17" style="0" width="12"/>
    <col collapsed="false" customWidth="true" hidden="false" outlineLevel="0" max="19" min="18" style="0" width="10"/>
    <col collapsed="false" customWidth="true" hidden="false" outlineLevel="0" max="21" min="20" style="0" width="9"/>
    <col collapsed="false" customWidth="true" hidden="false" outlineLevel="0" max="24" min="22" style="0" width="10"/>
    <col collapsed="false" customWidth="true" hidden="false" outlineLevel="0" max="25" min="25" style="0" width="36"/>
  </cols>
  <sheetData>
    <row r="1" customFormat="false" ht="15" hidden="false" customHeight="false" outlineLevel="0" collapsed="false">
      <c r="A1" s="8" t="s">
        <v>148</v>
      </c>
    </row>
    <row r="2" customFormat="false" ht="43.5" hidden="false" customHeight="true" outlineLevel="0" collapsed="false">
      <c r="A2" s="23" t="s">
        <v>149</v>
      </c>
      <c r="B2" s="23" t="s">
        <v>101</v>
      </c>
      <c r="C2" s="23" t="s">
        <v>150</v>
      </c>
      <c r="D2" s="23" t="s">
        <v>151</v>
      </c>
      <c r="E2" s="23" t="s">
        <v>152</v>
      </c>
      <c r="F2" s="23" t="s">
        <v>153</v>
      </c>
      <c r="G2" s="23" t="s">
        <v>154</v>
      </c>
      <c r="H2" s="23" t="s">
        <v>155</v>
      </c>
      <c r="I2" s="23" t="s">
        <v>156</v>
      </c>
      <c r="J2" s="24" t="s">
        <v>157</v>
      </c>
      <c r="K2" s="27" t="s">
        <v>158</v>
      </c>
      <c r="L2" s="24" t="s">
        <v>159</v>
      </c>
      <c r="M2" s="25" t="s">
        <v>160</v>
      </c>
      <c r="N2" s="28" t="s">
        <v>161</v>
      </c>
      <c r="O2" s="23" t="s">
        <v>162</v>
      </c>
      <c r="P2" s="27" t="s">
        <v>163</v>
      </c>
      <c r="Q2" s="25" t="s">
        <v>164</v>
      </c>
      <c r="R2" s="28" t="s">
        <v>165</v>
      </c>
      <c r="S2" s="24" t="s">
        <v>166</v>
      </c>
      <c r="T2" s="24" t="s">
        <v>167</v>
      </c>
      <c r="U2" s="24" t="s">
        <v>168</v>
      </c>
      <c r="V2" s="24" t="s">
        <v>169</v>
      </c>
      <c r="W2" s="24" t="s">
        <v>170</v>
      </c>
      <c r="X2" s="24" t="s">
        <v>34</v>
      </c>
      <c r="Y2" s="23" t="s">
        <v>171</v>
      </c>
    </row>
    <row r="3" customFormat="false" ht="15" hidden="false" customHeight="false" outlineLevel="0" collapsed="false">
      <c r="A3" s="29" t="s">
        <v>172</v>
      </c>
      <c r="B3" s="29" t="s">
        <v>127</v>
      </c>
      <c r="C3" s="29" t="s">
        <v>86</v>
      </c>
      <c r="D3" s="29" t="s">
        <v>173</v>
      </c>
      <c r="E3" s="36" t="n">
        <v>46298.375</v>
      </c>
      <c r="F3" s="36" t="n">
        <v>46298.4583333333</v>
      </c>
      <c r="G3" s="31" t="n">
        <v>46298</v>
      </c>
      <c r="H3" s="29" t="s">
        <v>174</v>
      </c>
      <c r="I3" s="30" t="n">
        <v>15</v>
      </c>
      <c r="J3" s="34" t="str">
        <f aca="false">IF($I3="","",IF(OR($I3&gt;150,$H3="R4 Hoàn 100%"),"CEO",IF($I3&gt;50,"OPS","CX")))</f>
        <v>CX</v>
      </c>
      <c r="K3" s="29" t="s">
        <v>175</v>
      </c>
      <c r="L3" s="34" t="str">
        <f aca="false">IF(OR($J3="",$K3=""),"",IF(MATCH($K3,DS!$H$2:$H$4,0)&gt;=MATCH($J3,DS!$H$2:$H$4,0),"✓","✗"))</f>
        <v>✓</v>
      </c>
      <c r="M3" s="31"/>
      <c r="N3" s="31"/>
      <c r="O3" s="31"/>
      <c r="P3" s="29" t="s">
        <v>93</v>
      </c>
      <c r="Q3" s="29" t="s">
        <v>176</v>
      </c>
      <c r="R3" s="30"/>
      <c r="S3" s="37" t="n">
        <f aca="false">IF($A3="","",N($I3)-N($R3))</f>
        <v>15</v>
      </c>
      <c r="T3" s="34" t="n">
        <f aca="false">IF(OR($E3="",$F3=""),"",ROUND(($F3-$E3)*24,1))</f>
        <v>2</v>
      </c>
      <c r="U3" s="34" t="n">
        <f aca="true">IF($E3="","",INT(IF($O3="",NOW(),$O3)-$E3))</f>
        <v>0</v>
      </c>
      <c r="V3" s="34" t="str">
        <f aca="true">IF($E3="","",IF($F3="",IF((NOW()-$E3)*24&gt;24,"⚑",""),IF(($F3-$E3)*24&gt;24,"⚑","")))</f>
        <v/>
      </c>
      <c r="W3" s="34" t="str">
        <f aca="true">IF(OR($E3="",$O3&lt;&gt;""),"",IF(NOW()-$E3&gt;7,"⚑",""))</f>
        <v/>
      </c>
      <c r="X3" s="34" t="str">
        <f aca="false">IF($L3="✗","⚑","")</f>
        <v/>
      </c>
      <c r="Y3" s="29"/>
    </row>
    <row r="4" customFormat="false" ht="15" hidden="false" customHeight="false" outlineLevel="0" collapsed="false">
      <c r="A4" s="29" t="s">
        <v>177</v>
      </c>
      <c r="B4" s="29" t="s">
        <v>125</v>
      </c>
      <c r="C4" s="29" t="s">
        <v>85</v>
      </c>
      <c r="D4" s="29" t="s">
        <v>178</v>
      </c>
      <c r="E4" s="36" t="n">
        <v>46270.3333333333</v>
      </c>
      <c r="F4" s="36" t="n">
        <v>46270.4166666667</v>
      </c>
      <c r="G4" s="31" t="n">
        <v>46271</v>
      </c>
      <c r="H4" s="29" t="s">
        <v>179</v>
      </c>
      <c r="I4" s="30" t="n">
        <v>72</v>
      </c>
      <c r="J4" s="34" t="str">
        <f aca="false">IF($I4="","",IF(OR($I4&gt;150,$H4="R4 Hoàn 100%"),"CEO",IF($I4&gt;50,"OPS","CX")))</f>
        <v>OPS</v>
      </c>
      <c r="K4" s="29" t="s">
        <v>180</v>
      </c>
      <c r="L4" s="34" t="str">
        <f aca="false">IF(OR($J4="",$K4=""),"",IF(MATCH($K4,DS!$H$2:$H$4,0)&gt;=MATCH($J4,DS!$H$2:$H$4,0),"✓","✗"))</f>
        <v>✓</v>
      </c>
      <c r="M4" s="31" t="n">
        <v>46272</v>
      </c>
      <c r="N4" s="31" t="n">
        <v>46272</v>
      </c>
      <c r="O4" s="31" t="n">
        <v>46273</v>
      </c>
      <c r="P4" s="29" t="s">
        <v>96</v>
      </c>
      <c r="Q4" s="29" t="s">
        <v>181</v>
      </c>
      <c r="R4" s="30" t="n">
        <v>72</v>
      </c>
      <c r="S4" s="37" t="n">
        <f aca="false">IF($A4="","",N($I4)-N($R4))</f>
        <v>0</v>
      </c>
      <c r="T4" s="34" t="n">
        <f aca="false">IF(OR($E4="",$F4=""),"",ROUND(($F4-$E4)*24,1))</f>
        <v>2</v>
      </c>
      <c r="U4" s="34" t="n">
        <f aca="true">IF($E4="","",INT(IF($O4="",NOW(),$O4)-$E4))</f>
        <v>2</v>
      </c>
      <c r="V4" s="34" t="str">
        <f aca="true">IF($E4="","",IF($F4="",IF((NOW()-$E4)*24&gt;24,"⚑",""),IF(($F4-$E4)*24&gt;24,"⚑","")))</f>
        <v/>
      </c>
      <c r="W4" s="34" t="str">
        <f aca="true">IF(OR($E4="",$O4&lt;&gt;""),"",IF(NOW()-$E4&gt;7,"⚑",""))</f>
        <v/>
      </c>
      <c r="X4" s="34" t="str">
        <f aca="false">IF($L4="✗","⚑","")</f>
        <v/>
      </c>
      <c r="Y4" s="29"/>
    </row>
    <row r="5" customFormat="false" ht="15" hidden="false" customHeight="false" outlineLevel="0" collapsed="false">
      <c r="A5" s="29" t="s">
        <v>182</v>
      </c>
      <c r="B5" s="29" t="s">
        <v>146</v>
      </c>
      <c r="C5" s="29" t="s">
        <v>83</v>
      </c>
      <c r="D5" s="29" t="s">
        <v>173</v>
      </c>
      <c r="E5" s="36" t="n">
        <v>46269.5833333333</v>
      </c>
      <c r="F5" s="36" t="n">
        <v>46269.625</v>
      </c>
      <c r="G5" s="31" t="n">
        <v>46269</v>
      </c>
      <c r="H5" s="29" t="s">
        <v>183</v>
      </c>
      <c r="I5" s="30" t="n">
        <v>650</v>
      </c>
      <c r="J5" s="34" t="str">
        <f aca="false">IF($I5="","",IF(OR($I5&gt;150,$H5="R4 Hoàn 100%"),"CEO",IF($I5&gt;50,"OPS","CX")))</f>
        <v>CEO</v>
      </c>
      <c r="K5" s="29" t="s">
        <v>184</v>
      </c>
      <c r="L5" s="34" t="str">
        <f aca="false">IF(OR($J5="",$K5=""),"",IF(MATCH($K5,DS!$H$2:$H$4,0)&gt;=MATCH($J5,DS!$H$2:$H$4,0),"✓","✗"))</f>
        <v>✓</v>
      </c>
      <c r="M5" s="31" t="n">
        <v>46270</v>
      </c>
      <c r="N5" s="31" t="n">
        <v>46270</v>
      </c>
      <c r="O5" s="31" t="n">
        <v>46270</v>
      </c>
      <c r="P5" s="29" t="s">
        <v>99</v>
      </c>
      <c r="Q5" s="29"/>
      <c r="R5" s="30"/>
      <c r="S5" s="37" t="n">
        <f aca="false">IF($A5="","",N($I5)-N($R5))</f>
        <v>650</v>
      </c>
      <c r="T5" s="34" t="n">
        <f aca="false">IF(OR($E5="",$F5=""),"",ROUND(($F5-$E5)*24,1))</f>
        <v>1</v>
      </c>
      <c r="U5" s="34" t="n">
        <f aca="true">IF($E5="","",INT(IF($O5="",NOW(),$O5)-$E5))</f>
        <v>0</v>
      </c>
      <c r="V5" s="34" t="str">
        <f aca="true">IF($E5="","",IF($F5="",IF((NOW()-$E5)*24&gt;24,"⚑",""),IF(($F5-$E5)*24&gt;24,"⚑","")))</f>
        <v/>
      </c>
      <c r="W5" s="34" t="str">
        <f aca="true">IF(OR($E5="",$O5&lt;&gt;""),"",IF(NOW()-$E5&gt;7,"⚑",""))</f>
        <v/>
      </c>
      <c r="X5" s="34" t="str">
        <f aca="false">IF($L5="✗","⚑","")</f>
        <v/>
      </c>
      <c r="Y5" s="29"/>
    </row>
    <row r="6" customFormat="false" ht="15" hidden="false" customHeight="false" outlineLevel="0" collapsed="false">
      <c r="A6" s="29" t="s">
        <v>185</v>
      </c>
      <c r="B6" s="29" t="s">
        <v>144</v>
      </c>
      <c r="C6" s="29" t="s">
        <v>84</v>
      </c>
      <c r="D6" s="29" t="s">
        <v>186</v>
      </c>
      <c r="E6" s="36" t="n">
        <v>46290.4166666667</v>
      </c>
      <c r="F6" s="36" t="n">
        <v>46291.6666666667</v>
      </c>
      <c r="G6" s="31" t="n">
        <v>46290</v>
      </c>
      <c r="H6" s="29" t="s">
        <v>187</v>
      </c>
      <c r="I6" s="30" t="n">
        <v>49</v>
      </c>
      <c r="J6" s="34" t="str">
        <f aca="false">IF($I6="","",IF(OR($I6&gt;150,$H6="R4 Hoàn 100%"),"CEO",IF($I6&gt;50,"OPS","CX")))</f>
        <v>CX</v>
      </c>
      <c r="K6" s="29" t="s">
        <v>175</v>
      </c>
      <c r="L6" s="34" t="str">
        <f aca="false">IF(OR($J6="",$K6=""),"",IF(MATCH($K6,DS!$H$2:$H$4,0)&gt;=MATCH($J6,DS!$H$2:$H$4,0),"✓","✗"))</f>
        <v>✓</v>
      </c>
      <c r="M6" s="31"/>
      <c r="N6" s="31"/>
      <c r="O6" s="31"/>
      <c r="P6" s="29" t="s">
        <v>92</v>
      </c>
      <c r="Q6" s="29"/>
      <c r="R6" s="30"/>
      <c r="S6" s="37" t="n">
        <f aca="false">IF($A6="","",N($I6)-N($R6))</f>
        <v>49</v>
      </c>
      <c r="T6" s="34" t="n">
        <f aca="false">IF(OR($E6="",$F6=""),"",ROUND(($F6-$E6)*24,1))</f>
        <v>30</v>
      </c>
      <c r="U6" s="34" t="n">
        <f aca="true">IF($E6="","",INT(IF($O6="",NOW(),$O6)-$E6))</f>
        <v>8</v>
      </c>
      <c r="V6" s="34" t="str">
        <f aca="true">IF($E6="","",IF($F6="",IF((NOW()-$E6)*24&gt;24,"⚑",""),IF(($F6-$E6)*24&gt;24,"⚑","")))</f>
        <v>⚑</v>
      </c>
      <c r="W6" s="34" t="str">
        <f aca="true">IF(OR($E6="",$O6&lt;&gt;""),"",IF(NOW()-$E6&gt;7,"⚑",""))</f>
        <v>⚑</v>
      </c>
      <c r="X6" s="34" t="str">
        <f aca="false">IF($L6="✗","⚑","")</f>
        <v/>
      </c>
      <c r="Y6" s="29"/>
    </row>
    <row r="7" customFormat="false" ht="15" hidden="false" customHeight="false" outlineLevel="0" collapsed="false">
      <c r="A7" s="29" t="s">
        <v>188</v>
      </c>
      <c r="B7" s="29" t="s">
        <v>122</v>
      </c>
      <c r="C7" s="29" t="s">
        <v>90</v>
      </c>
      <c r="D7" s="29" t="s">
        <v>189</v>
      </c>
      <c r="E7" s="36" t="n">
        <v>46289.375</v>
      </c>
      <c r="F7" s="36" t="n">
        <v>46289.3958333333</v>
      </c>
      <c r="G7" s="31" t="n">
        <v>46290</v>
      </c>
      <c r="H7" s="29" t="s">
        <v>190</v>
      </c>
      <c r="I7" s="30" t="n">
        <v>120</v>
      </c>
      <c r="J7" s="34" t="str">
        <f aca="false">IF($I7="","",IF(OR($I7&gt;150,$H7="R4 Hoàn 100%"),"CEO",IF($I7&gt;50,"OPS","CX")))</f>
        <v>OPS</v>
      </c>
      <c r="K7" s="29" t="s">
        <v>175</v>
      </c>
      <c r="L7" s="34" t="str">
        <f aca="false">IF(OR($J7="",$K7=""),"",IF(MATCH($K7,DS!$H$2:$H$4,0)&gt;=MATCH($J7,DS!$H$2:$H$4,0),"✓","✗"))</f>
        <v>✗</v>
      </c>
      <c r="M7" s="31" t="n">
        <v>46293</v>
      </c>
      <c r="N7" s="31"/>
      <c r="O7" s="31" t="n">
        <v>46294</v>
      </c>
      <c r="P7" s="29" t="s">
        <v>92</v>
      </c>
      <c r="Q7" s="29" t="s">
        <v>176</v>
      </c>
      <c r="R7" s="30" t="n">
        <v>120</v>
      </c>
      <c r="S7" s="37" t="n">
        <f aca="false">IF($A7="","",N($I7)-N($R7))</f>
        <v>0</v>
      </c>
      <c r="T7" s="34" t="n">
        <f aca="false">IF(OR($E7="",$F7=""),"",ROUND(($F7-$E7)*24,1))</f>
        <v>0.5</v>
      </c>
      <c r="U7" s="34" t="n">
        <f aca="true">IF($E7="","",INT(IF($O7="",NOW(),$O7)-$E7))</f>
        <v>4</v>
      </c>
      <c r="V7" s="34" t="str">
        <f aca="true">IF($E7="","",IF($F7="",IF((NOW()-$E7)*24&gt;24,"⚑",""),IF(($F7-$E7)*24&gt;24,"⚑","")))</f>
        <v/>
      </c>
      <c r="W7" s="34" t="str">
        <f aca="true">IF(OR($E7="",$O7&lt;&gt;""),"",IF(NOW()-$E7&gt;7,"⚑",""))</f>
        <v/>
      </c>
      <c r="X7" s="34" t="str">
        <f aca="false">IF($L7="✗","⚑","")</f>
        <v>⚑</v>
      </c>
      <c r="Y7" s="29"/>
    </row>
    <row r="8" customFormat="false" ht="15" hidden="false" customHeight="false" outlineLevel="0" collapsed="false">
      <c r="A8" s="29"/>
      <c r="B8" s="29"/>
      <c r="C8" s="29"/>
      <c r="D8" s="29"/>
      <c r="E8" s="36"/>
      <c r="F8" s="36"/>
      <c r="G8" s="31"/>
      <c r="H8" s="29"/>
      <c r="I8" s="30"/>
      <c r="J8" s="34" t="str">
        <f aca="false">IF($I8="","",IF(OR($I8&gt;150,$H8="R4 Hoàn 100%"),"CEO",IF($I8&gt;50,"OPS","CX")))</f>
        <v/>
      </c>
      <c r="K8" s="29"/>
      <c r="L8" s="34" t="str">
        <f aca="false">IF(OR($J8="",$K8=""),"",IF(MATCH($K8,DS!$H$2:$H$4,0)&gt;=MATCH($J8,DS!$H$2:$H$4,0),"✓","✗"))</f>
        <v/>
      </c>
      <c r="M8" s="31"/>
      <c r="N8" s="31"/>
      <c r="O8" s="31"/>
      <c r="P8" s="29"/>
      <c r="Q8" s="29"/>
      <c r="R8" s="30"/>
      <c r="S8" s="37" t="str">
        <f aca="false">IF($A8="","",N($I8)-N($R8))</f>
        <v/>
      </c>
      <c r="T8" s="34" t="str">
        <f aca="false">IF(OR($E8="",$F8=""),"",ROUND(($F8-$E8)*24,1))</f>
        <v/>
      </c>
      <c r="U8" s="34" t="str">
        <f aca="true">IF($E8="","",INT(IF($O8="",NOW(),$O8)-$E8))</f>
        <v/>
      </c>
      <c r="V8" s="34" t="str">
        <f aca="true">IF($E8="","",IF($F8="",IF((NOW()-$E8)*24&gt;24,"⚑",""),IF(($F8-$E8)*24&gt;24,"⚑","")))</f>
        <v/>
      </c>
      <c r="W8" s="34" t="str">
        <f aca="true">IF(OR($E8="",$O8&lt;&gt;""),"",IF(NOW()-$E8&gt;7,"⚑",""))</f>
        <v/>
      </c>
      <c r="X8" s="34" t="str">
        <f aca="false">IF($L8="✗","⚑","")</f>
        <v/>
      </c>
      <c r="Y8" s="29"/>
    </row>
    <row r="9" customFormat="false" ht="15" hidden="false" customHeight="false" outlineLevel="0" collapsed="false">
      <c r="A9" s="29"/>
      <c r="B9" s="29"/>
      <c r="C9" s="29"/>
      <c r="D9" s="29"/>
      <c r="E9" s="36"/>
      <c r="F9" s="36"/>
      <c r="G9" s="31"/>
      <c r="H9" s="29"/>
      <c r="I9" s="30"/>
      <c r="J9" s="34" t="str">
        <f aca="false">IF($I9="","",IF(OR($I9&gt;150,$H9="R4 Hoàn 100%"),"CEO",IF($I9&gt;50,"OPS","CX")))</f>
        <v/>
      </c>
      <c r="K9" s="29"/>
      <c r="L9" s="34" t="str">
        <f aca="false">IF(OR($J9="",$K9=""),"",IF(MATCH($K9,DS!$H$2:$H$4,0)&gt;=MATCH($J9,DS!$H$2:$H$4,0),"✓","✗"))</f>
        <v/>
      </c>
      <c r="M9" s="31"/>
      <c r="N9" s="31"/>
      <c r="O9" s="31"/>
      <c r="P9" s="29"/>
      <c r="Q9" s="29"/>
      <c r="R9" s="30"/>
      <c r="S9" s="37" t="str">
        <f aca="false">IF($A9="","",N($I9)-N($R9))</f>
        <v/>
      </c>
      <c r="T9" s="34" t="str">
        <f aca="false">IF(OR($E9="",$F9=""),"",ROUND(($F9-$E9)*24,1))</f>
        <v/>
      </c>
      <c r="U9" s="34" t="str">
        <f aca="true">IF($E9="","",INT(IF($O9="",NOW(),$O9)-$E9))</f>
        <v/>
      </c>
      <c r="V9" s="34" t="str">
        <f aca="true">IF($E9="","",IF($F9="",IF((NOW()-$E9)*24&gt;24,"⚑",""),IF(($F9-$E9)*24&gt;24,"⚑","")))</f>
        <v/>
      </c>
      <c r="W9" s="34" t="str">
        <f aca="true">IF(OR($E9="",$O9&lt;&gt;""),"",IF(NOW()-$E9&gt;7,"⚑",""))</f>
        <v/>
      </c>
      <c r="X9" s="34" t="str">
        <f aca="false">IF($L9="✗","⚑","")</f>
        <v/>
      </c>
      <c r="Y9" s="29"/>
    </row>
    <row r="10" customFormat="false" ht="15" hidden="false" customHeight="false" outlineLevel="0" collapsed="false">
      <c r="A10" s="29"/>
      <c r="B10" s="29"/>
      <c r="C10" s="29"/>
      <c r="D10" s="29"/>
      <c r="E10" s="36"/>
      <c r="F10" s="36"/>
      <c r="G10" s="31"/>
      <c r="H10" s="29"/>
      <c r="I10" s="30"/>
      <c r="J10" s="34" t="str">
        <f aca="false">IF($I10="","",IF(OR($I10&gt;150,$H10="R4 Hoàn 100%"),"CEO",IF($I10&gt;50,"OPS","CX")))</f>
        <v/>
      </c>
      <c r="K10" s="29"/>
      <c r="L10" s="34" t="str">
        <f aca="false">IF(OR($J10="",$K10=""),"",IF(MATCH($K10,DS!$H$2:$H$4,0)&gt;=MATCH($J10,DS!$H$2:$H$4,0),"✓","✗"))</f>
        <v/>
      </c>
      <c r="M10" s="31"/>
      <c r="N10" s="31"/>
      <c r="O10" s="31"/>
      <c r="P10" s="29"/>
      <c r="Q10" s="29"/>
      <c r="R10" s="30"/>
      <c r="S10" s="37" t="str">
        <f aca="false">IF($A10="","",N($I10)-N($R10))</f>
        <v/>
      </c>
      <c r="T10" s="34" t="str">
        <f aca="false">IF(OR($E10="",$F10=""),"",ROUND(($F10-$E10)*24,1))</f>
        <v/>
      </c>
      <c r="U10" s="34" t="str">
        <f aca="true">IF($E10="","",INT(IF($O10="",NOW(),$O10)-$E10))</f>
        <v/>
      </c>
      <c r="V10" s="34" t="str">
        <f aca="true">IF($E10="","",IF($F10="",IF((NOW()-$E10)*24&gt;24,"⚑",""),IF(($F10-$E10)*24&gt;24,"⚑","")))</f>
        <v/>
      </c>
      <c r="W10" s="34" t="str">
        <f aca="true">IF(OR($E10="",$O10&lt;&gt;""),"",IF(NOW()-$E10&gt;7,"⚑",""))</f>
        <v/>
      </c>
      <c r="X10" s="34" t="str">
        <f aca="false">IF($L10="✗","⚑","")</f>
        <v/>
      </c>
      <c r="Y10" s="29"/>
    </row>
    <row r="11" customFormat="false" ht="15" hidden="false" customHeight="false" outlineLevel="0" collapsed="false">
      <c r="A11" s="29"/>
      <c r="B11" s="29"/>
      <c r="C11" s="29"/>
      <c r="D11" s="29"/>
      <c r="E11" s="36"/>
      <c r="F11" s="36"/>
      <c r="G11" s="31"/>
      <c r="H11" s="29"/>
      <c r="I11" s="30"/>
      <c r="J11" s="34" t="str">
        <f aca="false">IF($I11="","",IF(OR($I11&gt;150,$H11="R4 Hoàn 100%"),"CEO",IF($I11&gt;50,"OPS","CX")))</f>
        <v/>
      </c>
      <c r="K11" s="29"/>
      <c r="L11" s="34" t="str">
        <f aca="false">IF(OR($J11="",$K11=""),"",IF(MATCH($K11,DS!$H$2:$H$4,0)&gt;=MATCH($J11,DS!$H$2:$H$4,0),"✓","✗"))</f>
        <v/>
      </c>
      <c r="M11" s="31"/>
      <c r="N11" s="31"/>
      <c r="O11" s="31"/>
      <c r="P11" s="29"/>
      <c r="Q11" s="29"/>
      <c r="R11" s="30"/>
      <c r="S11" s="37" t="str">
        <f aca="false">IF($A11="","",N($I11)-N($R11))</f>
        <v/>
      </c>
      <c r="T11" s="34" t="str">
        <f aca="false">IF(OR($E11="",$F11=""),"",ROUND(($F11-$E11)*24,1))</f>
        <v/>
      </c>
      <c r="U11" s="34" t="str">
        <f aca="true">IF($E11="","",INT(IF($O11="",NOW(),$O11)-$E11))</f>
        <v/>
      </c>
      <c r="V11" s="34" t="str">
        <f aca="true">IF($E11="","",IF($F11="",IF((NOW()-$E11)*24&gt;24,"⚑",""),IF(($F11-$E11)*24&gt;24,"⚑","")))</f>
        <v/>
      </c>
      <c r="W11" s="34" t="str">
        <f aca="true">IF(OR($E11="",$O11&lt;&gt;""),"",IF(NOW()-$E11&gt;7,"⚑",""))</f>
        <v/>
      </c>
      <c r="X11" s="34" t="str">
        <f aca="false">IF($L11="✗","⚑","")</f>
        <v/>
      </c>
      <c r="Y11" s="29"/>
    </row>
    <row r="12" customFormat="false" ht="15" hidden="false" customHeight="false" outlineLevel="0" collapsed="false">
      <c r="A12" s="29"/>
      <c r="B12" s="29"/>
      <c r="C12" s="29"/>
      <c r="D12" s="29"/>
      <c r="E12" s="36"/>
      <c r="F12" s="36"/>
      <c r="G12" s="31"/>
      <c r="H12" s="29"/>
      <c r="I12" s="30"/>
      <c r="J12" s="34" t="str">
        <f aca="false">IF($I12="","",IF(OR($I12&gt;150,$H12="R4 Hoàn 100%"),"CEO",IF($I12&gt;50,"OPS","CX")))</f>
        <v/>
      </c>
      <c r="K12" s="29"/>
      <c r="L12" s="34" t="str">
        <f aca="false">IF(OR($J12="",$K12=""),"",IF(MATCH($K12,DS!$H$2:$H$4,0)&gt;=MATCH($J12,DS!$H$2:$H$4,0),"✓","✗"))</f>
        <v/>
      </c>
      <c r="M12" s="31"/>
      <c r="N12" s="31"/>
      <c r="O12" s="31"/>
      <c r="P12" s="29"/>
      <c r="Q12" s="29"/>
      <c r="R12" s="30"/>
      <c r="S12" s="37" t="str">
        <f aca="false">IF($A12="","",N($I12)-N($R12))</f>
        <v/>
      </c>
      <c r="T12" s="34" t="str">
        <f aca="false">IF(OR($E12="",$F12=""),"",ROUND(($F12-$E12)*24,1))</f>
        <v/>
      </c>
      <c r="U12" s="34" t="str">
        <f aca="true">IF($E12="","",INT(IF($O12="",NOW(),$O12)-$E12))</f>
        <v/>
      </c>
      <c r="V12" s="34" t="str">
        <f aca="true">IF($E12="","",IF($F12="",IF((NOW()-$E12)*24&gt;24,"⚑",""),IF(($F12-$E12)*24&gt;24,"⚑","")))</f>
        <v/>
      </c>
      <c r="W12" s="34" t="str">
        <f aca="true">IF(OR($E12="",$O12&lt;&gt;""),"",IF(NOW()-$E12&gt;7,"⚑",""))</f>
        <v/>
      </c>
      <c r="X12" s="34" t="str">
        <f aca="false">IF($L12="✗","⚑","")</f>
        <v/>
      </c>
      <c r="Y12" s="29"/>
    </row>
    <row r="13" customFormat="false" ht="15" hidden="false" customHeight="false" outlineLevel="0" collapsed="false">
      <c r="A13" s="29"/>
      <c r="B13" s="29"/>
      <c r="C13" s="29"/>
      <c r="D13" s="29"/>
      <c r="E13" s="36"/>
      <c r="F13" s="36"/>
      <c r="G13" s="31"/>
      <c r="H13" s="29"/>
      <c r="I13" s="30"/>
      <c r="J13" s="34" t="str">
        <f aca="false">IF($I13="","",IF(OR($I13&gt;150,$H13="R4 Hoàn 100%"),"CEO",IF($I13&gt;50,"OPS","CX")))</f>
        <v/>
      </c>
      <c r="K13" s="29"/>
      <c r="L13" s="34" t="str">
        <f aca="false">IF(OR($J13="",$K13=""),"",IF(MATCH($K13,DS!$H$2:$H$4,0)&gt;=MATCH($J13,DS!$H$2:$H$4,0),"✓","✗"))</f>
        <v/>
      </c>
      <c r="M13" s="31"/>
      <c r="N13" s="31"/>
      <c r="O13" s="31"/>
      <c r="P13" s="29"/>
      <c r="Q13" s="29"/>
      <c r="R13" s="30"/>
      <c r="S13" s="37" t="str">
        <f aca="false">IF($A13="","",N($I13)-N($R13))</f>
        <v/>
      </c>
      <c r="T13" s="34" t="str">
        <f aca="false">IF(OR($E13="",$F13=""),"",ROUND(($F13-$E13)*24,1))</f>
        <v/>
      </c>
      <c r="U13" s="34" t="str">
        <f aca="true">IF($E13="","",INT(IF($O13="",NOW(),$O13)-$E13))</f>
        <v/>
      </c>
      <c r="V13" s="34" t="str">
        <f aca="true">IF($E13="","",IF($F13="",IF((NOW()-$E13)*24&gt;24,"⚑",""),IF(($F13-$E13)*24&gt;24,"⚑","")))</f>
        <v/>
      </c>
      <c r="W13" s="34" t="str">
        <f aca="true">IF(OR($E13="",$O13&lt;&gt;""),"",IF(NOW()-$E13&gt;7,"⚑",""))</f>
        <v/>
      </c>
      <c r="X13" s="34" t="str">
        <f aca="false">IF($L13="✗","⚑","")</f>
        <v/>
      </c>
      <c r="Y13" s="29"/>
    </row>
    <row r="14" customFormat="false" ht="15" hidden="false" customHeight="false" outlineLevel="0" collapsed="false">
      <c r="A14" s="29"/>
      <c r="B14" s="29"/>
      <c r="C14" s="29"/>
      <c r="D14" s="29"/>
      <c r="E14" s="36"/>
      <c r="F14" s="36"/>
      <c r="G14" s="31"/>
      <c r="H14" s="29"/>
      <c r="I14" s="30"/>
      <c r="J14" s="34" t="str">
        <f aca="false">IF($I14="","",IF(OR($I14&gt;150,$H14="R4 Hoàn 100%"),"CEO",IF($I14&gt;50,"OPS","CX")))</f>
        <v/>
      </c>
      <c r="K14" s="29"/>
      <c r="L14" s="34" t="str">
        <f aca="false">IF(OR($J14="",$K14=""),"",IF(MATCH($K14,DS!$H$2:$H$4,0)&gt;=MATCH($J14,DS!$H$2:$H$4,0),"✓","✗"))</f>
        <v/>
      </c>
      <c r="M14" s="31"/>
      <c r="N14" s="31"/>
      <c r="O14" s="31"/>
      <c r="P14" s="29"/>
      <c r="Q14" s="29"/>
      <c r="R14" s="30"/>
      <c r="S14" s="37" t="str">
        <f aca="false">IF($A14="","",N($I14)-N($R14))</f>
        <v/>
      </c>
      <c r="T14" s="34" t="str">
        <f aca="false">IF(OR($E14="",$F14=""),"",ROUND(($F14-$E14)*24,1))</f>
        <v/>
      </c>
      <c r="U14" s="34" t="str">
        <f aca="true">IF($E14="","",INT(IF($O14="",NOW(),$O14)-$E14))</f>
        <v/>
      </c>
      <c r="V14" s="34" t="str">
        <f aca="true">IF($E14="","",IF($F14="",IF((NOW()-$E14)*24&gt;24,"⚑",""),IF(($F14-$E14)*24&gt;24,"⚑","")))</f>
        <v/>
      </c>
      <c r="W14" s="34" t="str">
        <f aca="true">IF(OR($E14="",$O14&lt;&gt;""),"",IF(NOW()-$E14&gt;7,"⚑",""))</f>
        <v/>
      </c>
      <c r="X14" s="34" t="str">
        <f aca="false">IF($L14="✗","⚑","")</f>
        <v/>
      </c>
      <c r="Y14" s="29"/>
    </row>
    <row r="15" customFormat="false" ht="15" hidden="false" customHeight="false" outlineLevel="0" collapsed="false">
      <c r="A15" s="29"/>
      <c r="B15" s="29"/>
      <c r="C15" s="29"/>
      <c r="D15" s="29"/>
      <c r="E15" s="36"/>
      <c r="F15" s="36"/>
      <c r="G15" s="31"/>
      <c r="H15" s="29"/>
      <c r="I15" s="30"/>
      <c r="J15" s="34" t="str">
        <f aca="false">IF($I15="","",IF(OR($I15&gt;150,$H15="R4 Hoàn 100%"),"CEO",IF($I15&gt;50,"OPS","CX")))</f>
        <v/>
      </c>
      <c r="K15" s="29"/>
      <c r="L15" s="34" t="str">
        <f aca="false">IF(OR($J15="",$K15=""),"",IF(MATCH($K15,DS!$H$2:$H$4,0)&gt;=MATCH($J15,DS!$H$2:$H$4,0),"✓","✗"))</f>
        <v/>
      </c>
      <c r="M15" s="31"/>
      <c r="N15" s="31"/>
      <c r="O15" s="31"/>
      <c r="P15" s="29"/>
      <c r="Q15" s="29"/>
      <c r="R15" s="30"/>
      <c r="S15" s="37" t="str">
        <f aca="false">IF($A15="","",N($I15)-N($R15))</f>
        <v/>
      </c>
      <c r="T15" s="34" t="str">
        <f aca="false">IF(OR($E15="",$F15=""),"",ROUND(($F15-$E15)*24,1))</f>
        <v/>
      </c>
      <c r="U15" s="34" t="str">
        <f aca="true">IF($E15="","",INT(IF($O15="",NOW(),$O15)-$E15))</f>
        <v/>
      </c>
      <c r="V15" s="34" t="str">
        <f aca="true">IF($E15="","",IF($F15="",IF((NOW()-$E15)*24&gt;24,"⚑",""),IF(($F15-$E15)*24&gt;24,"⚑","")))</f>
        <v/>
      </c>
      <c r="W15" s="34" t="str">
        <f aca="true">IF(OR($E15="",$O15&lt;&gt;""),"",IF(NOW()-$E15&gt;7,"⚑",""))</f>
        <v/>
      </c>
      <c r="X15" s="34" t="str">
        <f aca="false">IF($L15="✗","⚑","")</f>
        <v/>
      </c>
      <c r="Y15" s="29"/>
    </row>
    <row r="16" customFormat="false" ht="15" hidden="false" customHeight="false" outlineLevel="0" collapsed="false">
      <c r="A16" s="29"/>
      <c r="B16" s="29"/>
      <c r="C16" s="29"/>
      <c r="D16" s="29"/>
      <c r="E16" s="36"/>
      <c r="F16" s="36"/>
      <c r="G16" s="31"/>
      <c r="H16" s="29"/>
      <c r="I16" s="30"/>
      <c r="J16" s="34" t="str">
        <f aca="false">IF($I16="","",IF(OR($I16&gt;150,$H16="R4 Hoàn 100%"),"CEO",IF($I16&gt;50,"OPS","CX")))</f>
        <v/>
      </c>
      <c r="K16" s="29"/>
      <c r="L16" s="34" t="str">
        <f aca="false">IF(OR($J16="",$K16=""),"",IF(MATCH($K16,DS!$H$2:$H$4,0)&gt;=MATCH($J16,DS!$H$2:$H$4,0),"✓","✗"))</f>
        <v/>
      </c>
      <c r="M16" s="31"/>
      <c r="N16" s="31"/>
      <c r="O16" s="31"/>
      <c r="P16" s="29"/>
      <c r="Q16" s="29"/>
      <c r="R16" s="30"/>
      <c r="S16" s="37" t="str">
        <f aca="false">IF($A16="","",N($I16)-N($R16))</f>
        <v/>
      </c>
      <c r="T16" s="34" t="str">
        <f aca="false">IF(OR($E16="",$F16=""),"",ROUND(($F16-$E16)*24,1))</f>
        <v/>
      </c>
      <c r="U16" s="34" t="str">
        <f aca="true">IF($E16="","",INT(IF($O16="",NOW(),$O16)-$E16))</f>
        <v/>
      </c>
      <c r="V16" s="34" t="str">
        <f aca="true">IF($E16="","",IF($F16="",IF((NOW()-$E16)*24&gt;24,"⚑",""),IF(($F16-$E16)*24&gt;24,"⚑","")))</f>
        <v/>
      </c>
      <c r="W16" s="34" t="str">
        <f aca="true">IF(OR($E16="",$O16&lt;&gt;""),"",IF(NOW()-$E16&gt;7,"⚑",""))</f>
        <v/>
      </c>
      <c r="X16" s="34" t="str">
        <f aca="false">IF($L16="✗","⚑","")</f>
        <v/>
      </c>
      <c r="Y16" s="29"/>
    </row>
    <row r="17" customFormat="false" ht="15" hidden="false" customHeight="false" outlineLevel="0" collapsed="false">
      <c r="A17" s="29"/>
      <c r="B17" s="29"/>
      <c r="C17" s="29"/>
      <c r="D17" s="29"/>
      <c r="E17" s="36"/>
      <c r="F17" s="36"/>
      <c r="G17" s="31"/>
      <c r="H17" s="29"/>
      <c r="I17" s="30"/>
      <c r="J17" s="34" t="str">
        <f aca="false">IF($I17="","",IF(OR($I17&gt;150,$H17="R4 Hoàn 100%"),"CEO",IF($I17&gt;50,"OPS","CX")))</f>
        <v/>
      </c>
      <c r="K17" s="29"/>
      <c r="L17" s="34" t="str">
        <f aca="false">IF(OR($J17="",$K17=""),"",IF(MATCH($K17,DS!$H$2:$H$4,0)&gt;=MATCH($J17,DS!$H$2:$H$4,0),"✓","✗"))</f>
        <v/>
      </c>
      <c r="M17" s="31"/>
      <c r="N17" s="31"/>
      <c r="O17" s="31"/>
      <c r="P17" s="29"/>
      <c r="Q17" s="29"/>
      <c r="R17" s="30"/>
      <c r="S17" s="37" t="str">
        <f aca="false">IF($A17="","",N($I17)-N($R17))</f>
        <v/>
      </c>
      <c r="T17" s="34" t="str">
        <f aca="false">IF(OR($E17="",$F17=""),"",ROUND(($F17-$E17)*24,1))</f>
        <v/>
      </c>
      <c r="U17" s="34" t="str">
        <f aca="true">IF($E17="","",INT(IF($O17="",NOW(),$O17)-$E17))</f>
        <v/>
      </c>
      <c r="V17" s="34" t="str">
        <f aca="true">IF($E17="","",IF($F17="",IF((NOW()-$E17)*24&gt;24,"⚑",""),IF(($F17-$E17)*24&gt;24,"⚑","")))</f>
        <v/>
      </c>
      <c r="W17" s="34" t="str">
        <f aca="true">IF(OR($E17="",$O17&lt;&gt;""),"",IF(NOW()-$E17&gt;7,"⚑",""))</f>
        <v/>
      </c>
      <c r="X17" s="34" t="str">
        <f aca="false">IF($L17="✗","⚑","")</f>
        <v/>
      </c>
      <c r="Y17" s="29"/>
    </row>
    <row r="18" customFormat="false" ht="15" hidden="false" customHeight="false" outlineLevel="0" collapsed="false">
      <c r="A18" s="29"/>
      <c r="B18" s="29"/>
      <c r="C18" s="29"/>
      <c r="D18" s="29"/>
      <c r="E18" s="36"/>
      <c r="F18" s="36"/>
      <c r="G18" s="31"/>
      <c r="H18" s="29"/>
      <c r="I18" s="30"/>
      <c r="J18" s="34" t="str">
        <f aca="false">IF($I18="","",IF(OR($I18&gt;150,$H18="R4 Hoàn 100%"),"CEO",IF($I18&gt;50,"OPS","CX")))</f>
        <v/>
      </c>
      <c r="K18" s="29"/>
      <c r="L18" s="34" t="str">
        <f aca="false">IF(OR($J18="",$K18=""),"",IF(MATCH($K18,DS!$H$2:$H$4,0)&gt;=MATCH($J18,DS!$H$2:$H$4,0),"✓","✗"))</f>
        <v/>
      </c>
      <c r="M18" s="31"/>
      <c r="N18" s="31"/>
      <c r="O18" s="31"/>
      <c r="P18" s="29"/>
      <c r="Q18" s="29"/>
      <c r="R18" s="30"/>
      <c r="S18" s="37" t="str">
        <f aca="false">IF($A18="","",N($I18)-N($R18))</f>
        <v/>
      </c>
      <c r="T18" s="34" t="str">
        <f aca="false">IF(OR($E18="",$F18=""),"",ROUND(($F18-$E18)*24,1))</f>
        <v/>
      </c>
      <c r="U18" s="34" t="str">
        <f aca="true">IF($E18="","",INT(IF($O18="",NOW(),$O18)-$E18))</f>
        <v/>
      </c>
      <c r="V18" s="34" t="str">
        <f aca="true">IF($E18="","",IF($F18="",IF((NOW()-$E18)*24&gt;24,"⚑",""),IF(($F18-$E18)*24&gt;24,"⚑","")))</f>
        <v/>
      </c>
      <c r="W18" s="34" t="str">
        <f aca="true">IF(OR($E18="",$O18&lt;&gt;""),"",IF(NOW()-$E18&gt;7,"⚑",""))</f>
        <v/>
      </c>
      <c r="X18" s="34" t="str">
        <f aca="false">IF($L18="✗","⚑","")</f>
        <v/>
      </c>
      <c r="Y18" s="29"/>
    </row>
    <row r="19" customFormat="false" ht="15" hidden="false" customHeight="false" outlineLevel="0" collapsed="false">
      <c r="A19" s="29"/>
      <c r="B19" s="29"/>
      <c r="C19" s="29"/>
      <c r="D19" s="29"/>
      <c r="E19" s="36"/>
      <c r="F19" s="36"/>
      <c r="G19" s="31"/>
      <c r="H19" s="29"/>
      <c r="I19" s="30"/>
      <c r="J19" s="34" t="str">
        <f aca="false">IF($I19="","",IF(OR($I19&gt;150,$H19="R4 Hoàn 100%"),"CEO",IF($I19&gt;50,"OPS","CX")))</f>
        <v/>
      </c>
      <c r="K19" s="29"/>
      <c r="L19" s="34" t="str">
        <f aca="false">IF(OR($J19="",$K19=""),"",IF(MATCH($K19,DS!$H$2:$H$4,0)&gt;=MATCH($J19,DS!$H$2:$H$4,0),"✓","✗"))</f>
        <v/>
      </c>
      <c r="M19" s="31"/>
      <c r="N19" s="31"/>
      <c r="O19" s="31"/>
      <c r="P19" s="29"/>
      <c r="Q19" s="29"/>
      <c r="R19" s="30"/>
      <c r="S19" s="37" t="str">
        <f aca="false">IF($A19="","",N($I19)-N($R19))</f>
        <v/>
      </c>
      <c r="T19" s="34" t="str">
        <f aca="false">IF(OR($E19="",$F19=""),"",ROUND(($F19-$E19)*24,1))</f>
        <v/>
      </c>
      <c r="U19" s="34" t="str">
        <f aca="true">IF($E19="","",INT(IF($O19="",NOW(),$O19)-$E19))</f>
        <v/>
      </c>
      <c r="V19" s="34" t="str">
        <f aca="true">IF($E19="","",IF($F19="",IF((NOW()-$E19)*24&gt;24,"⚑",""),IF(($F19-$E19)*24&gt;24,"⚑","")))</f>
        <v/>
      </c>
      <c r="W19" s="34" t="str">
        <f aca="true">IF(OR($E19="",$O19&lt;&gt;""),"",IF(NOW()-$E19&gt;7,"⚑",""))</f>
        <v/>
      </c>
      <c r="X19" s="34" t="str">
        <f aca="false">IF($L19="✗","⚑","")</f>
        <v/>
      </c>
      <c r="Y19" s="29"/>
    </row>
    <row r="20" customFormat="false" ht="15" hidden="false" customHeight="false" outlineLevel="0" collapsed="false">
      <c r="A20" s="29"/>
      <c r="B20" s="29"/>
      <c r="C20" s="29"/>
      <c r="D20" s="29"/>
      <c r="E20" s="36"/>
      <c r="F20" s="36"/>
      <c r="G20" s="31"/>
      <c r="H20" s="29"/>
      <c r="I20" s="30"/>
      <c r="J20" s="34" t="str">
        <f aca="false">IF($I20="","",IF(OR($I20&gt;150,$H20="R4 Hoàn 100%"),"CEO",IF($I20&gt;50,"OPS","CX")))</f>
        <v/>
      </c>
      <c r="K20" s="29"/>
      <c r="L20" s="34" t="str">
        <f aca="false">IF(OR($J20="",$K20=""),"",IF(MATCH($K20,DS!$H$2:$H$4,0)&gt;=MATCH($J20,DS!$H$2:$H$4,0),"✓","✗"))</f>
        <v/>
      </c>
      <c r="M20" s="31"/>
      <c r="N20" s="31"/>
      <c r="O20" s="31"/>
      <c r="P20" s="29"/>
      <c r="Q20" s="29"/>
      <c r="R20" s="30"/>
      <c r="S20" s="37" t="str">
        <f aca="false">IF($A20="","",N($I20)-N($R20))</f>
        <v/>
      </c>
      <c r="T20" s="34" t="str">
        <f aca="false">IF(OR($E20="",$F20=""),"",ROUND(($F20-$E20)*24,1))</f>
        <v/>
      </c>
      <c r="U20" s="34" t="str">
        <f aca="true">IF($E20="","",INT(IF($O20="",NOW(),$O20)-$E20))</f>
        <v/>
      </c>
      <c r="V20" s="34" t="str">
        <f aca="true">IF($E20="","",IF($F20="",IF((NOW()-$E20)*24&gt;24,"⚑",""),IF(($F20-$E20)*24&gt;24,"⚑","")))</f>
        <v/>
      </c>
      <c r="W20" s="34" t="str">
        <f aca="true">IF(OR($E20="",$O20&lt;&gt;""),"",IF(NOW()-$E20&gt;7,"⚑",""))</f>
        <v/>
      </c>
      <c r="X20" s="34" t="str">
        <f aca="false">IF($L20="✗","⚑","")</f>
        <v/>
      </c>
      <c r="Y20" s="29"/>
    </row>
    <row r="21" customFormat="false" ht="15" hidden="false" customHeight="false" outlineLevel="0" collapsed="false">
      <c r="A21" s="29"/>
      <c r="B21" s="29"/>
      <c r="C21" s="29"/>
      <c r="D21" s="29"/>
      <c r="E21" s="36"/>
      <c r="F21" s="36"/>
      <c r="G21" s="31"/>
      <c r="H21" s="29"/>
      <c r="I21" s="30"/>
      <c r="J21" s="34" t="str">
        <f aca="false">IF($I21="","",IF(OR($I21&gt;150,$H21="R4 Hoàn 100%"),"CEO",IF($I21&gt;50,"OPS","CX")))</f>
        <v/>
      </c>
      <c r="K21" s="29"/>
      <c r="L21" s="34" t="str">
        <f aca="false">IF(OR($J21="",$K21=""),"",IF(MATCH($K21,DS!$H$2:$H$4,0)&gt;=MATCH($J21,DS!$H$2:$H$4,0),"✓","✗"))</f>
        <v/>
      </c>
      <c r="M21" s="31"/>
      <c r="N21" s="31"/>
      <c r="O21" s="31"/>
      <c r="P21" s="29"/>
      <c r="Q21" s="29"/>
      <c r="R21" s="30"/>
      <c r="S21" s="37" t="str">
        <f aca="false">IF($A21="","",N($I21)-N($R21))</f>
        <v/>
      </c>
      <c r="T21" s="34" t="str">
        <f aca="false">IF(OR($E21="",$F21=""),"",ROUND(($F21-$E21)*24,1))</f>
        <v/>
      </c>
      <c r="U21" s="34" t="str">
        <f aca="true">IF($E21="","",INT(IF($O21="",NOW(),$O21)-$E21))</f>
        <v/>
      </c>
      <c r="V21" s="34" t="str">
        <f aca="true">IF($E21="","",IF($F21="",IF((NOW()-$E21)*24&gt;24,"⚑",""),IF(($F21-$E21)*24&gt;24,"⚑","")))</f>
        <v/>
      </c>
      <c r="W21" s="34" t="str">
        <f aca="true">IF(OR($E21="",$O21&lt;&gt;""),"",IF(NOW()-$E21&gt;7,"⚑",""))</f>
        <v/>
      </c>
      <c r="X21" s="34" t="str">
        <f aca="false">IF($L21="✗","⚑","")</f>
        <v/>
      </c>
      <c r="Y21" s="29"/>
    </row>
    <row r="22" customFormat="false" ht="15" hidden="false" customHeight="false" outlineLevel="0" collapsed="false">
      <c r="A22" s="29"/>
      <c r="B22" s="29"/>
      <c r="C22" s="29"/>
      <c r="D22" s="29"/>
      <c r="E22" s="36"/>
      <c r="F22" s="36"/>
      <c r="G22" s="31"/>
      <c r="H22" s="29"/>
      <c r="I22" s="30"/>
      <c r="J22" s="34" t="str">
        <f aca="false">IF($I22="","",IF(OR($I22&gt;150,$H22="R4 Hoàn 100%"),"CEO",IF($I22&gt;50,"OPS","CX")))</f>
        <v/>
      </c>
      <c r="K22" s="29"/>
      <c r="L22" s="34" t="str">
        <f aca="false">IF(OR($J22="",$K22=""),"",IF(MATCH($K22,DS!$H$2:$H$4,0)&gt;=MATCH($J22,DS!$H$2:$H$4,0),"✓","✗"))</f>
        <v/>
      </c>
      <c r="M22" s="31"/>
      <c r="N22" s="31"/>
      <c r="O22" s="31"/>
      <c r="P22" s="29"/>
      <c r="Q22" s="29"/>
      <c r="R22" s="30"/>
      <c r="S22" s="37" t="str">
        <f aca="false">IF($A22="","",N($I22)-N($R22))</f>
        <v/>
      </c>
      <c r="T22" s="34" t="str">
        <f aca="false">IF(OR($E22="",$F22=""),"",ROUND(($F22-$E22)*24,1))</f>
        <v/>
      </c>
      <c r="U22" s="34" t="str">
        <f aca="true">IF($E22="","",INT(IF($O22="",NOW(),$O22)-$E22))</f>
        <v/>
      </c>
      <c r="V22" s="34" t="str">
        <f aca="true">IF($E22="","",IF($F22="",IF((NOW()-$E22)*24&gt;24,"⚑",""),IF(($F22-$E22)*24&gt;24,"⚑","")))</f>
        <v/>
      </c>
      <c r="W22" s="34" t="str">
        <f aca="true">IF(OR($E22="",$O22&lt;&gt;""),"",IF(NOW()-$E22&gt;7,"⚑",""))</f>
        <v/>
      </c>
      <c r="X22" s="34" t="str">
        <f aca="false">IF($L22="✗","⚑","")</f>
        <v/>
      </c>
      <c r="Y22" s="29"/>
    </row>
    <row r="23" customFormat="false" ht="15" hidden="false" customHeight="false" outlineLevel="0" collapsed="false">
      <c r="A23" s="29"/>
      <c r="B23" s="29"/>
      <c r="C23" s="29"/>
      <c r="D23" s="29"/>
      <c r="E23" s="36"/>
      <c r="F23" s="36"/>
      <c r="G23" s="31"/>
      <c r="H23" s="29"/>
      <c r="I23" s="30"/>
      <c r="J23" s="34" t="str">
        <f aca="false">IF($I23="","",IF(OR($I23&gt;150,$H23="R4 Hoàn 100%"),"CEO",IF($I23&gt;50,"OPS","CX")))</f>
        <v/>
      </c>
      <c r="K23" s="29"/>
      <c r="L23" s="34" t="str">
        <f aca="false">IF(OR($J23="",$K23=""),"",IF(MATCH($K23,DS!$H$2:$H$4,0)&gt;=MATCH($J23,DS!$H$2:$H$4,0),"✓","✗"))</f>
        <v/>
      </c>
      <c r="M23" s="31"/>
      <c r="N23" s="31"/>
      <c r="O23" s="31"/>
      <c r="P23" s="29"/>
      <c r="Q23" s="29"/>
      <c r="R23" s="30"/>
      <c r="S23" s="37" t="str">
        <f aca="false">IF($A23="","",N($I23)-N($R23))</f>
        <v/>
      </c>
      <c r="T23" s="34" t="str">
        <f aca="false">IF(OR($E23="",$F23=""),"",ROUND(($F23-$E23)*24,1))</f>
        <v/>
      </c>
      <c r="U23" s="34" t="str">
        <f aca="true">IF($E23="","",INT(IF($O23="",NOW(),$O23)-$E23))</f>
        <v/>
      </c>
      <c r="V23" s="34" t="str">
        <f aca="true">IF($E23="","",IF($F23="",IF((NOW()-$E23)*24&gt;24,"⚑",""),IF(($F23-$E23)*24&gt;24,"⚑","")))</f>
        <v/>
      </c>
      <c r="W23" s="34" t="str">
        <f aca="true">IF(OR($E23="",$O23&lt;&gt;""),"",IF(NOW()-$E23&gt;7,"⚑",""))</f>
        <v/>
      </c>
      <c r="X23" s="34" t="str">
        <f aca="false">IF($L23="✗","⚑","")</f>
        <v/>
      </c>
      <c r="Y23" s="29"/>
    </row>
    <row r="24" customFormat="false" ht="15" hidden="false" customHeight="false" outlineLevel="0" collapsed="false">
      <c r="A24" s="29"/>
      <c r="B24" s="29"/>
      <c r="C24" s="29"/>
      <c r="D24" s="29"/>
      <c r="E24" s="36"/>
      <c r="F24" s="36"/>
      <c r="G24" s="31"/>
      <c r="H24" s="29"/>
      <c r="I24" s="30"/>
      <c r="J24" s="34" t="str">
        <f aca="false">IF($I24="","",IF(OR($I24&gt;150,$H24="R4 Hoàn 100%"),"CEO",IF($I24&gt;50,"OPS","CX")))</f>
        <v/>
      </c>
      <c r="K24" s="29"/>
      <c r="L24" s="34" t="str">
        <f aca="false">IF(OR($J24="",$K24=""),"",IF(MATCH($K24,DS!$H$2:$H$4,0)&gt;=MATCH($J24,DS!$H$2:$H$4,0),"✓","✗"))</f>
        <v/>
      </c>
      <c r="M24" s="31"/>
      <c r="N24" s="31"/>
      <c r="O24" s="31"/>
      <c r="P24" s="29"/>
      <c r="Q24" s="29"/>
      <c r="R24" s="30"/>
      <c r="S24" s="37" t="str">
        <f aca="false">IF($A24="","",N($I24)-N($R24))</f>
        <v/>
      </c>
      <c r="T24" s="34" t="str">
        <f aca="false">IF(OR($E24="",$F24=""),"",ROUND(($F24-$E24)*24,1))</f>
        <v/>
      </c>
      <c r="U24" s="34" t="str">
        <f aca="true">IF($E24="","",INT(IF($O24="",NOW(),$O24)-$E24))</f>
        <v/>
      </c>
      <c r="V24" s="34" t="str">
        <f aca="true">IF($E24="","",IF($F24="",IF((NOW()-$E24)*24&gt;24,"⚑",""),IF(($F24-$E24)*24&gt;24,"⚑","")))</f>
        <v/>
      </c>
      <c r="W24" s="34" t="str">
        <f aca="true">IF(OR($E24="",$O24&lt;&gt;""),"",IF(NOW()-$E24&gt;7,"⚑",""))</f>
        <v/>
      </c>
      <c r="X24" s="34" t="str">
        <f aca="false">IF($L24="✗","⚑","")</f>
        <v/>
      </c>
      <c r="Y24" s="29"/>
    </row>
    <row r="25" customFormat="false" ht="15" hidden="false" customHeight="false" outlineLevel="0" collapsed="false">
      <c r="A25" s="29"/>
      <c r="B25" s="29"/>
      <c r="C25" s="29"/>
      <c r="D25" s="29"/>
      <c r="E25" s="36"/>
      <c r="F25" s="36"/>
      <c r="G25" s="31"/>
      <c r="H25" s="29"/>
      <c r="I25" s="30"/>
      <c r="J25" s="34" t="str">
        <f aca="false">IF($I25="","",IF(OR($I25&gt;150,$H25="R4 Hoàn 100%"),"CEO",IF($I25&gt;50,"OPS","CX")))</f>
        <v/>
      </c>
      <c r="K25" s="29"/>
      <c r="L25" s="34" t="str">
        <f aca="false">IF(OR($J25="",$K25=""),"",IF(MATCH($K25,DS!$H$2:$H$4,0)&gt;=MATCH($J25,DS!$H$2:$H$4,0),"✓","✗"))</f>
        <v/>
      </c>
      <c r="M25" s="31"/>
      <c r="N25" s="31"/>
      <c r="O25" s="31"/>
      <c r="P25" s="29"/>
      <c r="Q25" s="29"/>
      <c r="R25" s="30"/>
      <c r="S25" s="37" t="str">
        <f aca="false">IF($A25="","",N($I25)-N($R25))</f>
        <v/>
      </c>
      <c r="T25" s="34" t="str">
        <f aca="false">IF(OR($E25="",$F25=""),"",ROUND(($F25-$E25)*24,1))</f>
        <v/>
      </c>
      <c r="U25" s="34" t="str">
        <f aca="true">IF($E25="","",INT(IF($O25="",NOW(),$O25)-$E25))</f>
        <v/>
      </c>
      <c r="V25" s="34" t="str">
        <f aca="true">IF($E25="","",IF($F25="",IF((NOW()-$E25)*24&gt;24,"⚑",""),IF(($F25-$E25)*24&gt;24,"⚑","")))</f>
        <v/>
      </c>
      <c r="W25" s="34" t="str">
        <f aca="true">IF(OR($E25="",$O25&lt;&gt;""),"",IF(NOW()-$E25&gt;7,"⚑",""))</f>
        <v/>
      </c>
      <c r="X25" s="34" t="str">
        <f aca="false">IF($L25="✗","⚑","")</f>
        <v/>
      </c>
      <c r="Y25" s="29"/>
    </row>
    <row r="26" customFormat="false" ht="15" hidden="false" customHeight="false" outlineLevel="0" collapsed="false">
      <c r="A26" s="29"/>
      <c r="B26" s="29"/>
      <c r="C26" s="29"/>
      <c r="D26" s="29"/>
      <c r="E26" s="36"/>
      <c r="F26" s="36"/>
      <c r="G26" s="31"/>
      <c r="H26" s="29"/>
      <c r="I26" s="30"/>
      <c r="J26" s="34" t="str">
        <f aca="false">IF($I26="","",IF(OR($I26&gt;150,$H26="R4 Hoàn 100%"),"CEO",IF($I26&gt;50,"OPS","CX")))</f>
        <v/>
      </c>
      <c r="K26" s="29"/>
      <c r="L26" s="34" t="str">
        <f aca="false">IF(OR($J26="",$K26=""),"",IF(MATCH($K26,DS!$H$2:$H$4,0)&gt;=MATCH($J26,DS!$H$2:$H$4,0),"✓","✗"))</f>
        <v/>
      </c>
      <c r="M26" s="31"/>
      <c r="N26" s="31"/>
      <c r="O26" s="31"/>
      <c r="P26" s="29"/>
      <c r="Q26" s="29"/>
      <c r="R26" s="30"/>
      <c r="S26" s="37" t="str">
        <f aca="false">IF($A26="","",N($I26)-N($R26))</f>
        <v/>
      </c>
      <c r="T26" s="34" t="str">
        <f aca="false">IF(OR($E26="",$F26=""),"",ROUND(($F26-$E26)*24,1))</f>
        <v/>
      </c>
      <c r="U26" s="34" t="str">
        <f aca="true">IF($E26="","",INT(IF($O26="",NOW(),$O26)-$E26))</f>
        <v/>
      </c>
      <c r="V26" s="34" t="str">
        <f aca="true">IF($E26="","",IF($F26="",IF((NOW()-$E26)*24&gt;24,"⚑",""),IF(($F26-$E26)*24&gt;24,"⚑","")))</f>
        <v/>
      </c>
      <c r="W26" s="34" t="str">
        <f aca="true">IF(OR($E26="",$O26&lt;&gt;""),"",IF(NOW()-$E26&gt;7,"⚑",""))</f>
        <v/>
      </c>
      <c r="X26" s="34" t="str">
        <f aca="false">IF($L26="✗","⚑","")</f>
        <v/>
      </c>
      <c r="Y26" s="29"/>
    </row>
    <row r="27" customFormat="false" ht="15" hidden="false" customHeight="false" outlineLevel="0" collapsed="false">
      <c r="A27" s="29"/>
      <c r="B27" s="29"/>
      <c r="C27" s="29"/>
      <c r="D27" s="29"/>
      <c r="E27" s="36"/>
      <c r="F27" s="36"/>
      <c r="G27" s="31"/>
      <c r="H27" s="29"/>
      <c r="I27" s="30"/>
      <c r="J27" s="34" t="str">
        <f aca="false">IF($I27="","",IF(OR($I27&gt;150,$H27="R4 Hoàn 100%"),"CEO",IF($I27&gt;50,"OPS","CX")))</f>
        <v/>
      </c>
      <c r="K27" s="29"/>
      <c r="L27" s="34" t="str">
        <f aca="false">IF(OR($J27="",$K27=""),"",IF(MATCH($K27,DS!$H$2:$H$4,0)&gt;=MATCH($J27,DS!$H$2:$H$4,0),"✓","✗"))</f>
        <v/>
      </c>
      <c r="M27" s="31"/>
      <c r="N27" s="31"/>
      <c r="O27" s="31"/>
      <c r="P27" s="29"/>
      <c r="Q27" s="29"/>
      <c r="R27" s="30"/>
      <c r="S27" s="37" t="str">
        <f aca="false">IF($A27="","",N($I27)-N($R27))</f>
        <v/>
      </c>
      <c r="T27" s="34" t="str">
        <f aca="false">IF(OR($E27="",$F27=""),"",ROUND(($F27-$E27)*24,1))</f>
        <v/>
      </c>
      <c r="U27" s="34" t="str">
        <f aca="true">IF($E27="","",INT(IF($O27="",NOW(),$O27)-$E27))</f>
        <v/>
      </c>
      <c r="V27" s="34" t="str">
        <f aca="true">IF($E27="","",IF($F27="",IF((NOW()-$E27)*24&gt;24,"⚑",""),IF(($F27-$E27)*24&gt;24,"⚑","")))</f>
        <v/>
      </c>
      <c r="W27" s="34" t="str">
        <f aca="true">IF(OR($E27="",$O27&lt;&gt;""),"",IF(NOW()-$E27&gt;7,"⚑",""))</f>
        <v/>
      </c>
      <c r="X27" s="34" t="str">
        <f aca="false">IF($L27="✗","⚑","")</f>
        <v/>
      </c>
      <c r="Y27" s="29"/>
    </row>
    <row r="28" customFormat="false" ht="15" hidden="false" customHeight="false" outlineLevel="0" collapsed="false">
      <c r="A28" s="29"/>
      <c r="B28" s="29"/>
      <c r="C28" s="29"/>
      <c r="D28" s="29"/>
      <c r="E28" s="36"/>
      <c r="F28" s="36"/>
      <c r="G28" s="31"/>
      <c r="H28" s="29"/>
      <c r="I28" s="30"/>
      <c r="J28" s="34" t="str">
        <f aca="false">IF($I28="","",IF(OR($I28&gt;150,$H28="R4 Hoàn 100%"),"CEO",IF($I28&gt;50,"OPS","CX")))</f>
        <v/>
      </c>
      <c r="K28" s="29"/>
      <c r="L28" s="34" t="str">
        <f aca="false">IF(OR($J28="",$K28=""),"",IF(MATCH($K28,DS!$H$2:$H$4,0)&gt;=MATCH($J28,DS!$H$2:$H$4,0),"✓","✗"))</f>
        <v/>
      </c>
      <c r="M28" s="31"/>
      <c r="N28" s="31"/>
      <c r="O28" s="31"/>
      <c r="P28" s="29"/>
      <c r="Q28" s="29"/>
      <c r="R28" s="30"/>
      <c r="S28" s="37" t="str">
        <f aca="false">IF($A28="","",N($I28)-N($R28))</f>
        <v/>
      </c>
      <c r="T28" s="34" t="str">
        <f aca="false">IF(OR($E28="",$F28=""),"",ROUND(($F28-$E28)*24,1))</f>
        <v/>
      </c>
      <c r="U28" s="34" t="str">
        <f aca="true">IF($E28="","",INT(IF($O28="",NOW(),$O28)-$E28))</f>
        <v/>
      </c>
      <c r="V28" s="34" t="str">
        <f aca="true">IF($E28="","",IF($F28="",IF((NOW()-$E28)*24&gt;24,"⚑",""),IF(($F28-$E28)*24&gt;24,"⚑","")))</f>
        <v/>
      </c>
      <c r="W28" s="34" t="str">
        <f aca="true">IF(OR($E28="",$O28&lt;&gt;""),"",IF(NOW()-$E28&gt;7,"⚑",""))</f>
        <v/>
      </c>
      <c r="X28" s="34" t="str">
        <f aca="false">IF($L28="✗","⚑","")</f>
        <v/>
      </c>
      <c r="Y28" s="29"/>
    </row>
    <row r="29" customFormat="false" ht="15" hidden="false" customHeight="false" outlineLevel="0" collapsed="false">
      <c r="A29" s="29"/>
      <c r="B29" s="29"/>
      <c r="C29" s="29"/>
      <c r="D29" s="29"/>
      <c r="E29" s="36"/>
      <c r="F29" s="36"/>
      <c r="G29" s="31"/>
      <c r="H29" s="29"/>
      <c r="I29" s="30"/>
      <c r="J29" s="34" t="str">
        <f aca="false">IF($I29="","",IF(OR($I29&gt;150,$H29="R4 Hoàn 100%"),"CEO",IF($I29&gt;50,"OPS","CX")))</f>
        <v/>
      </c>
      <c r="K29" s="29"/>
      <c r="L29" s="34" t="str">
        <f aca="false">IF(OR($J29="",$K29=""),"",IF(MATCH($K29,DS!$H$2:$H$4,0)&gt;=MATCH($J29,DS!$H$2:$H$4,0),"✓","✗"))</f>
        <v/>
      </c>
      <c r="M29" s="31"/>
      <c r="N29" s="31"/>
      <c r="O29" s="31"/>
      <c r="P29" s="29"/>
      <c r="Q29" s="29"/>
      <c r="R29" s="30"/>
      <c r="S29" s="37" t="str">
        <f aca="false">IF($A29="","",N($I29)-N($R29))</f>
        <v/>
      </c>
      <c r="T29" s="34" t="str">
        <f aca="false">IF(OR($E29="",$F29=""),"",ROUND(($F29-$E29)*24,1))</f>
        <v/>
      </c>
      <c r="U29" s="34" t="str">
        <f aca="true">IF($E29="","",INT(IF($O29="",NOW(),$O29)-$E29))</f>
        <v/>
      </c>
      <c r="V29" s="34" t="str">
        <f aca="true">IF($E29="","",IF($F29="",IF((NOW()-$E29)*24&gt;24,"⚑",""),IF(($F29-$E29)*24&gt;24,"⚑","")))</f>
        <v/>
      </c>
      <c r="W29" s="34" t="str">
        <f aca="true">IF(OR($E29="",$O29&lt;&gt;""),"",IF(NOW()-$E29&gt;7,"⚑",""))</f>
        <v/>
      </c>
      <c r="X29" s="34" t="str">
        <f aca="false">IF($L29="✗","⚑","")</f>
        <v/>
      </c>
      <c r="Y29" s="29"/>
    </row>
    <row r="30" customFormat="false" ht="15" hidden="false" customHeight="false" outlineLevel="0" collapsed="false">
      <c r="A30" s="29"/>
      <c r="B30" s="29"/>
      <c r="C30" s="29"/>
      <c r="D30" s="29"/>
      <c r="E30" s="36"/>
      <c r="F30" s="36"/>
      <c r="G30" s="31"/>
      <c r="H30" s="29"/>
      <c r="I30" s="30"/>
      <c r="J30" s="34" t="str">
        <f aca="false">IF($I30="","",IF(OR($I30&gt;150,$H30="R4 Hoàn 100%"),"CEO",IF($I30&gt;50,"OPS","CX")))</f>
        <v/>
      </c>
      <c r="K30" s="29"/>
      <c r="L30" s="34" t="str">
        <f aca="false">IF(OR($J30="",$K30=""),"",IF(MATCH($K30,DS!$H$2:$H$4,0)&gt;=MATCH($J30,DS!$H$2:$H$4,0),"✓","✗"))</f>
        <v/>
      </c>
      <c r="M30" s="31"/>
      <c r="N30" s="31"/>
      <c r="O30" s="31"/>
      <c r="P30" s="29"/>
      <c r="Q30" s="29"/>
      <c r="R30" s="30"/>
      <c r="S30" s="37" t="str">
        <f aca="false">IF($A30="","",N($I30)-N($R30))</f>
        <v/>
      </c>
      <c r="T30" s="34" t="str">
        <f aca="false">IF(OR($E30="",$F30=""),"",ROUND(($F30-$E30)*24,1))</f>
        <v/>
      </c>
      <c r="U30" s="34" t="str">
        <f aca="true">IF($E30="","",INT(IF($O30="",NOW(),$O30)-$E30))</f>
        <v/>
      </c>
      <c r="V30" s="34" t="str">
        <f aca="true">IF($E30="","",IF($F30="",IF((NOW()-$E30)*24&gt;24,"⚑",""),IF(($F30-$E30)*24&gt;24,"⚑","")))</f>
        <v/>
      </c>
      <c r="W30" s="34" t="str">
        <f aca="true">IF(OR($E30="",$O30&lt;&gt;""),"",IF(NOW()-$E30&gt;7,"⚑",""))</f>
        <v/>
      </c>
      <c r="X30" s="34" t="str">
        <f aca="false">IF($L30="✗","⚑","")</f>
        <v/>
      </c>
      <c r="Y30" s="29"/>
    </row>
    <row r="31" customFormat="false" ht="15" hidden="false" customHeight="false" outlineLevel="0" collapsed="false">
      <c r="A31" s="29"/>
      <c r="B31" s="29"/>
      <c r="C31" s="29"/>
      <c r="D31" s="29"/>
      <c r="E31" s="36"/>
      <c r="F31" s="36"/>
      <c r="G31" s="31"/>
      <c r="H31" s="29"/>
      <c r="I31" s="30"/>
      <c r="J31" s="34" t="str">
        <f aca="false">IF($I31="","",IF(OR($I31&gt;150,$H31="R4 Hoàn 100%"),"CEO",IF($I31&gt;50,"OPS","CX")))</f>
        <v/>
      </c>
      <c r="K31" s="29"/>
      <c r="L31" s="34" t="str">
        <f aca="false">IF(OR($J31="",$K31=""),"",IF(MATCH($K31,DS!$H$2:$H$4,0)&gt;=MATCH($J31,DS!$H$2:$H$4,0),"✓","✗"))</f>
        <v/>
      </c>
      <c r="M31" s="31"/>
      <c r="N31" s="31"/>
      <c r="O31" s="31"/>
      <c r="P31" s="29"/>
      <c r="Q31" s="29"/>
      <c r="R31" s="30"/>
      <c r="S31" s="37" t="str">
        <f aca="false">IF($A31="","",N($I31)-N($R31))</f>
        <v/>
      </c>
      <c r="T31" s="34" t="str">
        <f aca="false">IF(OR($E31="",$F31=""),"",ROUND(($F31-$E31)*24,1))</f>
        <v/>
      </c>
      <c r="U31" s="34" t="str">
        <f aca="true">IF($E31="","",INT(IF($O31="",NOW(),$O31)-$E31))</f>
        <v/>
      </c>
      <c r="V31" s="34" t="str">
        <f aca="true">IF($E31="","",IF($F31="",IF((NOW()-$E31)*24&gt;24,"⚑",""),IF(($F31-$E31)*24&gt;24,"⚑","")))</f>
        <v/>
      </c>
      <c r="W31" s="34" t="str">
        <f aca="true">IF(OR($E31="",$O31&lt;&gt;""),"",IF(NOW()-$E31&gt;7,"⚑",""))</f>
        <v/>
      </c>
      <c r="X31" s="34" t="str">
        <f aca="false">IF($L31="✗","⚑","")</f>
        <v/>
      </c>
      <c r="Y31" s="29"/>
    </row>
    <row r="32" customFormat="false" ht="15" hidden="false" customHeight="false" outlineLevel="0" collapsed="false">
      <c r="A32" s="29"/>
      <c r="B32" s="29"/>
      <c r="C32" s="29"/>
      <c r="D32" s="29"/>
      <c r="E32" s="36"/>
      <c r="F32" s="36"/>
      <c r="G32" s="31"/>
      <c r="H32" s="29"/>
      <c r="I32" s="30"/>
      <c r="J32" s="34" t="str">
        <f aca="false">IF($I32="","",IF(OR($I32&gt;150,$H32="R4 Hoàn 100%"),"CEO",IF($I32&gt;50,"OPS","CX")))</f>
        <v/>
      </c>
      <c r="K32" s="29"/>
      <c r="L32" s="34" t="str">
        <f aca="false">IF(OR($J32="",$K32=""),"",IF(MATCH($K32,DS!$H$2:$H$4,0)&gt;=MATCH($J32,DS!$H$2:$H$4,0),"✓","✗"))</f>
        <v/>
      </c>
      <c r="M32" s="31"/>
      <c r="N32" s="31"/>
      <c r="O32" s="31"/>
      <c r="P32" s="29"/>
      <c r="Q32" s="29"/>
      <c r="R32" s="30"/>
      <c r="S32" s="37" t="str">
        <f aca="false">IF($A32="","",N($I32)-N($R32))</f>
        <v/>
      </c>
      <c r="T32" s="34" t="str">
        <f aca="false">IF(OR($E32="",$F32=""),"",ROUND(($F32-$E32)*24,1))</f>
        <v/>
      </c>
      <c r="U32" s="34" t="str">
        <f aca="true">IF($E32="","",INT(IF($O32="",NOW(),$O32)-$E32))</f>
        <v/>
      </c>
      <c r="V32" s="34" t="str">
        <f aca="true">IF($E32="","",IF($F32="",IF((NOW()-$E32)*24&gt;24,"⚑",""),IF(($F32-$E32)*24&gt;24,"⚑","")))</f>
        <v/>
      </c>
      <c r="W32" s="34" t="str">
        <f aca="true">IF(OR($E32="",$O32&lt;&gt;""),"",IF(NOW()-$E32&gt;7,"⚑",""))</f>
        <v/>
      </c>
      <c r="X32" s="34" t="str">
        <f aca="false">IF($L32="✗","⚑","")</f>
        <v/>
      </c>
      <c r="Y32" s="29"/>
    </row>
    <row r="33" customFormat="false" ht="15" hidden="false" customHeight="false" outlineLevel="0" collapsed="false">
      <c r="A33" s="29"/>
      <c r="B33" s="29"/>
      <c r="C33" s="29"/>
      <c r="D33" s="29"/>
      <c r="E33" s="36"/>
      <c r="F33" s="36"/>
      <c r="G33" s="31"/>
      <c r="H33" s="29"/>
      <c r="I33" s="30"/>
      <c r="J33" s="34" t="str">
        <f aca="false">IF($I33="","",IF(OR($I33&gt;150,$H33="R4 Hoàn 100%"),"CEO",IF($I33&gt;50,"OPS","CX")))</f>
        <v/>
      </c>
      <c r="K33" s="29"/>
      <c r="L33" s="34" t="str">
        <f aca="false">IF(OR($J33="",$K33=""),"",IF(MATCH($K33,DS!$H$2:$H$4,0)&gt;=MATCH($J33,DS!$H$2:$H$4,0),"✓","✗"))</f>
        <v/>
      </c>
      <c r="M33" s="31"/>
      <c r="N33" s="31"/>
      <c r="O33" s="31"/>
      <c r="P33" s="29"/>
      <c r="Q33" s="29"/>
      <c r="R33" s="30"/>
      <c r="S33" s="37" t="str">
        <f aca="false">IF($A33="","",N($I33)-N($R33))</f>
        <v/>
      </c>
      <c r="T33" s="34" t="str">
        <f aca="false">IF(OR($E33="",$F33=""),"",ROUND(($F33-$E33)*24,1))</f>
        <v/>
      </c>
      <c r="U33" s="34" t="str">
        <f aca="true">IF($E33="","",INT(IF($O33="",NOW(),$O33)-$E33))</f>
        <v/>
      </c>
      <c r="V33" s="34" t="str">
        <f aca="true">IF($E33="","",IF($F33="",IF((NOW()-$E33)*24&gt;24,"⚑",""),IF(($F33-$E33)*24&gt;24,"⚑","")))</f>
        <v/>
      </c>
      <c r="W33" s="34" t="str">
        <f aca="true">IF(OR($E33="",$O33&lt;&gt;""),"",IF(NOW()-$E33&gt;7,"⚑",""))</f>
        <v/>
      </c>
      <c r="X33" s="34" t="str">
        <f aca="false">IF($L33="✗","⚑","")</f>
        <v/>
      </c>
      <c r="Y33" s="29"/>
    </row>
    <row r="34" customFormat="false" ht="15" hidden="false" customHeight="false" outlineLevel="0" collapsed="false">
      <c r="A34" s="29"/>
      <c r="B34" s="29"/>
      <c r="C34" s="29"/>
      <c r="D34" s="29"/>
      <c r="E34" s="36"/>
      <c r="F34" s="36"/>
      <c r="G34" s="31"/>
      <c r="H34" s="29"/>
      <c r="I34" s="30"/>
      <c r="J34" s="34" t="str">
        <f aca="false">IF($I34="","",IF(OR($I34&gt;150,$H34="R4 Hoàn 100%"),"CEO",IF($I34&gt;50,"OPS","CX")))</f>
        <v/>
      </c>
      <c r="K34" s="29"/>
      <c r="L34" s="34" t="str">
        <f aca="false">IF(OR($J34="",$K34=""),"",IF(MATCH($K34,DS!$H$2:$H$4,0)&gt;=MATCH($J34,DS!$H$2:$H$4,0),"✓","✗"))</f>
        <v/>
      </c>
      <c r="M34" s="31"/>
      <c r="N34" s="31"/>
      <c r="O34" s="31"/>
      <c r="P34" s="29"/>
      <c r="Q34" s="29"/>
      <c r="R34" s="30"/>
      <c r="S34" s="37" t="str">
        <f aca="false">IF($A34="","",N($I34)-N($R34))</f>
        <v/>
      </c>
      <c r="T34" s="34" t="str">
        <f aca="false">IF(OR($E34="",$F34=""),"",ROUND(($F34-$E34)*24,1))</f>
        <v/>
      </c>
      <c r="U34" s="34" t="str">
        <f aca="true">IF($E34="","",INT(IF($O34="",NOW(),$O34)-$E34))</f>
        <v/>
      </c>
      <c r="V34" s="34" t="str">
        <f aca="true">IF($E34="","",IF($F34="",IF((NOW()-$E34)*24&gt;24,"⚑",""),IF(($F34-$E34)*24&gt;24,"⚑","")))</f>
        <v/>
      </c>
      <c r="W34" s="34" t="str">
        <f aca="true">IF(OR($E34="",$O34&lt;&gt;""),"",IF(NOW()-$E34&gt;7,"⚑",""))</f>
        <v/>
      </c>
      <c r="X34" s="34" t="str">
        <f aca="false">IF($L34="✗","⚑","")</f>
        <v/>
      </c>
      <c r="Y34" s="29"/>
    </row>
    <row r="35" customFormat="false" ht="15" hidden="false" customHeight="false" outlineLevel="0" collapsed="false">
      <c r="A35" s="29"/>
      <c r="B35" s="29"/>
      <c r="C35" s="29"/>
      <c r="D35" s="29"/>
      <c r="E35" s="36"/>
      <c r="F35" s="36"/>
      <c r="G35" s="31"/>
      <c r="H35" s="29"/>
      <c r="I35" s="30"/>
      <c r="J35" s="34" t="str">
        <f aca="false">IF($I35="","",IF(OR($I35&gt;150,$H35="R4 Hoàn 100%"),"CEO",IF($I35&gt;50,"OPS","CX")))</f>
        <v/>
      </c>
      <c r="K35" s="29"/>
      <c r="L35" s="34" t="str">
        <f aca="false">IF(OR($J35="",$K35=""),"",IF(MATCH($K35,DS!$H$2:$H$4,0)&gt;=MATCH($J35,DS!$H$2:$H$4,0),"✓","✗"))</f>
        <v/>
      </c>
      <c r="M35" s="31"/>
      <c r="N35" s="31"/>
      <c r="O35" s="31"/>
      <c r="P35" s="29"/>
      <c r="Q35" s="29"/>
      <c r="R35" s="30"/>
      <c r="S35" s="37" t="str">
        <f aca="false">IF($A35="","",N($I35)-N($R35))</f>
        <v/>
      </c>
      <c r="T35" s="34" t="str">
        <f aca="false">IF(OR($E35="",$F35=""),"",ROUND(($F35-$E35)*24,1))</f>
        <v/>
      </c>
      <c r="U35" s="34" t="str">
        <f aca="true">IF($E35="","",INT(IF($O35="",NOW(),$O35)-$E35))</f>
        <v/>
      </c>
      <c r="V35" s="34" t="str">
        <f aca="true">IF($E35="","",IF($F35="",IF((NOW()-$E35)*24&gt;24,"⚑",""),IF(($F35-$E35)*24&gt;24,"⚑","")))</f>
        <v/>
      </c>
      <c r="W35" s="34" t="str">
        <f aca="true">IF(OR($E35="",$O35&lt;&gt;""),"",IF(NOW()-$E35&gt;7,"⚑",""))</f>
        <v/>
      </c>
      <c r="X35" s="34" t="str">
        <f aca="false">IF($L35="✗","⚑","")</f>
        <v/>
      </c>
      <c r="Y35" s="29"/>
    </row>
    <row r="36" customFormat="false" ht="15" hidden="false" customHeight="false" outlineLevel="0" collapsed="false">
      <c r="A36" s="29"/>
      <c r="B36" s="29"/>
      <c r="C36" s="29"/>
      <c r="D36" s="29"/>
      <c r="E36" s="36"/>
      <c r="F36" s="36"/>
      <c r="G36" s="31"/>
      <c r="H36" s="29"/>
      <c r="I36" s="30"/>
      <c r="J36" s="34" t="str">
        <f aca="false">IF($I36="","",IF(OR($I36&gt;150,$H36="R4 Hoàn 100%"),"CEO",IF($I36&gt;50,"OPS","CX")))</f>
        <v/>
      </c>
      <c r="K36" s="29"/>
      <c r="L36" s="34" t="str">
        <f aca="false">IF(OR($J36="",$K36=""),"",IF(MATCH($K36,DS!$H$2:$H$4,0)&gt;=MATCH($J36,DS!$H$2:$H$4,0),"✓","✗"))</f>
        <v/>
      </c>
      <c r="M36" s="31"/>
      <c r="N36" s="31"/>
      <c r="O36" s="31"/>
      <c r="P36" s="29"/>
      <c r="Q36" s="29"/>
      <c r="R36" s="30"/>
      <c r="S36" s="37" t="str">
        <f aca="false">IF($A36="","",N($I36)-N($R36))</f>
        <v/>
      </c>
      <c r="T36" s="34" t="str">
        <f aca="false">IF(OR($E36="",$F36=""),"",ROUND(($F36-$E36)*24,1))</f>
        <v/>
      </c>
      <c r="U36" s="34" t="str">
        <f aca="true">IF($E36="","",INT(IF($O36="",NOW(),$O36)-$E36))</f>
        <v/>
      </c>
      <c r="V36" s="34" t="str">
        <f aca="true">IF($E36="","",IF($F36="",IF((NOW()-$E36)*24&gt;24,"⚑",""),IF(($F36-$E36)*24&gt;24,"⚑","")))</f>
        <v/>
      </c>
      <c r="W36" s="34" t="str">
        <f aca="true">IF(OR($E36="",$O36&lt;&gt;""),"",IF(NOW()-$E36&gt;7,"⚑",""))</f>
        <v/>
      </c>
      <c r="X36" s="34" t="str">
        <f aca="false">IF($L36="✗","⚑","")</f>
        <v/>
      </c>
      <c r="Y36" s="29"/>
    </row>
    <row r="37" customFormat="false" ht="15" hidden="false" customHeight="false" outlineLevel="0" collapsed="false">
      <c r="A37" s="29"/>
      <c r="B37" s="29"/>
      <c r="C37" s="29"/>
      <c r="D37" s="29"/>
      <c r="E37" s="36"/>
      <c r="F37" s="36"/>
      <c r="G37" s="31"/>
      <c r="H37" s="29"/>
      <c r="I37" s="30"/>
      <c r="J37" s="34" t="str">
        <f aca="false">IF($I37="","",IF(OR($I37&gt;150,$H37="R4 Hoàn 100%"),"CEO",IF($I37&gt;50,"OPS","CX")))</f>
        <v/>
      </c>
      <c r="K37" s="29"/>
      <c r="L37" s="34" t="str">
        <f aca="false">IF(OR($J37="",$K37=""),"",IF(MATCH($K37,DS!$H$2:$H$4,0)&gt;=MATCH($J37,DS!$H$2:$H$4,0),"✓","✗"))</f>
        <v/>
      </c>
      <c r="M37" s="31"/>
      <c r="N37" s="31"/>
      <c r="O37" s="31"/>
      <c r="P37" s="29"/>
      <c r="Q37" s="29"/>
      <c r="R37" s="30"/>
      <c r="S37" s="37" t="str">
        <f aca="false">IF($A37="","",N($I37)-N($R37))</f>
        <v/>
      </c>
      <c r="T37" s="34" t="str">
        <f aca="false">IF(OR($E37="",$F37=""),"",ROUND(($F37-$E37)*24,1))</f>
        <v/>
      </c>
      <c r="U37" s="34" t="str">
        <f aca="true">IF($E37="","",INT(IF($O37="",NOW(),$O37)-$E37))</f>
        <v/>
      </c>
      <c r="V37" s="34" t="str">
        <f aca="true">IF($E37="","",IF($F37="",IF((NOW()-$E37)*24&gt;24,"⚑",""),IF(($F37-$E37)*24&gt;24,"⚑","")))</f>
        <v/>
      </c>
      <c r="W37" s="34" t="str">
        <f aca="true">IF(OR($E37="",$O37&lt;&gt;""),"",IF(NOW()-$E37&gt;7,"⚑",""))</f>
        <v/>
      </c>
      <c r="X37" s="34" t="str">
        <f aca="false">IF($L37="✗","⚑","")</f>
        <v/>
      </c>
      <c r="Y37" s="29"/>
    </row>
    <row r="38" customFormat="false" ht="15" hidden="false" customHeight="false" outlineLevel="0" collapsed="false">
      <c r="A38" s="29"/>
      <c r="B38" s="29"/>
      <c r="C38" s="29"/>
      <c r="D38" s="29"/>
      <c r="E38" s="36"/>
      <c r="F38" s="36"/>
      <c r="G38" s="31"/>
      <c r="H38" s="29"/>
      <c r="I38" s="30"/>
      <c r="J38" s="34" t="str">
        <f aca="false">IF($I38="","",IF(OR($I38&gt;150,$H38="R4 Hoàn 100%"),"CEO",IF($I38&gt;50,"OPS","CX")))</f>
        <v/>
      </c>
      <c r="K38" s="29"/>
      <c r="L38" s="34" t="str">
        <f aca="false">IF(OR($J38="",$K38=""),"",IF(MATCH($K38,DS!$H$2:$H$4,0)&gt;=MATCH($J38,DS!$H$2:$H$4,0),"✓","✗"))</f>
        <v/>
      </c>
      <c r="M38" s="31"/>
      <c r="N38" s="31"/>
      <c r="O38" s="31"/>
      <c r="P38" s="29"/>
      <c r="Q38" s="29"/>
      <c r="R38" s="30"/>
      <c r="S38" s="37" t="str">
        <f aca="false">IF($A38="","",N($I38)-N($R38))</f>
        <v/>
      </c>
      <c r="T38" s="34" t="str">
        <f aca="false">IF(OR($E38="",$F38=""),"",ROUND(($F38-$E38)*24,1))</f>
        <v/>
      </c>
      <c r="U38" s="34" t="str">
        <f aca="true">IF($E38="","",INT(IF($O38="",NOW(),$O38)-$E38))</f>
        <v/>
      </c>
      <c r="V38" s="34" t="str">
        <f aca="true">IF($E38="","",IF($F38="",IF((NOW()-$E38)*24&gt;24,"⚑",""),IF(($F38-$E38)*24&gt;24,"⚑","")))</f>
        <v/>
      </c>
      <c r="W38" s="34" t="str">
        <f aca="true">IF(OR($E38="",$O38&lt;&gt;""),"",IF(NOW()-$E38&gt;7,"⚑",""))</f>
        <v/>
      </c>
      <c r="X38" s="34" t="str">
        <f aca="false">IF($L38="✗","⚑","")</f>
        <v/>
      </c>
      <c r="Y38" s="29"/>
    </row>
    <row r="39" customFormat="false" ht="15" hidden="false" customHeight="false" outlineLevel="0" collapsed="false">
      <c r="A39" s="29"/>
      <c r="B39" s="29"/>
      <c r="C39" s="29"/>
      <c r="D39" s="29"/>
      <c r="E39" s="36"/>
      <c r="F39" s="36"/>
      <c r="G39" s="31"/>
      <c r="H39" s="29"/>
      <c r="I39" s="30"/>
      <c r="J39" s="34" t="str">
        <f aca="false">IF($I39="","",IF(OR($I39&gt;150,$H39="R4 Hoàn 100%"),"CEO",IF($I39&gt;50,"OPS","CX")))</f>
        <v/>
      </c>
      <c r="K39" s="29"/>
      <c r="L39" s="34" t="str">
        <f aca="false">IF(OR($J39="",$K39=""),"",IF(MATCH($K39,DS!$H$2:$H$4,0)&gt;=MATCH($J39,DS!$H$2:$H$4,0),"✓","✗"))</f>
        <v/>
      </c>
      <c r="M39" s="31"/>
      <c r="N39" s="31"/>
      <c r="O39" s="31"/>
      <c r="P39" s="29"/>
      <c r="Q39" s="29"/>
      <c r="R39" s="30"/>
      <c r="S39" s="37" t="str">
        <f aca="false">IF($A39="","",N($I39)-N($R39))</f>
        <v/>
      </c>
      <c r="T39" s="34" t="str">
        <f aca="false">IF(OR($E39="",$F39=""),"",ROUND(($F39-$E39)*24,1))</f>
        <v/>
      </c>
      <c r="U39" s="34" t="str">
        <f aca="true">IF($E39="","",INT(IF($O39="",NOW(),$O39)-$E39))</f>
        <v/>
      </c>
      <c r="V39" s="34" t="str">
        <f aca="true">IF($E39="","",IF($F39="",IF((NOW()-$E39)*24&gt;24,"⚑",""),IF(($F39-$E39)*24&gt;24,"⚑","")))</f>
        <v/>
      </c>
      <c r="W39" s="34" t="str">
        <f aca="true">IF(OR($E39="",$O39&lt;&gt;""),"",IF(NOW()-$E39&gt;7,"⚑",""))</f>
        <v/>
      </c>
      <c r="X39" s="34" t="str">
        <f aca="false">IF($L39="✗","⚑","")</f>
        <v/>
      </c>
      <c r="Y39" s="29"/>
    </row>
    <row r="40" customFormat="false" ht="15" hidden="false" customHeight="false" outlineLevel="0" collapsed="false">
      <c r="A40" s="29"/>
      <c r="B40" s="29"/>
      <c r="C40" s="29"/>
      <c r="D40" s="29"/>
      <c r="E40" s="36"/>
      <c r="F40" s="36"/>
      <c r="G40" s="31"/>
      <c r="H40" s="29"/>
      <c r="I40" s="30"/>
      <c r="J40" s="34" t="str">
        <f aca="false">IF($I40="","",IF(OR($I40&gt;150,$H40="R4 Hoàn 100%"),"CEO",IF($I40&gt;50,"OPS","CX")))</f>
        <v/>
      </c>
      <c r="K40" s="29"/>
      <c r="L40" s="34" t="str">
        <f aca="false">IF(OR($J40="",$K40=""),"",IF(MATCH($K40,DS!$H$2:$H$4,0)&gt;=MATCH($J40,DS!$H$2:$H$4,0),"✓","✗"))</f>
        <v/>
      </c>
      <c r="M40" s="31"/>
      <c r="N40" s="31"/>
      <c r="O40" s="31"/>
      <c r="P40" s="29"/>
      <c r="Q40" s="29"/>
      <c r="R40" s="30"/>
      <c r="S40" s="37" t="str">
        <f aca="false">IF($A40="","",N($I40)-N($R40))</f>
        <v/>
      </c>
      <c r="T40" s="34" t="str">
        <f aca="false">IF(OR($E40="",$F40=""),"",ROUND(($F40-$E40)*24,1))</f>
        <v/>
      </c>
      <c r="U40" s="34" t="str">
        <f aca="true">IF($E40="","",INT(IF($O40="",NOW(),$O40)-$E40))</f>
        <v/>
      </c>
      <c r="V40" s="34" t="str">
        <f aca="true">IF($E40="","",IF($F40="",IF((NOW()-$E40)*24&gt;24,"⚑",""),IF(($F40-$E40)*24&gt;24,"⚑","")))</f>
        <v/>
      </c>
      <c r="W40" s="34" t="str">
        <f aca="true">IF(OR($E40="",$O40&lt;&gt;""),"",IF(NOW()-$E40&gt;7,"⚑",""))</f>
        <v/>
      </c>
      <c r="X40" s="34" t="str">
        <f aca="false">IF($L40="✗","⚑","")</f>
        <v/>
      </c>
      <c r="Y40" s="29"/>
    </row>
    <row r="41" customFormat="false" ht="15" hidden="false" customHeight="false" outlineLevel="0" collapsed="false">
      <c r="A41" s="29"/>
      <c r="B41" s="29"/>
      <c r="C41" s="29"/>
      <c r="D41" s="29"/>
      <c r="E41" s="36"/>
      <c r="F41" s="36"/>
      <c r="G41" s="31"/>
      <c r="H41" s="29"/>
      <c r="I41" s="30"/>
      <c r="J41" s="34" t="str">
        <f aca="false">IF($I41="","",IF(OR($I41&gt;150,$H41="R4 Hoàn 100%"),"CEO",IF($I41&gt;50,"OPS","CX")))</f>
        <v/>
      </c>
      <c r="K41" s="29"/>
      <c r="L41" s="34" t="str">
        <f aca="false">IF(OR($J41="",$K41=""),"",IF(MATCH($K41,DS!$H$2:$H$4,0)&gt;=MATCH($J41,DS!$H$2:$H$4,0),"✓","✗"))</f>
        <v/>
      </c>
      <c r="M41" s="31"/>
      <c r="N41" s="31"/>
      <c r="O41" s="31"/>
      <c r="P41" s="29"/>
      <c r="Q41" s="29"/>
      <c r="R41" s="30"/>
      <c r="S41" s="37" t="str">
        <f aca="false">IF($A41="","",N($I41)-N($R41))</f>
        <v/>
      </c>
      <c r="T41" s="34" t="str">
        <f aca="false">IF(OR($E41="",$F41=""),"",ROUND(($F41-$E41)*24,1))</f>
        <v/>
      </c>
      <c r="U41" s="34" t="str">
        <f aca="true">IF($E41="","",INT(IF($O41="",NOW(),$O41)-$E41))</f>
        <v/>
      </c>
      <c r="V41" s="34" t="str">
        <f aca="true">IF($E41="","",IF($F41="",IF((NOW()-$E41)*24&gt;24,"⚑",""),IF(($F41-$E41)*24&gt;24,"⚑","")))</f>
        <v/>
      </c>
      <c r="W41" s="34" t="str">
        <f aca="true">IF(OR($E41="",$O41&lt;&gt;""),"",IF(NOW()-$E41&gt;7,"⚑",""))</f>
        <v/>
      </c>
      <c r="X41" s="34" t="str">
        <f aca="false">IF($L41="✗","⚑","")</f>
        <v/>
      </c>
      <c r="Y41" s="29"/>
    </row>
    <row r="42" customFormat="false" ht="15" hidden="false" customHeight="false" outlineLevel="0" collapsed="false">
      <c r="A42" s="29"/>
      <c r="B42" s="29"/>
      <c r="C42" s="29"/>
      <c r="D42" s="29"/>
      <c r="E42" s="36"/>
      <c r="F42" s="36"/>
      <c r="G42" s="31"/>
      <c r="H42" s="29"/>
      <c r="I42" s="30"/>
      <c r="J42" s="34" t="str">
        <f aca="false">IF($I42="","",IF(OR($I42&gt;150,$H42="R4 Hoàn 100%"),"CEO",IF($I42&gt;50,"OPS","CX")))</f>
        <v/>
      </c>
      <c r="K42" s="29"/>
      <c r="L42" s="34" t="str">
        <f aca="false">IF(OR($J42="",$K42=""),"",IF(MATCH($K42,DS!$H$2:$H$4,0)&gt;=MATCH($J42,DS!$H$2:$H$4,0),"✓","✗"))</f>
        <v/>
      </c>
      <c r="M42" s="31"/>
      <c r="N42" s="31"/>
      <c r="O42" s="31"/>
      <c r="P42" s="29"/>
      <c r="Q42" s="29"/>
      <c r="R42" s="30"/>
      <c r="S42" s="37" t="str">
        <f aca="false">IF($A42="","",N($I42)-N($R42))</f>
        <v/>
      </c>
      <c r="T42" s="34" t="str">
        <f aca="false">IF(OR($E42="",$F42=""),"",ROUND(($F42-$E42)*24,1))</f>
        <v/>
      </c>
      <c r="U42" s="34" t="str">
        <f aca="true">IF($E42="","",INT(IF($O42="",NOW(),$O42)-$E42))</f>
        <v/>
      </c>
      <c r="V42" s="34" t="str">
        <f aca="true">IF($E42="","",IF($F42="",IF((NOW()-$E42)*24&gt;24,"⚑",""),IF(($F42-$E42)*24&gt;24,"⚑","")))</f>
        <v/>
      </c>
      <c r="W42" s="34" t="str">
        <f aca="true">IF(OR($E42="",$O42&lt;&gt;""),"",IF(NOW()-$E42&gt;7,"⚑",""))</f>
        <v/>
      </c>
      <c r="X42" s="34" t="str">
        <f aca="false">IF($L42="✗","⚑","")</f>
        <v/>
      </c>
      <c r="Y42" s="29"/>
    </row>
    <row r="43" customFormat="false" ht="15" hidden="false" customHeight="false" outlineLevel="0" collapsed="false">
      <c r="A43" s="29"/>
      <c r="B43" s="29"/>
      <c r="C43" s="29"/>
      <c r="D43" s="29"/>
      <c r="E43" s="36"/>
      <c r="F43" s="36"/>
      <c r="G43" s="31"/>
      <c r="H43" s="29"/>
      <c r="I43" s="30"/>
      <c r="J43" s="34" t="str">
        <f aca="false">IF($I43="","",IF(OR($I43&gt;150,$H43="R4 Hoàn 100%"),"CEO",IF($I43&gt;50,"OPS","CX")))</f>
        <v/>
      </c>
      <c r="K43" s="29"/>
      <c r="L43" s="34" t="str">
        <f aca="false">IF(OR($J43="",$K43=""),"",IF(MATCH($K43,DS!$H$2:$H$4,0)&gt;=MATCH($J43,DS!$H$2:$H$4,0),"✓","✗"))</f>
        <v/>
      </c>
      <c r="M43" s="31"/>
      <c r="N43" s="31"/>
      <c r="O43" s="31"/>
      <c r="P43" s="29"/>
      <c r="Q43" s="29"/>
      <c r="R43" s="30"/>
      <c r="S43" s="37" t="str">
        <f aca="false">IF($A43="","",N($I43)-N($R43))</f>
        <v/>
      </c>
      <c r="T43" s="34" t="str">
        <f aca="false">IF(OR($E43="",$F43=""),"",ROUND(($F43-$E43)*24,1))</f>
        <v/>
      </c>
      <c r="U43" s="34" t="str">
        <f aca="true">IF($E43="","",INT(IF($O43="",NOW(),$O43)-$E43))</f>
        <v/>
      </c>
      <c r="V43" s="34" t="str">
        <f aca="true">IF($E43="","",IF($F43="",IF((NOW()-$E43)*24&gt;24,"⚑",""),IF(($F43-$E43)*24&gt;24,"⚑","")))</f>
        <v/>
      </c>
      <c r="W43" s="34" t="str">
        <f aca="true">IF(OR($E43="",$O43&lt;&gt;""),"",IF(NOW()-$E43&gt;7,"⚑",""))</f>
        <v/>
      </c>
      <c r="X43" s="34" t="str">
        <f aca="false">IF($L43="✗","⚑","")</f>
        <v/>
      </c>
      <c r="Y43" s="29"/>
    </row>
    <row r="44" customFormat="false" ht="15" hidden="false" customHeight="false" outlineLevel="0" collapsed="false">
      <c r="A44" s="29"/>
      <c r="B44" s="29"/>
      <c r="C44" s="29"/>
      <c r="D44" s="29"/>
      <c r="E44" s="36"/>
      <c r="F44" s="36"/>
      <c r="G44" s="31"/>
      <c r="H44" s="29"/>
      <c r="I44" s="30"/>
      <c r="J44" s="34" t="str">
        <f aca="false">IF($I44="","",IF(OR($I44&gt;150,$H44="R4 Hoàn 100%"),"CEO",IF($I44&gt;50,"OPS","CX")))</f>
        <v/>
      </c>
      <c r="K44" s="29"/>
      <c r="L44" s="34" t="str">
        <f aca="false">IF(OR($J44="",$K44=""),"",IF(MATCH($K44,DS!$H$2:$H$4,0)&gt;=MATCH($J44,DS!$H$2:$H$4,0),"✓","✗"))</f>
        <v/>
      </c>
      <c r="M44" s="31"/>
      <c r="N44" s="31"/>
      <c r="O44" s="31"/>
      <c r="P44" s="29"/>
      <c r="Q44" s="29"/>
      <c r="R44" s="30"/>
      <c r="S44" s="37" t="str">
        <f aca="false">IF($A44="","",N($I44)-N($R44))</f>
        <v/>
      </c>
      <c r="T44" s="34" t="str">
        <f aca="false">IF(OR($E44="",$F44=""),"",ROUND(($F44-$E44)*24,1))</f>
        <v/>
      </c>
      <c r="U44" s="34" t="str">
        <f aca="true">IF($E44="","",INT(IF($O44="",NOW(),$O44)-$E44))</f>
        <v/>
      </c>
      <c r="V44" s="34" t="str">
        <f aca="true">IF($E44="","",IF($F44="",IF((NOW()-$E44)*24&gt;24,"⚑",""),IF(($F44-$E44)*24&gt;24,"⚑","")))</f>
        <v/>
      </c>
      <c r="W44" s="34" t="str">
        <f aca="true">IF(OR($E44="",$O44&lt;&gt;""),"",IF(NOW()-$E44&gt;7,"⚑",""))</f>
        <v/>
      </c>
      <c r="X44" s="34" t="str">
        <f aca="false">IF($L44="✗","⚑","")</f>
        <v/>
      </c>
      <c r="Y44" s="29"/>
    </row>
    <row r="45" customFormat="false" ht="15" hidden="false" customHeight="false" outlineLevel="0" collapsed="false">
      <c r="A45" s="29"/>
      <c r="B45" s="29"/>
      <c r="C45" s="29"/>
      <c r="D45" s="29"/>
      <c r="E45" s="36"/>
      <c r="F45" s="36"/>
      <c r="G45" s="31"/>
      <c r="H45" s="29"/>
      <c r="I45" s="30"/>
      <c r="J45" s="34" t="str">
        <f aca="false">IF($I45="","",IF(OR($I45&gt;150,$H45="R4 Hoàn 100%"),"CEO",IF($I45&gt;50,"OPS","CX")))</f>
        <v/>
      </c>
      <c r="K45" s="29"/>
      <c r="L45" s="34" t="str">
        <f aca="false">IF(OR($J45="",$K45=""),"",IF(MATCH($K45,DS!$H$2:$H$4,0)&gt;=MATCH($J45,DS!$H$2:$H$4,0),"✓","✗"))</f>
        <v/>
      </c>
      <c r="M45" s="31"/>
      <c r="N45" s="31"/>
      <c r="O45" s="31"/>
      <c r="P45" s="29"/>
      <c r="Q45" s="29"/>
      <c r="R45" s="30"/>
      <c r="S45" s="37" t="str">
        <f aca="false">IF($A45="","",N($I45)-N($R45))</f>
        <v/>
      </c>
      <c r="T45" s="34" t="str">
        <f aca="false">IF(OR($E45="",$F45=""),"",ROUND(($F45-$E45)*24,1))</f>
        <v/>
      </c>
      <c r="U45" s="34" t="str">
        <f aca="true">IF($E45="","",INT(IF($O45="",NOW(),$O45)-$E45))</f>
        <v/>
      </c>
      <c r="V45" s="34" t="str">
        <f aca="true">IF($E45="","",IF($F45="",IF((NOW()-$E45)*24&gt;24,"⚑",""),IF(($F45-$E45)*24&gt;24,"⚑","")))</f>
        <v/>
      </c>
      <c r="W45" s="34" t="str">
        <f aca="true">IF(OR($E45="",$O45&lt;&gt;""),"",IF(NOW()-$E45&gt;7,"⚑",""))</f>
        <v/>
      </c>
      <c r="X45" s="34" t="str">
        <f aca="false">IF($L45="✗","⚑","")</f>
        <v/>
      </c>
      <c r="Y45" s="29"/>
    </row>
    <row r="46" customFormat="false" ht="15" hidden="false" customHeight="false" outlineLevel="0" collapsed="false">
      <c r="A46" s="29"/>
      <c r="B46" s="29"/>
      <c r="C46" s="29"/>
      <c r="D46" s="29"/>
      <c r="E46" s="36"/>
      <c r="F46" s="36"/>
      <c r="G46" s="31"/>
      <c r="H46" s="29"/>
      <c r="I46" s="30"/>
      <c r="J46" s="34" t="str">
        <f aca="false">IF($I46="","",IF(OR($I46&gt;150,$H46="R4 Hoàn 100%"),"CEO",IF($I46&gt;50,"OPS","CX")))</f>
        <v/>
      </c>
      <c r="K46" s="29"/>
      <c r="L46" s="34" t="str">
        <f aca="false">IF(OR($J46="",$K46=""),"",IF(MATCH($K46,DS!$H$2:$H$4,0)&gt;=MATCH($J46,DS!$H$2:$H$4,0),"✓","✗"))</f>
        <v/>
      </c>
      <c r="M46" s="31"/>
      <c r="N46" s="31"/>
      <c r="O46" s="31"/>
      <c r="P46" s="29"/>
      <c r="Q46" s="29"/>
      <c r="R46" s="30"/>
      <c r="S46" s="37" t="str">
        <f aca="false">IF($A46="","",N($I46)-N($R46))</f>
        <v/>
      </c>
      <c r="T46" s="34" t="str">
        <f aca="false">IF(OR($E46="",$F46=""),"",ROUND(($F46-$E46)*24,1))</f>
        <v/>
      </c>
      <c r="U46" s="34" t="str">
        <f aca="true">IF($E46="","",INT(IF($O46="",NOW(),$O46)-$E46))</f>
        <v/>
      </c>
      <c r="V46" s="34" t="str">
        <f aca="true">IF($E46="","",IF($F46="",IF((NOW()-$E46)*24&gt;24,"⚑",""),IF(($F46-$E46)*24&gt;24,"⚑","")))</f>
        <v/>
      </c>
      <c r="W46" s="34" t="str">
        <f aca="true">IF(OR($E46="",$O46&lt;&gt;""),"",IF(NOW()-$E46&gt;7,"⚑",""))</f>
        <v/>
      </c>
      <c r="X46" s="34" t="str">
        <f aca="false">IF($L46="✗","⚑","")</f>
        <v/>
      </c>
      <c r="Y46" s="29"/>
    </row>
    <row r="47" customFormat="false" ht="15" hidden="false" customHeight="false" outlineLevel="0" collapsed="false">
      <c r="A47" s="29"/>
      <c r="B47" s="29"/>
      <c r="C47" s="29"/>
      <c r="D47" s="29"/>
      <c r="E47" s="36"/>
      <c r="F47" s="36"/>
      <c r="G47" s="31"/>
      <c r="H47" s="29"/>
      <c r="I47" s="30"/>
      <c r="J47" s="34" t="str">
        <f aca="false">IF($I47="","",IF(OR($I47&gt;150,$H47="R4 Hoàn 100%"),"CEO",IF($I47&gt;50,"OPS","CX")))</f>
        <v/>
      </c>
      <c r="K47" s="29"/>
      <c r="L47" s="34" t="str">
        <f aca="false">IF(OR($J47="",$K47=""),"",IF(MATCH($K47,DS!$H$2:$H$4,0)&gt;=MATCH($J47,DS!$H$2:$H$4,0),"✓","✗"))</f>
        <v/>
      </c>
      <c r="M47" s="31"/>
      <c r="N47" s="31"/>
      <c r="O47" s="31"/>
      <c r="P47" s="29"/>
      <c r="Q47" s="29"/>
      <c r="R47" s="30"/>
      <c r="S47" s="37" t="str">
        <f aca="false">IF($A47="","",N($I47)-N($R47))</f>
        <v/>
      </c>
      <c r="T47" s="34" t="str">
        <f aca="false">IF(OR($E47="",$F47=""),"",ROUND(($F47-$E47)*24,1))</f>
        <v/>
      </c>
      <c r="U47" s="34" t="str">
        <f aca="true">IF($E47="","",INT(IF($O47="",NOW(),$O47)-$E47))</f>
        <v/>
      </c>
      <c r="V47" s="34" t="str">
        <f aca="true">IF($E47="","",IF($F47="",IF((NOW()-$E47)*24&gt;24,"⚑",""),IF(($F47-$E47)*24&gt;24,"⚑","")))</f>
        <v/>
      </c>
      <c r="W47" s="34" t="str">
        <f aca="true">IF(OR($E47="",$O47&lt;&gt;""),"",IF(NOW()-$E47&gt;7,"⚑",""))</f>
        <v/>
      </c>
      <c r="X47" s="34" t="str">
        <f aca="false">IF($L47="✗","⚑","")</f>
        <v/>
      </c>
      <c r="Y47" s="29"/>
    </row>
    <row r="48" customFormat="false" ht="15" hidden="false" customHeight="false" outlineLevel="0" collapsed="false">
      <c r="A48" s="29"/>
      <c r="B48" s="29"/>
      <c r="C48" s="29"/>
      <c r="D48" s="29"/>
      <c r="E48" s="36"/>
      <c r="F48" s="36"/>
      <c r="G48" s="31"/>
      <c r="H48" s="29"/>
      <c r="I48" s="30"/>
      <c r="J48" s="34" t="str">
        <f aca="false">IF($I48="","",IF(OR($I48&gt;150,$H48="R4 Hoàn 100%"),"CEO",IF($I48&gt;50,"OPS","CX")))</f>
        <v/>
      </c>
      <c r="K48" s="29"/>
      <c r="L48" s="34" t="str">
        <f aca="false">IF(OR($J48="",$K48=""),"",IF(MATCH($K48,DS!$H$2:$H$4,0)&gt;=MATCH($J48,DS!$H$2:$H$4,0),"✓","✗"))</f>
        <v/>
      </c>
      <c r="M48" s="31"/>
      <c r="N48" s="31"/>
      <c r="O48" s="31"/>
      <c r="P48" s="29"/>
      <c r="Q48" s="29"/>
      <c r="R48" s="30"/>
      <c r="S48" s="37" t="str">
        <f aca="false">IF($A48="","",N($I48)-N($R48))</f>
        <v/>
      </c>
      <c r="T48" s="34" t="str">
        <f aca="false">IF(OR($E48="",$F48=""),"",ROUND(($F48-$E48)*24,1))</f>
        <v/>
      </c>
      <c r="U48" s="34" t="str">
        <f aca="true">IF($E48="","",INT(IF($O48="",NOW(),$O48)-$E48))</f>
        <v/>
      </c>
      <c r="V48" s="34" t="str">
        <f aca="true">IF($E48="","",IF($F48="",IF((NOW()-$E48)*24&gt;24,"⚑",""),IF(($F48-$E48)*24&gt;24,"⚑","")))</f>
        <v/>
      </c>
      <c r="W48" s="34" t="str">
        <f aca="true">IF(OR($E48="",$O48&lt;&gt;""),"",IF(NOW()-$E48&gt;7,"⚑",""))</f>
        <v/>
      </c>
      <c r="X48" s="34" t="str">
        <f aca="false">IF($L48="✗","⚑","")</f>
        <v/>
      </c>
      <c r="Y48" s="29"/>
    </row>
    <row r="49" customFormat="false" ht="15" hidden="false" customHeight="false" outlineLevel="0" collapsed="false">
      <c r="A49" s="29"/>
      <c r="B49" s="29"/>
      <c r="C49" s="29"/>
      <c r="D49" s="29"/>
      <c r="E49" s="36"/>
      <c r="F49" s="36"/>
      <c r="G49" s="31"/>
      <c r="H49" s="29"/>
      <c r="I49" s="30"/>
      <c r="J49" s="34" t="str">
        <f aca="false">IF($I49="","",IF(OR($I49&gt;150,$H49="R4 Hoàn 100%"),"CEO",IF($I49&gt;50,"OPS","CX")))</f>
        <v/>
      </c>
      <c r="K49" s="29"/>
      <c r="L49" s="34" t="str">
        <f aca="false">IF(OR($J49="",$K49=""),"",IF(MATCH($K49,DS!$H$2:$H$4,0)&gt;=MATCH($J49,DS!$H$2:$H$4,0),"✓","✗"))</f>
        <v/>
      </c>
      <c r="M49" s="31"/>
      <c r="N49" s="31"/>
      <c r="O49" s="31"/>
      <c r="P49" s="29"/>
      <c r="Q49" s="29"/>
      <c r="R49" s="30"/>
      <c r="S49" s="37" t="str">
        <f aca="false">IF($A49="","",N($I49)-N($R49))</f>
        <v/>
      </c>
      <c r="T49" s="34" t="str">
        <f aca="false">IF(OR($E49="",$F49=""),"",ROUND(($F49-$E49)*24,1))</f>
        <v/>
      </c>
      <c r="U49" s="34" t="str">
        <f aca="true">IF($E49="","",INT(IF($O49="",NOW(),$O49)-$E49))</f>
        <v/>
      </c>
      <c r="V49" s="34" t="str">
        <f aca="true">IF($E49="","",IF($F49="",IF((NOW()-$E49)*24&gt;24,"⚑",""),IF(($F49-$E49)*24&gt;24,"⚑","")))</f>
        <v/>
      </c>
      <c r="W49" s="34" t="str">
        <f aca="true">IF(OR($E49="",$O49&lt;&gt;""),"",IF(NOW()-$E49&gt;7,"⚑",""))</f>
        <v/>
      </c>
      <c r="X49" s="34" t="str">
        <f aca="false">IF($L49="✗","⚑","")</f>
        <v/>
      </c>
      <c r="Y49" s="29"/>
    </row>
    <row r="50" customFormat="false" ht="15" hidden="false" customHeight="false" outlineLevel="0" collapsed="false">
      <c r="A50" s="29"/>
      <c r="B50" s="29"/>
      <c r="C50" s="29"/>
      <c r="D50" s="29"/>
      <c r="E50" s="36"/>
      <c r="F50" s="36"/>
      <c r="G50" s="31"/>
      <c r="H50" s="29"/>
      <c r="I50" s="30"/>
      <c r="J50" s="34" t="str">
        <f aca="false">IF($I50="","",IF(OR($I50&gt;150,$H50="R4 Hoàn 100%"),"CEO",IF($I50&gt;50,"OPS","CX")))</f>
        <v/>
      </c>
      <c r="K50" s="29"/>
      <c r="L50" s="34" t="str">
        <f aca="false">IF(OR($J50="",$K50=""),"",IF(MATCH($K50,DS!$H$2:$H$4,0)&gt;=MATCH($J50,DS!$H$2:$H$4,0),"✓","✗"))</f>
        <v/>
      </c>
      <c r="M50" s="31"/>
      <c r="N50" s="31"/>
      <c r="O50" s="31"/>
      <c r="P50" s="29"/>
      <c r="Q50" s="29"/>
      <c r="R50" s="30"/>
      <c r="S50" s="37" t="str">
        <f aca="false">IF($A50="","",N($I50)-N($R50))</f>
        <v/>
      </c>
      <c r="T50" s="34" t="str">
        <f aca="false">IF(OR($E50="",$F50=""),"",ROUND(($F50-$E50)*24,1))</f>
        <v/>
      </c>
      <c r="U50" s="34" t="str">
        <f aca="true">IF($E50="","",INT(IF($O50="",NOW(),$O50)-$E50))</f>
        <v/>
      </c>
      <c r="V50" s="34" t="str">
        <f aca="true">IF($E50="","",IF($F50="",IF((NOW()-$E50)*24&gt;24,"⚑",""),IF(($F50-$E50)*24&gt;24,"⚑","")))</f>
        <v/>
      </c>
      <c r="W50" s="34" t="str">
        <f aca="true">IF(OR($E50="",$O50&lt;&gt;""),"",IF(NOW()-$E50&gt;7,"⚑",""))</f>
        <v/>
      </c>
      <c r="X50" s="34" t="str">
        <f aca="false">IF($L50="✗","⚑","")</f>
        <v/>
      </c>
      <c r="Y50" s="29"/>
    </row>
    <row r="51" customFormat="false" ht="15" hidden="false" customHeight="false" outlineLevel="0" collapsed="false">
      <c r="A51" s="29"/>
      <c r="B51" s="29"/>
      <c r="C51" s="29"/>
      <c r="D51" s="29"/>
      <c r="E51" s="36"/>
      <c r="F51" s="36"/>
      <c r="G51" s="31"/>
      <c r="H51" s="29"/>
      <c r="I51" s="30"/>
      <c r="J51" s="34" t="str">
        <f aca="false">IF($I51="","",IF(OR($I51&gt;150,$H51="R4 Hoàn 100%"),"CEO",IF($I51&gt;50,"OPS","CX")))</f>
        <v/>
      </c>
      <c r="K51" s="29"/>
      <c r="L51" s="34" t="str">
        <f aca="false">IF(OR($J51="",$K51=""),"",IF(MATCH($K51,DS!$H$2:$H$4,0)&gt;=MATCH($J51,DS!$H$2:$H$4,0),"✓","✗"))</f>
        <v/>
      </c>
      <c r="M51" s="31"/>
      <c r="N51" s="31"/>
      <c r="O51" s="31"/>
      <c r="P51" s="29"/>
      <c r="Q51" s="29"/>
      <c r="R51" s="30"/>
      <c r="S51" s="37" t="str">
        <f aca="false">IF($A51="","",N($I51)-N($R51))</f>
        <v/>
      </c>
      <c r="T51" s="34" t="str">
        <f aca="false">IF(OR($E51="",$F51=""),"",ROUND(($F51-$E51)*24,1))</f>
        <v/>
      </c>
      <c r="U51" s="34" t="str">
        <f aca="true">IF($E51="","",INT(IF($O51="",NOW(),$O51)-$E51))</f>
        <v/>
      </c>
      <c r="V51" s="34" t="str">
        <f aca="true">IF($E51="","",IF($F51="",IF((NOW()-$E51)*24&gt;24,"⚑",""),IF(($F51-$E51)*24&gt;24,"⚑","")))</f>
        <v/>
      </c>
      <c r="W51" s="34" t="str">
        <f aca="true">IF(OR($E51="",$O51&lt;&gt;""),"",IF(NOW()-$E51&gt;7,"⚑",""))</f>
        <v/>
      </c>
      <c r="X51" s="34" t="str">
        <f aca="false">IF($L51="✗","⚑","")</f>
        <v/>
      </c>
      <c r="Y51" s="29"/>
    </row>
    <row r="52" customFormat="false" ht="15" hidden="false" customHeight="false" outlineLevel="0" collapsed="false">
      <c r="A52" s="29"/>
      <c r="B52" s="29"/>
      <c r="C52" s="29"/>
      <c r="D52" s="29"/>
      <c r="E52" s="36"/>
      <c r="F52" s="36"/>
      <c r="G52" s="31"/>
      <c r="H52" s="29"/>
      <c r="I52" s="30"/>
      <c r="J52" s="34" t="str">
        <f aca="false">IF($I52="","",IF(OR($I52&gt;150,$H52="R4 Hoàn 100%"),"CEO",IF($I52&gt;50,"OPS","CX")))</f>
        <v/>
      </c>
      <c r="K52" s="29"/>
      <c r="L52" s="34" t="str">
        <f aca="false">IF(OR($J52="",$K52=""),"",IF(MATCH($K52,DS!$H$2:$H$4,0)&gt;=MATCH($J52,DS!$H$2:$H$4,0),"✓","✗"))</f>
        <v/>
      </c>
      <c r="M52" s="31"/>
      <c r="N52" s="31"/>
      <c r="O52" s="31"/>
      <c r="P52" s="29"/>
      <c r="Q52" s="29"/>
      <c r="R52" s="30"/>
      <c r="S52" s="37" t="str">
        <f aca="false">IF($A52="","",N($I52)-N($R52))</f>
        <v/>
      </c>
      <c r="T52" s="34" t="str">
        <f aca="false">IF(OR($E52="",$F52=""),"",ROUND(($F52-$E52)*24,1))</f>
        <v/>
      </c>
      <c r="U52" s="34" t="str">
        <f aca="true">IF($E52="","",INT(IF($O52="",NOW(),$O52)-$E52))</f>
        <v/>
      </c>
      <c r="V52" s="34" t="str">
        <f aca="true">IF($E52="","",IF($F52="",IF((NOW()-$E52)*24&gt;24,"⚑",""),IF(($F52-$E52)*24&gt;24,"⚑","")))</f>
        <v/>
      </c>
      <c r="W52" s="34" t="str">
        <f aca="true">IF(OR($E52="",$O52&lt;&gt;""),"",IF(NOW()-$E52&gt;7,"⚑",""))</f>
        <v/>
      </c>
      <c r="X52" s="34" t="str">
        <f aca="false">IF($L52="✗","⚑","")</f>
        <v/>
      </c>
      <c r="Y52" s="29"/>
    </row>
    <row r="53" customFormat="false" ht="15" hidden="false" customHeight="false" outlineLevel="0" collapsed="false">
      <c r="A53" s="29"/>
      <c r="B53" s="29"/>
      <c r="C53" s="29"/>
      <c r="D53" s="29"/>
      <c r="E53" s="36"/>
      <c r="F53" s="36"/>
      <c r="G53" s="31"/>
      <c r="H53" s="29"/>
      <c r="I53" s="30"/>
      <c r="J53" s="34" t="str">
        <f aca="false">IF($I53="","",IF(OR($I53&gt;150,$H53="R4 Hoàn 100%"),"CEO",IF($I53&gt;50,"OPS","CX")))</f>
        <v/>
      </c>
      <c r="K53" s="29"/>
      <c r="L53" s="34" t="str">
        <f aca="false">IF(OR($J53="",$K53=""),"",IF(MATCH($K53,DS!$H$2:$H$4,0)&gt;=MATCH($J53,DS!$H$2:$H$4,0),"✓","✗"))</f>
        <v/>
      </c>
      <c r="M53" s="31"/>
      <c r="N53" s="31"/>
      <c r="O53" s="31"/>
      <c r="P53" s="29"/>
      <c r="Q53" s="29"/>
      <c r="R53" s="30"/>
      <c r="S53" s="37" t="str">
        <f aca="false">IF($A53="","",N($I53)-N($R53))</f>
        <v/>
      </c>
      <c r="T53" s="34" t="str">
        <f aca="false">IF(OR($E53="",$F53=""),"",ROUND(($F53-$E53)*24,1))</f>
        <v/>
      </c>
      <c r="U53" s="34" t="str">
        <f aca="true">IF($E53="","",INT(IF($O53="",NOW(),$O53)-$E53))</f>
        <v/>
      </c>
      <c r="V53" s="34" t="str">
        <f aca="true">IF($E53="","",IF($F53="",IF((NOW()-$E53)*24&gt;24,"⚑",""),IF(($F53-$E53)*24&gt;24,"⚑","")))</f>
        <v/>
      </c>
      <c r="W53" s="34" t="str">
        <f aca="true">IF(OR($E53="",$O53&lt;&gt;""),"",IF(NOW()-$E53&gt;7,"⚑",""))</f>
        <v/>
      </c>
      <c r="X53" s="34" t="str">
        <f aca="false">IF($L53="✗","⚑","")</f>
        <v/>
      </c>
      <c r="Y53" s="29"/>
    </row>
    <row r="54" customFormat="false" ht="15" hidden="false" customHeight="false" outlineLevel="0" collapsed="false">
      <c r="A54" s="29"/>
      <c r="B54" s="29"/>
      <c r="C54" s="29"/>
      <c r="D54" s="29"/>
      <c r="E54" s="36"/>
      <c r="F54" s="36"/>
      <c r="G54" s="31"/>
      <c r="H54" s="29"/>
      <c r="I54" s="30"/>
      <c r="J54" s="34" t="str">
        <f aca="false">IF($I54="","",IF(OR($I54&gt;150,$H54="R4 Hoàn 100%"),"CEO",IF($I54&gt;50,"OPS","CX")))</f>
        <v/>
      </c>
      <c r="K54" s="29"/>
      <c r="L54" s="34" t="str">
        <f aca="false">IF(OR($J54="",$K54=""),"",IF(MATCH($K54,DS!$H$2:$H$4,0)&gt;=MATCH($J54,DS!$H$2:$H$4,0),"✓","✗"))</f>
        <v/>
      </c>
      <c r="M54" s="31"/>
      <c r="N54" s="31"/>
      <c r="O54" s="31"/>
      <c r="P54" s="29"/>
      <c r="Q54" s="29"/>
      <c r="R54" s="30"/>
      <c r="S54" s="37" t="str">
        <f aca="false">IF($A54="","",N($I54)-N($R54))</f>
        <v/>
      </c>
      <c r="T54" s="34" t="str">
        <f aca="false">IF(OR($E54="",$F54=""),"",ROUND(($F54-$E54)*24,1))</f>
        <v/>
      </c>
      <c r="U54" s="34" t="str">
        <f aca="true">IF($E54="","",INT(IF($O54="",NOW(),$O54)-$E54))</f>
        <v/>
      </c>
      <c r="V54" s="34" t="str">
        <f aca="true">IF($E54="","",IF($F54="",IF((NOW()-$E54)*24&gt;24,"⚑",""),IF(($F54-$E54)*24&gt;24,"⚑","")))</f>
        <v/>
      </c>
      <c r="W54" s="34" t="str">
        <f aca="true">IF(OR($E54="",$O54&lt;&gt;""),"",IF(NOW()-$E54&gt;7,"⚑",""))</f>
        <v/>
      </c>
      <c r="X54" s="34" t="str">
        <f aca="false">IF($L54="✗","⚑","")</f>
        <v/>
      </c>
      <c r="Y54" s="29"/>
    </row>
    <row r="55" customFormat="false" ht="15" hidden="false" customHeight="false" outlineLevel="0" collapsed="false">
      <c r="A55" s="29"/>
      <c r="B55" s="29"/>
      <c r="C55" s="29"/>
      <c r="D55" s="29"/>
      <c r="E55" s="36"/>
      <c r="F55" s="36"/>
      <c r="G55" s="31"/>
      <c r="H55" s="29"/>
      <c r="I55" s="30"/>
      <c r="J55" s="34" t="str">
        <f aca="false">IF($I55="","",IF(OR($I55&gt;150,$H55="R4 Hoàn 100%"),"CEO",IF($I55&gt;50,"OPS","CX")))</f>
        <v/>
      </c>
      <c r="K55" s="29"/>
      <c r="L55" s="34" t="str">
        <f aca="false">IF(OR($J55="",$K55=""),"",IF(MATCH($K55,DS!$H$2:$H$4,0)&gt;=MATCH($J55,DS!$H$2:$H$4,0),"✓","✗"))</f>
        <v/>
      </c>
      <c r="M55" s="31"/>
      <c r="N55" s="31"/>
      <c r="O55" s="31"/>
      <c r="P55" s="29"/>
      <c r="Q55" s="29"/>
      <c r="R55" s="30"/>
      <c r="S55" s="37" t="str">
        <f aca="false">IF($A55="","",N($I55)-N($R55))</f>
        <v/>
      </c>
      <c r="T55" s="34" t="str">
        <f aca="false">IF(OR($E55="",$F55=""),"",ROUND(($F55-$E55)*24,1))</f>
        <v/>
      </c>
      <c r="U55" s="34" t="str">
        <f aca="true">IF($E55="","",INT(IF($O55="",NOW(),$O55)-$E55))</f>
        <v/>
      </c>
      <c r="V55" s="34" t="str">
        <f aca="true">IF($E55="","",IF($F55="",IF((NOW()-$E55)*24&gt;24,"⚑",""),IF(($F55-$E55)*24&gt;24,"⚑","")))</f>
        <v/>
      </c>
      <c r="W55" s="34" t="str">
        <f aca="true">IF(OR($E55="",$O55&lt;&gt;""),"",IF(NOW()-$E55&gt;7,"⚑",""))</f>
        <v/>
      </c>
      <c r="X55" s="34" t="str">
        <f aca="false">IF($L55="✗","⚑","")</f>
        <v/>
      </c>
      <c r="Y55" s="29"/>
    </row>
    <row r="56" customFormat="false" ht="15" hidden="false" customHeight="false" outlineLevel="0" collapsed="false">
      <c r="A56" s="29"/>
      <c r="B56" s="29"/>
      <c r="C56" s="29"/>
      <c r="D56" s="29"/>
      <c r="E56" s="36"/>
      <c r="F56" s="36"/>
      <c r="G56" s="31"/>
      <c r="H56" s="29"/>
      <c r="I56" s="30"/>
      <c r="J56" s="34" t="str">
        <f aca="false">IF($I56="","",IF(OR($I56&gt;150,$H56="R4 Hoàn 100%"),"CEO",IF($I56&gt;50,"OPS","CX")))</f>
        <v/>
      </c>
      <c r="K56" s="29"/>
      <c r="L56" s="34" t="str">
        <f aca="false">IF(OR($J56="",$K56=""),"",IF(MATCH($K56,DS!$H$2:$H$4,0)&gt;=MATCH($J56,DS!$H$2:$H$4,0),"✓","✗"))</f>
        <v/>
      </c>
      <c r="M56" s="31"/>
      <c r="N56" s="31"/>
      <c r="O56" s="31"/>
      <c r="P56" s="29"/>
      <c r="Q56" s="29"/>
      <c r="R56" s="30"/>
      <c r="S56" s="37" t="str">
        <f aca="false">IF($A56="","",N($I56)-N($R56))</f>
        <v/>
      </c>
      <c r="T56" s="34" t="str">
        <f aca="false">IF(OR($E56="",$F56=""),"",ROUND(($F56-$E56)*24,1))</f>
        <v/>
      </c>
      <c r="U56" s="34" t="str">
        <f aca="true">IF($E56="","",INT(IF($O56="",NOW(),$O56)-$E56))</f>
        <v/>
      </c>
      <c r="V56" s="34" t="str">
        <f aca="true">IF($E56="","",IF($F56="",IF((NOW()-$E56)*24&gt;24,"⚑",""),IF(($F56-$E56)*24&gt;24,"⚑","")))</f>
        <v/>
      </c>
      <c r="W56" s="34" t="str">
        <f aca="true">IF(OR($E56="",$O56&lt;&gt;""),"",IF(NOW()-$E56&gt;7,"⚑",""))</f>
        <v/>
      </c>
      <c r="X56" s="34" t="str">
        <f aca="false">IF($L56="✗","⚑","")</f>
        <v/>
      </c>
      <c r="Y56" s="29"/>
    </row>
    <row r="57" customFormat="false" ht="15" hidden="false" customHeight="false" outlineLevel="0" collapsed="false">
      <c r="A57" s="29"/>
      <c r="B57" s="29"/>
      <c r="C57" s="29"/>
      <c r="D57" s="29"/>
      <c r="E57" s="36"/>
      <c r="F57" s="36"/>
      <c r="G57" s="31"/>
      <c r="H57" s="29"/>
      <c r="I57" s="30"/>
      <c r="J57" s="34" t="str">
        <f aca="false">IF($I57="","",IF(OR($I57&gt;150,$H57="R4 Hoàn 100%"),"CEO",IF($I57&gt;50,"OPS","CX")))</f>
        <v/>
      </c>
      <c r="K57" s="29"/>
      <c r="L57" s="34" t="str">
        <f aca="false">IF(OR($J57="",$K57=""),"",IF(MATCH($K57,DS!$H$2:$H$4,0)&gt;=MATCH($J57,DS!$H$2:$H$4,0),"✓","✗"))</f>
        <v/>
      </c>
      <c r="M57" s="31"/>
      <c r="N57" s="31"/>
      <c r="O57" s="31"/>
      <c r="P57" s="29"/>
      <c r="Q57" s="29"/>
      <c r="R57" s="30"/>
      <c r="S57" s="37" t="str">
        <f aca="false">IF($A57="","",N($I57)-N($R57))</f>
        <v/>
      </c>
      <c r="T57" s="34" t="str">
        <f aca="false">IF(OR($E57="",$F57=""),"",ROUND(($F57-$E57)*24,1))</f>
        <v/>
      </c>
      <c r="U57" s="34" t="str">
        <f aca="true">IF($E57="","",INT(IF($O57="",NOW(),$O57)-$E57))</f>
        <v/>
      </c>
      <c r="V57" s="34" t="str">
        <f aca="true">IF($E57="","",IF($F57="",IF((NOW()-$E57)*24&gt;24,"⚑",""),IF(($F57-$E57)*24&gt;24,"⚑","")))</f>
        <v/>
      </c>
      <c r="W57" s="34" t="str">
        <f aca="true">IF(OR($E57="",$O57&lt;&gt;""),"",IF(NOW()-$E57&gt;7,"⚑",""))</f>
        <v/>
      </c>
      <c r="X57" s="34" t="str">
        <f aca="false">IF($L57="✗","⚑","")</f>
        <v/>
      </c>
      <c r="Y57" s="29"/>
    </row>
    <row r="58" customFormat="false" ht="15" hidden="false" customHeight="false" outlineLevel="0" collapsed="false">
      <c r="A58" s="29"/>
      <c r="B58" s="29"/>
      <c r="C58" s="29"/>
      <c r="D58" s="29"/>
      <c r="E58" s="36"/>
      <c r="F58" s="36"/>
      <c r="G58" s="31"/>
      <c r="H58" s="29"/>
      <c r="I58" s="30"/>
      <c r="J58" s="34" t="str">
        <f aca="false">IF($I58="","",IF(OR($I58&gt;150,$H58="R4 Hoàn 100%"),"CEO",IF($I58&gt;50,"OPS","CX")))</f>
        <v/>
      </c>
      <c r="K58" s="29"/>
      <c r="L58" s="34" t="str">
        <f aca="false">IF(OR($J58="",$K58=""),"",IF(MATCH($K58,DS!$H$2:$H$4,0)&gt;=MATCH($J58,DS!$H$2:$H$4,0),"✓","✗"))</f>
        <v/>
      </c>
      <c r="M58" s="31"/>
      <c r="N58" s="31"/>
      <c r="O58" s="31"/>
      <c r="P58" s="29"/>
      <c r="Q58" s="29"/>
      <c r="R58" s="30"/>
      <c r="S58" s="37" t="str">
        <f aca="false">IF($A58="","",N($I58)-N($R58))</f>
        <v/>
      </c>
      <c r="T58" s="34" t="str">
        <f aca="false">IF(OR($E58="",$F58=""),"",ROUND(($F58-$E58)*24,1))</f>
        <v/>
      </c>
      <c r="U58" s="34" t="str">
        <f aca="true">IF($E58="","",INT(IF($O58="",NOW(),$O58)-$E58))</f>
        <v/>
      </c>
      <c r="V58" s="34" t="str">
        <f aca="true">IF($E58="","",IF($F58="",IF((NOW()-$E58)*24&gt;24,"⚑",""),IF(($F58-$E58)*24&gt;24,"⚑","")))</f>
        <v/>
      </c>
      <c r="W58" s="34" t="str">
        <f aca="true">IF(OR($E58="",$O58&lt;&gt;""),"",IF(NOW()-$E58&gt;7,"⚑",""))</f>
        <v/>
      </c>
      <c r="X58" s="34" t="str">
        <f aca="false">IF($L58="✗","⚑","")</f>
        <v/>
      </c>
      <c r="Y58" s="29"/>
    </row>
    <row r="59" customFormat="false" ht="15" hidden="false" customHeight="false" outlineLevel="0" collapsed="false">
      <c r="A59" s="29"/>
      <c r="B59" s="29"/>
      <c r="C59" s="29"/>
      <c r="D59" s="29"/>
      <c r="E59" s="36"/>
      <c r="F59" s="36"/>
      <c r="G59" s="31"/>
      <c r="H59" s="29"/>
      <c r="I59" s="30"/>
      <c r="J59" s="34" t="str">
        <f aca="false">IF($I59="","",IF(OR($I59&gt;150,$H59="R4 Hoàn 100%"),"CEO",IF($I59&gt;50,"OPS","CX")))</f>
        <v/>
      </c>
      <c r="K59" s="29"/>
      <c r="L59" s="34" t="str">
        <f aca="false">IF(OR($J59="",$K59=""),"",IF(MATCH($K59,DS!$H$2:$H$4,0)&gt;=MATCH($J59,DS!$H$2:$H$4,0),"✓","✗"))</f>
        <v/>
      </c>
      <c r="M59" s="31"/>
      <c r="N59" s="31"/>
      <c r="O59" s="31"/>
      <c r="P59" s="29"/>
      <c r="Q59" s="29"/>
      <c r="R59" s="30"/>
      <c r="S59" s="37" t="str">
        <f aca="false">IF($A59="","",N($I59)-N($R59))</f>
        <v/>
      </c>
      <c r="T59" s="34" t="str">
        <f aca="false">IF(OR($E59="",$F59=""),"",ROUND(($F59-$E59)*24,1))</f>
        <v/>
      </c>
      <c r="U59" s="34" t="str">
        <f aca="true">IF($E59="","",INT(IF($O59="",NOW(),$O59)-$E59))</f>
        <v/>
      </c>
      <c r="V59" s="34" t="str">
        <f aca="true">IF($E59="","",IF($F59="",IF((NOW()-$E59)*24&gt;24,"⚑",""),IF(($F59-$E59)*24&gt;24,"⚑","")))</f>
        <v/>
      </c>
      <c r="W59" s="34" t="str">
        <f aca="true">IF(OR($E59="",$O59&lt;&gt;""),"",IF(NOW()-$E59&gt;7,"⚑",""))</f>
        <v/>
      </c>
      <c r="X59" s="34" t="str">
        <f aca="false">IF($L59="✗","⚑","")</f>
        <v/>
      </c>
      <c r="Y59" s="29"/>
    </row>
    <row r="60" customFormat="false" ht="15" hidden="false" customHeight="false" outlineLevel="0" collapsed="false">
      <c r="A60" s="29"/>
      <c r="B60" s="29"/>
      <c r="C60" s="29"/>
      <c r="D60" s="29"/>
      <c r="E60" s="36"/>
      <c r="F60" s="36"/>
      <c r="G60" s="31"/>
      <c r="H60" s="29"/>
      <c r="I60" s="30"/>
      <c r="J60" s="34" t="str">
        <f aca="false">IF($I60="","",IF(OR($I60&gt;150,$H60="R4 Hoàn 100%"),"CEO",IF($I60&gt;50,"OPS","CX")))</f>
        <v/>
      </c>
      <c r="K60" s="29"/>
      <c r="L60" s="34" t="str">
        <f aca="false">IF(OR($J60="",$K60=""),"",IF(MATCH($K60,DS!$H$2:$H$4,0)&gt;=MATCH($J60,DS!$H$2:$H$4,0),"✓","✗"))</f>
        <v/>
      </c>
      <c r="M60" s="31"/>
      <c r="N60" s="31"/>
      <c r="O60" s="31"/>
      <c r="P60" s="29"/>
      <c r="Q60" s="29"/>
      <c r="R60" s="30"/>
      <c r="S60" s="37" t="str">
        <f aca="false">IF($A60="","",N($I60)-N($R60))</f>
        <v/>
      </c>
      <c r="T60" s="34" t="str">
        <f aca="false">IF(OR($E60="",$F60=""),"",ROUND(($F60-$E60)*24,1))</f>
        <v/>
      </c>
      <c r="U60" s="34" t="str">
        <f aca="true">IF($E60="","",INT(IF($O60="",NOW(),$O60)-$E60))</f>
        <v/>
      </c>
      <c r="V60" s="34" t="str">
        <f aca="true">IF($E60="","",IF($F60="",IF((NOW()-$E60)*24&gt;24,"⚑",""),IF(($F60-$E60)*24&gt;24,"⚑","")))</f>
        <v/>
      </c>
      <c r="W60" s="34" t="str">
        <f aca="true">IF(OR($E60="",$O60&lt;&gt;""),"",IF(NOW()-$E60&gt;7,"⚑",""))</f>
        <v/>
      </c>
      <c r="X60" s="34" t="str">
        <f aca="false">IF($L60="✗","⚑","")</f>
        <v/>
      </c>
      <c r="Y60" s="29"/>
    </row>
    <row r="61" customFormat="false" ht="15" hidden="false" customHeight="false" outlineLevel="0" collapsed="false">
      <c r="A61" s="29"/>
      <c r="B61" s="29"/>
      <c r="C61" s="29"/>
      <c r="D61" s="29"/>
      <c r="E61" s="36"/>
      <c r="F61" s="36"/>
      <c r="G61" s="31"/>
      <c r="H61" s="29"/>
      <c r="I61" s="30"/>
      <c r="J61" s="34" t="str">
        <f aca="false">IF($I61="","",IF(OR($I61&gt;150,$H61="R4 Hoàn 100%"),"CEO",IF($I61&gt;50,"OPS","CX")))</f>
        <v/>
      </c>
      <c r="K61" s="29"/>
      <c r="L61" s="34" t="str">
        <f aca="false">IF(OR($J61="",$K61=""),"",IF(MATCH($K61,DS!$H$2:$H$4,0)&gt;=MATCH($J61,DS!$H$2:$H$4,0),"✓","✗"))</f>
        <v/>
      </c>
      <c r="M61" s="31"/>
      <c r="N61" s="31"/>
      <c r="O61" s="31"/>
      <c r="P61" s="29"/>
      <c r="Q61" s="29"/>
      <c r="R61" s="30"/>
      <c r="S61" s="37" t="str">
        <f aca="false">IF($A61="","",N($I61)-N($R61))</f>
        <v/>
      </c>
      <c r="T61" s="34" t="str">
        <f aca="false">IF(OR($E61="",$F61=""),"",ROUND(($F61-$E61)*24,1))</f>
        <v/>
      </c>
      <c r="U61" s="34" t="str">
        <f aca="true">IF($E61="","",INT(IF($O61="",NOW(),$O61)-$E61))</f>
        <v/>
      </c>
      <c r="V61" s="34" t="str">
        <f aca="true">IF($E61="","",IF($F61="",IF((NOW()-$E61)*24&gt;24,"⚑",""),IF(($F61-$E61)*24&gt;24,"⚑","")))</f>
        <v/>
      </c>
      <c r="W61" s="34" t="str">
        <f aca="true">IF(OR($E61="",$O61&lt;&gt;""),"",IF(NOW()-$E61&gt;7,"⚑",""))</f>
        <v/>
      </c>
      <c r="X61" s="34" t="str">
        <f aca="false">IF($L61="✗","⚑","")</f>
        <v/>
      </c>
      <c r="Y61" s="29"/>
    </row>
    <row r="62" customFormat="false" ht="15" hidden="false" customHeight="false" outlineLevel="0" collapsed="false">
      <c r="A62" s="29"/>
      <c r="B62" s="29"/>
      <c r="C62" s="29"/>
      <c r="D62" s="29"/>
      <c r="E62" s="36"/>
      <c r="F62" s="36"/>
      <c r="G62" s="31"/>
      <c r="H62" s="29"/>
      <c r="I62" s="30"/>
      <c r="J62" s="34" t="str">
        <f aca="false">IF($I62="","",IF(OR($I62&gt;150,$H62="R4 Hoàn 100%"),"CEO",IF($I62&gt;50,"OPS","CX")))</f>
        <v/>
      </c>
      <c r="K62" s="29"/>
      <c r="L62" s="34" t="str">
        <f aca="false">IF(OR($J62="",$K62=""),"",IF(MATCH($K62,DS!$H$2:$H$4,0)&gt;=MATCH($J62,DS!$H$2:$H$4,0),"✓","✗"))</f>
        <v/>
      </c>
      <c r="M62" s="31"/>
      <c r="N62" s="31"/>
      <c r="O62" s="31"/>
      <c r="P62" s="29"/>
      <c r="Q62" s="29"/>
      <c r="R62" s="30"/>
      <c r="S62" s="37" t="str">
        <f aca="false">IF($A62="","",N($I62)-N($R62))</f>
        <v/>
      </c>
      <c r="T62" s="34" t="str">
        <f aca="false">IF(OR($E62="",$F62=""),"",ROUND(($F62-$E62)*24,1))</f>
        <v/>
      </c>
      <c r="U62" s="34" t="str">
        <f aca="true">IF($E62="","",INT(IF($O62="",NOW(),$O62)-$E62))</f>
        <v/>
      </c>
      <c r="V62" s="34" t="str">
        <f aca="true">IF($E62="","",IF($F62="",IF((NOW()-$E62)*24&gt;24,"⚑",""),IF(($F62-$E62)*24&gt;24,"⚑","")))</f>
        <v/>
      </c>
      <c r="W62" s="34" t="str">
        <f aca="true">IF(OR($E62="",$O62&lt;&gt;""),"",IF(NOW()-$E62&gt;7,"⚑",""))</f>
        <v/>
      </c>
      <c r="X62" s="34" t="str">
        <f aca="false">IF($L62="✗","⚑","")</f>
        <v/>
      </c>
      <c r="Y62" s="29"/>
    </row>
    <row r="63" customFormat="false" ht="15" hidden="false" customHeight="false" outlineLevel="0" collapsed="false">
      <c r="A63" s="29"/>
      <c r="B63" s="29"/>
      <c r="C63" s="29"/>
      <c r="D63" s="29"/>
      <c r="E63" s="36"/>
      <c r="F63" s="36"/>
      <c r="G63" s="31"/>
      <c r="H63" s="29"/>
      <c r="I63" s="30"/>
      <c r="J63" s="34" t="str">
        <f aca="false">IF($I63="","",IF(OR($I63&gt;150,$H63="R4 Hoàn 100%"),"CEO",IF($I63&gt;50,"OPS","CX")))</f>
        <v/>
      </c>
      <c r="K63" s="29"/>
      <c r="L63" s="34" t="str">
        <f aca="false">IF(OR($J63="",$K63=""),"",IF(MATCH($K63,DS!$H$2:$H$4,0)&gt;=MATCH($J63,DS!$H$2:$H$4,0),"✓","✗"))</f>
        <v/>
      </c>
      <c r="M63" s="31"/>
      <c r="N63" s="31"/>
      <c r="O63" s="31"/>
      <c r="P63" s="29"/>
      <c r="Q63" s="29"/>
      <c r="R63" s="30"/>
      <c r="S63" s="37" t="str">
        <f aca="false">IF($A63="","",N($I63)-N($R63))</f>
        <v/>
      </c>
      <c r="T63" s="34" t="str">
        <f aca="false">IF(OR($E63="",$F63=""),"",ROUND(($F63-$E63)*24,1))</f>
        <v/>
      </c>
      <c r="U63" s="34" t="str">
        <f aca="true">IF($E63="","",INT(IF($O63="",NOW(),$O63)-$E63))</f>
        <v/>
      </c>
      <c r="V63" s="34" t="str">
        <f aca="true">IF($E63="","",IF($F63="",IF((NOW()-$E63)*24&gt;24,"⚑",""),IF(($F63-$E63)*24&gt;24,"⚑","")))</f>
        <v/>
      </c>
      <c r="W63" s="34" t="str">
        <f aca="true">IF(OR($E63="",$O63&lt;&gt;""),"",IF(NOW()-$E63&gt;7,"⚑",""))</f>
        <v/>
      </c>
      <c r="X63" s="34" t="str">
        <f aca="false">IF($L63="✗","⚑","")</f>
        <v/>
      </c>
      <c r="Y63" s="29"/>
    </row>
    <row r="64" customFormat="false" ht="15" hidden="false" customHeight="false" outlineLevel="0" collapsed="false">
      <c r="A64" s="29"/>
      <c r="B64" s="29"/>
      <c r="C64" s="29"/>
      <c r="D64" s="29"/>
      <c r="E64" s="36"/>
      <c r="F64" s="36"/>
      <c r="G64" s="31"/>
      <c r="H64" s="29"/>
      <c r="I64" s="30"/>
      <c r="J64" s="34" t="str">
        <f aca="false">IF($I64="","",IF(OR($I64&gt;150,$H64="R4 Hoàn 100%"),"CEO",IF($I64&gt;50,"OPS","CX")))</f>
        <v/>
      </c>
      <c r="K64" s="29"/>
      <c r="L64" s="34" t="str">
        <f aca="false">IF(OR($J64="",$K64=""),"",IF(MATCH($K64,DS!$H$2:$H$4,0)&gt;=MATCH($J64,DS!$H$2:$H$4,0),"✓","✗"))</f>
        <v/>
      </c>
      <c r="M64" s="31"/>
      <c r="N64" s="31"/>
      <c r="O64" s="31"/>
      <c r="P64" s="29"/>
      <c r="Q64" s="29"/>
      <c r="R64" s="30"/>
      <c r="S64" s="37" t="str">
        <f aca="false">IF($A64="","",N($I64)-N($R64))</f>
        <v/>
      </c>
      <c r="T64" s="34" t="str">
        <f aca="false">IF(OR($E64="",$F64=""),"",ROUND(($F64-$E64)*24,1))</f>
        <v/>
      </c>
      <c r="U64" s="34" t="str">
        <f aca="true">IF($E64="","",INT(IF($O64="",NOW(),$O64)-$E64))</f>
        <v/>
      </c>
      <c r="V64" s="34" t="str">
        <f aca="true">IF($E64="","",IF($F64="",IF((NOW()-$E64)*24&gt;24,"⚑",""),IF(($F64-$E64)*24&gt;24,"⚑","")))</f>
        <v/>
      </c>
      <c r="W64" s="34" t="str">
        <f aca="true">IF(OR($E64="",$O64&lt;&gt;""),"",IF(NOW()-$E64&gt;7,"⚑",""))</f>
        <v/>
      </c>
      <c r="X64" s="34" t="str">
        <f aca="false">IF($L64="✗","⚑","")</f>
        <v/>
      </c>
      <c r="Y64" s="29"/>
    </row>
    <row r="65" customFormat="false" ht="15" hidden="false" customHeight="false" outlineLevel="0" collapsed="false">
      <c r="A65" s="29"/>
      <c r="B65" s="29"/>
      <c r="C65" s="29"/>
      <c r="D65" s="29"/>
      <c r="E65" s="36"/>
      <c r="F65" s="36"/>
      <c r="G65" s="31"/>
      <c r="H65" s="29"/>
      <c r="I65" s="30"/>
      <c r="J65" s="34" t="str">
        <f aca="false">IF($I65="","",IF(OR($I65&gt;150,$H65="R4 Hoàn 100%"),"CEO",IF($I65&gt;50,"OPS","CX")))</f>
        <v/>
      </c>
      <c r="K65" s="29"/>
      <c r="L65" s="34" t="str">
        <f aca="false">IF(OR($J65="",$K65=""),"",IF(MATCH($K65,DS!$H$2:$H$4,0)&gt;=MATCH($J65,DS!$H$2:$H$4,0),"✓","✗"))</f>
        <v/>
      </c>
      <c r="M65" s="31"/>
      <c r="N65" s="31"/>
      <c r="O65" s="31"/>
      <c r="P65" s="29"/>
      <c r="Q65" s="29"/>
      <c r="R65" s="30"/>
      <c r="S65" s="37" t="str">
        <f aca="false">IF($A65="","",N($I65)-N($R65))</f>
        <v/>
      </c>
      <c r="T65" s="34" t="str">
        <f aca="false">IF(OR($E65="",$F65=""),"",ROUND(($F65-$E65)*24,1))</f>
        <v/>
      </c>
      <c r="U65" s="34" t="str">
        <f aca="true">IF($E65="","",INT(IF($O65="",NOW(),$O65)-$E65))</f>
        <v/>
      </c>
      <c r="V65" s="34" t="str">
        <f aca="true">IF($E65="","",IF($F65="",IF((NOW()-$E65)*24&gt;24,"⚑",""),IF(($F65-$E65)*24&gt;24,"⚑","")))</f>
        <v/>
      </c>
      <c r="W65" s="34" t="str">
        <f aca="true">IF(OR($E65="",$O65&lt;&gt;""),"",IF(NOW()-$E65&gt;7,"⚑",""))</f>
        <v/>
      </c>
      <c r="X65" s="34" t="str">
        <f aca="false">IF($L65="✗","⚑","")</f>
        <v/>
      </c>
      <c r="Y65" s="29"/>
    </row>
    <row r="66" customFormat="false" ht="15" hidden="false" customHeight="false" outlineLevel="0" collapsed="false">
      <c r="A66" s="29"/>
      <c r="B66" s="29"/>
      <c r="C66" s="29"/>
      <c r="D66" s="29"/>
      <c r="E66" s="36"/>
      <c r="F66" s="36"/>
      <c r="G66" s="31"/>
      <c r="H66" s="29"/>
      <c r="I66" s="30"/>
      <c r="J66" s="34" t="str">
        <f aca="false">IF($I66="","",IF(OR($I66&gt;150,$H66="R4 Hoàn 100%"),"CEO",IF($I66&gt;50,"OPS","CX")))</f>
        <v/>
      </c>
      <c r="K66" s="29"/>
      <c r="L66" s="34" t="str">
        <f aca="false">IF(OR($J66="",$K66=""),"",IF(MATCH($K66,DS!$H$2:$H$4,0)&gt;=MATCH($J66,DS!$H$2:$H$4,0),"✓","✗"))</f>
        <v/>
      </c>
      <c r="M66" s="31"/>
      <c r="N66" s="31"/>
      <c r="O66" s="31"/>
      <c r="P66" s="29"/>
      <c r="Q66" s="29"/>
      <c r="R66" s="30"/>
      <c r="S66" s="37" t="str">
        <f aca="false">IF($A66="","",N($I66)-N($R66))</f>
        <v/>
      </c>
      <c r="T66" s="34" t="str">
        <f aca="false">IF(OR($E66="",$F66=""),"",ROUND(($F66-$E66)*24,1))</f>
        <v/>
      </c>
      <c r="U66" s="34" t="str">
        <f aca="true">IF($E66="","",INT(IF($O66="",NOW(),$O66)-$E66))</f>
        <v/>
      </c>
      <c r="V66" s="34" t="str">
        <f aca="true">IF($E66="","",IF($F66="",IF((NOW()-$E66)*24&gt;24,"⚑",""),IF(($F66-$E66)*24&gt;24,"⚑","")))</f>
        <v/>
      </c>
      <c r="W66" s="34" t="str">
        <f aca="true">IF(OR($E66="",$O66&lt;&gt;""),"",IF(NOW()-$E66&gt;7,"⚑",""))</f>
        <v/>
      </c>
      <c r="X66" s="34" t="str">
        <f aca="false">IF($L66="✗","⚑","")</f>
        <v/>
      </c>
      <c r="Y66" s="29"/>
    </row>
    <row r="67" customFormat="false" ht="15" hidden="false" customHeight="false" outlineLevel="0" collapsed="false">
      <c r="A67" s="29"/>
      <c r="B67" s="29"/>
      <c r="C67" s="29"/>
      <c r="D67" s="29"/>
      <c r="E67" s="36"/>
      <c r="F67" s="36"/>
      <c r="G67" s="31"/>
      <c r="H67" s="29"/>
      <c r="I67" s="30"/>
      <c r="J67" s="34" t="str">
        <f aca="false">IF($I67="","",IF(OR($I67&gt;150,$H67="R4 Hoàn 100%"),"CEO",IF($I67&gt;50,"OPS","CX")))</f>
        <v/>
      </c>
      <c r="K67" s="29"/>
      <c r="L67" s="34" t="str">
        <f aca="false">IF(OR($J67="",$K67=""),"",IF(MATCH($K67,DS!$H$2:$H$4,0)&gt;=MATCH($J67,DS!$H$2:$H$4,0),"✓","✗"))</f>
        <v/>
      </c>
      <c r="M67" s="31"/>
      <c r="N67" s="31"/>
      <c r="O67" s="31"/>
      <c r="P67" s="29"/>
      <c r="Q67" s="29"/>
      <c r="R67" s="30"/>
      <c r="S67" s="37" t="str">
        <f aca="false">IF($A67="","",N($I67)-N($R67))</f>
        <v/>
      </c>
      <c r="T67" s="34" t="str">
        <f aca="false">IF(OR($E67="",$F67=""),"",ROUND(($F67-$E67)*24,1))</f>
        <v/>
      </c>
      <c r="U67" s="34" t="str">
        <f aca="true">IF($E67="","",INT(IF($O67="",NOW(),$O67)-$E67))</f>
        <v/>
      </c>
      <c r="V67" s="34" t="str">
        <f aca="true">IF($E67="","",IF($F67="",IF((NOW()-$E67)*24&gt;24,"⚑",""),IF(($F67-$E67)*24&gt;24,"⚑","")))</f>
        <v/>
      </c>
      <c r="W67" s="34" t="str">
        <f aca="true">IF(OR($E67="",$O67&lt;&gt;""),"",IF(NOW()-$E67&gt;7,"⚑",""))</f>
        <v/>
      </c>
      <c r="X67" s="34" t="str">
        <f aca="false">IF($L67="✗","⚑","")</f>
        <v/>
      </c>
      <c r="Y67" s="29"/>
    </row>
    <row r="68" customFormat="false" ht="15" hidden="false" customHeight="false" outlineLevel="0" collapsed="false">
      <c r="A68" s="29"/>
      <c r="B68" s="29"/>
      <c r="C68" s="29"/>
      <c r="D68" s="29"/>
      <c r="E68" s="36"/>
      <c r="F68" s="36"/>
      <c r="G68" s="31"/>
      <c r="H68" s="29"/>
      <c r="I68" s="30"/>
      <c r="J68" s="34" t="str">
        <f aca="false">IF($I68="","",IF(OR($I68&gt;150,$H68="R4 Hoàn 100%"),"CEO",IF($I68&gt;50,"OPS","CX")))</f>
        <v/>
      </c>
      <c r="K68" s="29"/>
      <c r="L68" s="34" t="str">
        <f aca="false">IF(OR($J68="",$K68=""),"",IF(MATCH($K68,DS!$H$2:$H$4,0)&gt;=MATCH($J68,DS!$H$2:$H$4,0),"✓","✗"))</f>
        <v/>
      </c>
      <c r="M68" s="31"/>
      <c r="N68" s="31"/>
      <c r="O68" s="31"/>
      <c r="P68" s="29"/>
      <c r="Q68" s="29"/>
      <c r="R68" s="30"/>
      <c r="S68" s="37" t="str">
        <f aca="false">IF($A68="","",N($I68)-N($R68))</f>
        <v/>
      </c>
      <c r="T68" s="34" t="str">
        <f aca="false">IF(OR($E68="",$F68=""),"",ROUND(($F68-$E68)*24,1))</f>
        <v/>
      </c>
      <c r="U68" s="34" t="str">
        <f aca="true">IF($E68="","",INT(IF($O68="",NOW(),$O68)-$E68))</f>
        <v/>
      </c>
      <c r="V68" s="34" t="str">
        <f aca="true">IF($E68="","",IF($F68="",IF((NOW()-$E68)*24&gt;24,"⚑",""),IF(($F68-$E68)*24&gt;24,"⚑","")))</f>
        <v/>
      </c>
      <c r="W68" s="34" t="str">
        <f aca="true">IF(OR($E68="",$O68&lt;&gt;""),"",IF(NOW()-$E68&gt;7,"⚑",""))</f>
        <v/>
      </c>
      <c r="X68" s="34" t="str">
        <f aca="false">IF($L68="✗","⚑","")</f>
        <v/>
      </c>
      <c r="Y68" s="29"/>
    </row>
    <row r="69" customFormat="false" ht="15" hidden="false" customHeight="false" outlineLevel="0" collapsed="false">
      <c r="A69" s="29"/>
      <c r="B69" s="29"/>
      <c r="C69" s="29"/>
      <c r="D69" s="29"/>
      <c r="E69" s="36"/>
      <c r="F69" s="36"/>
      <c r="G69" s="31"/>
      <c r="H69" s="29"/>
      <c r="I69" s="30"/>
      <c r="J69" s="34" t="str">
        <f aca="false">IF($I69="","",IF(OR($I69&gt;150,$H69="R4 Hoàn 100%"),"CEO",IF($I69&gt;50,"OPS","CX")))</f>
        <v/>
      </c>
      <c r="K69" s="29"/>
      <c r="L69" s="34" t="str">
        <f aca="false">IF(OR($J69="",$K69=""),"",IF(MATCH($K69,DS!$H$2:$H$4,0)&gt;=MATCH($J69,DS!$H$2:$H$4,0),"✓","✗"))</f>
        <v/>
      </c>
      <c r="M69" s="31"/>
      <c r="N69" s="31"/>
      <c r="O69" s="31"/>
      <c r="P69" s="29"/>
      <c r="Q69" s="29"/>
      <c r="R69" s="30"/>
      <c r="S69" s="37" t="str">
        <f aca="false">IF($A69="","",N($I69)-N($R69))</f>
        <v/>
      </c>
      <c r="T69" s="34" t="str">
        <f aca="false">IF(OR($E69="",$F69=""),"",ROUND(($F69-$E69)*24,1))</f>
        <v/>
      </c>
      <c r="U69" s="34" t="str">
        <f aca="true">IF($E69="","",INT(IF($O69="",NOW(),$O69)-$E69))</f>
        <v/>
      </c>
      <c r="V69" s="34" t="str">
        <f aca="true">IF($E69="","",IF($F69="",IF((NOW()-$E69)*24&gt;24,"⚑",""),IF(($F69-$E69)*24&gt;24,"⚑","")))</f>
        <v/>
      </c>
      <c r="W69" s="34" t="str">
        <f aca="true">IF(OR($E69="",$O69&lt;&gt;""),"",IF(NOW()-$E69&gt;7,"⚑",""))</f>
        <v/>
      </c>
      <c r="X69" s="34" t="str">
        <f aca="false">IF($L69="✗","⚑","")</f>
        <v/>
      </c>
      <c r="Y69" s="29"/>
    </row>
    <row r="70" customFormat="false" ht="15" hidden="false" customHeight="false" outlineLevel="0" collapsed="false">
      <c r="A70" s="29"/>
      <c r="B70" s="29"/>
      <c r="C70" s="29"/>
      <c r="D70" s="29"/>
      <c r="E70" s="36"/>
      <c r="F70" s="36"/>
      <c r="G70" s="31"/>
      <c r="H70" s="29"/>
      <c r="I70" s="30"/>
      <c r="J70" s="34" t="str">
        <f aca="false">IF($I70="","",IF(OR($I70&gt;150,$H70="R4 Hoàn 100%"),"CEO",IF($I70&gt;50,"OPS","CX")))</f>
        <v/>
      </c>
      <c r="K70" s="29"/>
      <c r="L70" s="34" t="str">
        <f aca="false">IF(OR($J70="",$K70=""),"",IF(MATCH($K70,DS!$H$2:$H$4,0)&gt;=MATCH($J70,DS!$H$2:$H$4,0),"✓","✗"))</f>
        <v/>
      </c>
      <c r="M70" s="31"/>
      <c r="N70" s="31"/>
      <c r="O70" s="31"/>
      <c r="P70" s="29"/>
      <c r="Q70" s="29"/>
      <c r="R70" s="30"/>
      <c r="S70" s="37" t="str">
        <f aca="false">IF($A70="","",N($I70)-N($R70))</f>
        <v/>
      </c>
      <c r="T70" s="34" t="str">
        <f aca="false">IF(OR($E70="",$F70=""),"",ROUND(($F70-$E70)*24,1))</f>
        <v/>
      </c>
      <c r="U70" s="34" t="str">
        <f aca="true">IF($E70="","",INT(IF($O70="",NOW(),$O70)-$E70))</f>
        <v/>
      </c>
      <c r="V70" s="34" t="str">
        <f aca="true">IF($E70="","",IF($F70="",IF((NOW()-$E70)*24&gt;24,"⚑",""),IF(($F70-$E70)*24&gt;24,"⚑","")))</f>
        <v/>
      </c>
      <c r="W70" s="34" t="str">
        <f aca="true">IF(OR($E70="",$O70&lt;&gt;""),"",IF(NOW()-$E70&gt;7,"⚑",""))</f>
        <v/>
      </c>
      <c r="X70" s="34" t="str">
        <f aca="false">IF($L70="✗","⚑","")</f>
        <v/>
      </c>
      <c r="Y70" s="29"/>
    </row>
    <row r="71" customFormat="false" ht="15" hidden="false" customHeight="false" outlineLevel="0" collapsed="false">
      <c r="A71" s="29"/>
      <c r="B71" s="29"/>
      <c r="C71" s="29"/>
      <c r="D71" s="29"/>
      <c r="E71" s="36"/>
      <c r="F71" s="36"/>
      <c r="G71" s="31"/>
      <c r="H71" s="29"/>
      <c r="I71" s="30"/>
      <c r="J71" s="34" t="str">
        <f aca="false">IF($I71="","",IF(OR($I71&gt;150,$H71="R4 Hoàn 100%"),"CEO",IF($I71&gt;50,"OPS","CX")))</f>
        <v/>
      </c>
      <c r="K71" s="29"/>
      <c r="L71" s="34" t="str">
        <f aca="false">IF(OR($J71="",$K71=""),"",IF(MATCH($K71,DS!$H$2:$H$4,0)&gt;=MATCH($J71,DS!$H$2:$H$4,0),"✓","✗"))</f>
        <v/>
      </c>
      <c r="M71" s="31"/>
      <c r="N71" s="31"/>
      <c r="O71" s="31"/>
      <c r="P71" s="29"/>
      <c r="Q71" s="29"/>
      <c r="R71" s="30"/>
      <c r="S71" s="37" t="str">
        <f aca="false">IF($A71="","",N($I71)-N($R71))</f>
        <v/>
      </c>
      <c r="T71" s="34" t="str">
        <f aca="false">IF(OR($E71="",$F71=""),"",ROUND(($F71-$E71)*24,1))</f>
        <v/>
      </c>
      <c r="U71" s="34" t="str">
        <f aca="true">IF($E71="","",INT(IF($O71="",NOW(),$O71)-$E71))</f>
        <v/>
      </c>
      <c r="V71" s="34" t="str">
        <f aca="true">IF($E71="","",IF($F71="",IF((NOW()-$E71)*24&gt;24,"⚑",""),IF(($F71-$E71)*24&gt;24,"⚑","")))</f>
        <v/>
      </c>
      <c r="W71" s="34" t="str">
        <f aca="true">IF(OR($E71="",$O71&lt;&gt;""),"",IF(NOW()-$E71&gt;7,"⚑",""))</f>
        <v/>
      </c>
      <c r="X71" s="34" t="str">
        <f aca="false">IF($L71="✗","⚑","")</f>
        <v/>
      </c>
      <c r="Y71" s="29"/>
    </row>
    <row r="72" customFormat="false" ht="15" hidden="false" customHeight="false" outlineLevel="0" collapsed="false">
      <c r="A72" s="29"/>
      <c r="B72" s="29"/>
      <c r="C72" s="29"/>
      <c r="D72" s="29"/>
      <c r="E72" s="36"/>
      <c r="F72" s="36"/>
      <c r="G72" s="31"/>
      <c r="H72" s="29"/>
      <c r="I72" s="30"/>
      <c r="J72" s="34" t="str">
        <f aca="false">IF($I72="","",IF(OR($I72&gt;150,$H72="R4 Hoàn 100%"),"CEO",IF($I72&gt;50,"OPS","CX")))</f>
        <v/>
      </c>
      <c r="K72" s="29"/>
      <c r="L72" s="34" t="str">
        <f aca="false">IF(OR($J72="",$K72=""),"",IF(MATCH($K72,DS!$H$2:$H$4,0)&gt;=MATCH($J72,DS!$H$2:$H$4,0),"✓","✗"))</f>
        <v/>
      </c>
      <c r="M72" s="31"/>
      <c r="N72" s="31"/>
      <c r="O72" s="31"/>
      <c r="P72" s="29"/>
      <c r="Q72" s="29"/>
      <c r="R72" s="30"/>
      <c r="S72" s="37" t="str">
        <f aca="false">IF($A72="","",N($I72)-N($R72))</f>
        <v/>
      </c>
      <c r="T72" s="34" t="str">
        <f aca="false">IF(OR($E72="",$F72=""),"",ROUND(($F72-$E72)*24,1))</f>
        <v/>
      </c>
      <c r="U72" s="34" t="str">
        <f aca="true">IF($E72="","",INT(IF($O72="",NOW(),$O72)-$E72))</f>
        <v/>
      </c>
      <c r="V72" s="34" t="str">
        <f aca="true">IF($E72="","",IF($F72="",IF((NOW()-$E72)*24&gt;24,"⚑",""),IF(($F72-$E72)*24&gt;24,"⚑","")))</f>
        <v/>
      </c>
      <c r="W72" s="34" t="str">
        <f aca="true">IF(OR($E72="",$O72&lt;&gt;""),"",IF(NOW()-$E72&gt;7,"⚑",""))</f>
        <v/>
      </c>
      <c r="X72" s="34" t="str">
        <f aca="false">IF($L72="✗","⚑","")</f>
        <v/>
      </c>
      <c r="Y72" s="29"/>
    </row>
    <row r="73" customFormat="false" ht="15" hidden="false" customHeight="false" outlineLevel="0" collapsed="false">
      <c r="A73" s="29"/>
      <c r="B73" s="29"/>
      <c r="C73" s="29"/>
      <c r="D73" s="29"/>
      <c r="E73" s="36"/>
      <c r="F73" s="36"/>
      <c r="G73" s="31"/>
      <c r="H73" s="29"/>
      <c r="I73" s="30"/>
      <c r="J73" s="34" t="str">
        <f aca="false">IF($I73="","",IF(OR($I73&gt;150,$H73="R4 Hoàn 100%"),"CEO",IF($I73&gt;50,"OPS","CX")))</f>
        <v/>
      </c>
      <c r="K73" s="29"/>
      <c r="L73" s="34" t="str">
        <f aca="false">IF(OR($J73="",$K73=""),"",IF(MATCH($K73,DS!$H$2:$H$4,0)&gt;=MATCH($J73,DS!$H$2:$H$4,0),"✓","✗"))</f>
        <v/>
      </c>
      <c r="M73" s="31"/>
      <c r="N73" s="31"/>
      <c r="O73" s="31"/>
      <c r="P73" s="29"/>
      <c r="Q73" s="29"/>
      <c r="R73" s="30"/>
      <c r="S73" s="37" t="str">
        <f aca="false">IF($A73="","",N($I73)-N($R73))</f>
        <v/>
      </c>
      <c r="T73" s="34" t="str">
        <f aca="false">IF(OR($E73="",$F73=""),"",ROUND(($F73-$E73)*24,1))</f>
        <v/>
      </c>
      <c r="U73" s="34" t="str">
        <f aca="true">IF($E73="","",INT(IF($O73="",NOW(),$O73)-$E73))</f>
        <v/>
      </c>
      <c r="V73" s="34" t="str">
        <f aca="true">IF($E73="","",IF($F73="",IF((NOW()-$E73)*24&gt;24,"⚑",""),IF(($F73-$E73)*24&gt;24,"⚑","")))</f>
        <v/>
      </c>
      <c r="W73" s="34" t="str">
        <f aca="true">IF(OR($E73="",$O73&lt;&gt;""),"",IF(NOW()-$E73&gt;7,"⚑",""))</f>
        <v/>
      </c>
      <c r="X73" s="34" t="str">
        <f aca="false">IF($L73="✗","⚑","")</f>
        <v/>
      </c>
      <c r="Y73" s="29"/>
    </row>
    <row r="74" customFormat="false" ht="15" hidden="false" customHeight="false" outlineLevel="0" collapsed="false">
      <c r="A74" s="29"/>
      <c r="B74" s="29"/>
      <c r="C74" s="29"/>
      <c r="D74" s="29"/>
      <c r="E74" s="36"/>
      <c r="F74" s="36"/>
      <c r="G74" s="31"/>
      <c r="H74" s="29"/>
      <c r="I74" s="30"/>
      <c r="J74" s="34" t="str">
        <f aca="false">IF($I74="","",IF(OR($I74&gt;150,$H74="R4 Hoàn 100%"),"CEO",IF($I74&gt;50,"OPS","CX")))</f>
        <v/>
      </c>
      <c r="K74" s="29"/>
      <c r="L74" s="34" t="str">
        <f aca="false">IF(OR($J74="",$K74=""),"",IF(MATCH($K74,DS!$H$2:$H$4,0)&gt;=MATCH($J74,DS!$H$2:$H$4,0),"✓","✗"))</f>
        <v/>
      </c>
      <c r="M74" s="31"/>
      <c r="N74" s="31"/>
      <c r="O74" s="31"/>
      <c r="P74" s="29"/>
      <c r="Q74" s="29"/>
      <c r="R74" s="30"/>
      <c r="S74" s="37" t="str">
        <f aca="false">IF($A74="","",N($I74)-N($R74))</f>
        <v/>
      </c>
      <c r="T74" s="34" t="str">
        <f aca="false">IF(OR($E74="",$F74=""),"",ROUND(($F74-$E74)*24,1))</f>
        <v/>
      </c>
      <c r="U74" s="34" t="str">
        <f aca="true">IF($E74="","",INT(IF($O74="",NOW(),$O74)-$E74))</f>
        <v/>
      </c>
      <c r="V74" s="34" t="str">
        <f aca="true">IF($E74="","",IF($F74="",IF((NOW()-$E74)*24&gt;24,"⚑",""),IF(($F74-$E74)*24&gt;24,"⚑","")))</f>
        <v/>
      </c>
      <c r="W74" s="34" t="str">
        <f aca="true">IF(OR($E74="",$O74&lt;&gt;""),"",IF(NOW()-$E74&gt;7,"⚑",""))</f>
        <v/>
      </c>
      <c r="X74" s="34" t="str">
        <f aca="false">IF($L74="✗","⚑","")</f>
        <v/>
      </c>
      <c r="Y74" s="29"/>
    </row>
    <row r="75" customFormat="false" ht="15" hidden="false" customHeight="false" outlineLevel="0" collapsed="false">
      <c r="A75" s="29"/>
      <c r="B75" s="29"/>
      <c r="C75" s="29"/>
      <c r="D75" s="29"/>
      <c r="E75" s="36"/>
      <c r="F75" s="36"/>
      <c r="G75" s="31"/>
      <c r="H75" s="29"/>
      <c r="I75" s="30"/>
      <c r="J75" s="34" t="str">
        <f aca="false">IF($I75="","",IF(OR($I75&gt;150,$H75="R4 Hoàn 100%"),"CEO",IF($I75&gt;50,"OPS","CX")))</f>
        <v/>
      </c>
      <c r="K75" s="29"/>
      <c r="L75" s="34" t="str">
        <f aca="false">IF(OR($J75="",$K75=""),"",IF(MATCH($K75,DS!$H$2:$H$4,0)&gt;=MATCH($J75,DS!$H$2:$H$4,0),"✓","✗"))</f>
        <v/>
      </c>
      <c r="M75" s="31"/>
      <c r="N75" s="31"/>
      <c r="O75" s="31"/>
      <c r="P75" s="29"/>
      <c r="Q75" s="29"/>
      <c r="R75" s="30"/>
      <c r="S75" s="37" t="str">
        <f aca="false">IF($A75="","",N($I75)-N($R75))</f>
        <v/>
      </c>
      <c r="T75" s="34" t="str">
        <f aca="false">IF(OR($E75="",$F75=""),"",ROUND(($F75-$E75)*24,1))</f>
        <v/>
      </c>
      <c r="U75" s="34" t="str">
        <f aca="true">IF($E75="","",INT(IF($O75="",NOW(),$O75)-$E75))</f>
        <v/>
      </c>
      <c r="V75" s="34" t="str">
        <f aca="true">IF($E75="","",IF($F75="",IF((NOW()-$E75)*24&gt;24,"⚑",""),IF(($F75-$E75)*24&gt;24,"⚑","")))</f>
        <v/>
      </c>
      <c r="W75" s="34" t="str">
        <f aca="true">IF(OR($E75="",$O75&lt;&gt;""),"",IF(NOW()-$E75&gt;7,"⚑",""))</f>
        <v/>
      </c>
      <c r="X75" s="34" t="str">
        <f aca="false">IF($L75="✗","⚑","")</f>
        <v/>
      </c>
      <c r="Y75" s="29"/>
    </row>
    <row r="76" customFormat="false" ht="15" hidden="false" customHeight="false" outlineLevel="0" collapsed="false">
      <c r="A76" s="29"/>
      <c r="B76" s="29"/>
      <c r="C76" s="29"/>
      <c r="D76" s="29"/>
      <c r="E76" s="36"/>
      <c r="F76" s="36"/>
      <c r="G76" s="31"/>
      <c r="H76" s="29"/>
      <c r="I76" s="30"/>
      <c r="J76" s="34" t="str">
        <f aca="false">IF($I76="","",IF(OR($I76&gt;150,$H76="R4 Hoàn 100%"),"CEO",IF($I76&gt;50,"OPS","CX")))</f>
        <v/>
      </c>
      <c r="K76" s="29"/>
      <c r="L76" s="34" t="str">
        <f aca="false">IF(OR($J76="",$K76=""),"",IF(MATCH($K76,DS!$H$2:$H$4,0)&gt;=MATCH($J76,DS!$H$2:$H$4,0),"✓","✗"))</f>
        <v/>
      </c>
      <c r="M76" s="31"/>
      <c r="N76" s="31"/>
      <c r="O76" s="31"/>
      <c r="P76" s="29"/>
      <c r="Q76" s="29"/>
      <c r="R76" s="30"/>
      <c r="S76" s="37" t="str">
        <f aca="false">IF($A76="","",N($I76)-N($R76))</f>
        <v/>
      </c>
      <c r="T76" s="34" t="str">
        <f aca="false">IF(OR($E76="",$F76=""),"",ROUND(($F76-$E76)*24,1))</f>
        <v/>
      </c>
      <c r="U76" s="34" t="str">
        <f aca="true">IF($E76="","",INT(IF($O76="",NOW(),$O76)-$E76))</f>
        <v/>
      </c>
      <c r="V76" s="34" t="str">
        <f aca="true">IF($E76="","",IF($F76="",IF((NOW()-$E76)*24&gt;24,"⚑",""),IF(($F76-$E76)*24&gt;24,"⚑","")))</f>
        <v/>
      </c>
      <c r="W76" s="34" t="str">
        <f aca="true">IF(OR($E76="",$O76&lt;&gt;""),"",IF(NOW()-$E76&gt;7,"⚑",""))</f>
        <v/>
      </c>
      <c r="X76" s="34" t="str">
        <f aca="false">IF($L76="✗","⚑","")</f>
        <v/>
      </c>
      <c r="Y76" s="29"/>
    </row>
    <row r="77" customFormat="false" ht="15" hidden="false" customHeight="false" outlineLevel="0" collapsed="false">
      <c r="A77" s="29"/>
      <c r="B77" s="29"/>
      <c r="C77" s="29"/>
      <c r="D77" s="29"/>
      <c r="E77" s="36"/>
      <c r="F77" s="36"/>
      <c r="G77" s="31"/>
      <c r="H77" s="29"/>
      <c r="I77" s="30"/>
      <c r="J77" s="34" t="str">
        <f aca="false">IF($I77="","",IF(OR($I77&gt;150,$H77="R4 Hoàn 100%"),"CEO",IF($I77&gt;50,"OPS","CX")))</f>
        <v/>
      </c>
      <c r="K77" s="29"/>
      <c r="L77" s="34" t="str">
        <f aca="false">IF(OR($J77="",$K77=""),"",IF(MATCH($K77,DS!$H$2:$H$4,0)&gt;=MATCH($J77,DS!$H$2:$H$4,0),"✓","✗"))</f>
        <v/>
      </c>
      <c r="M77" s="31"/>
      <c r="N77" s="31"/>
      <c r="O77" s="31"/>
      <c r="P77" s="29"/>
      <c r="Q77" s="29"/>
      <c r="R77" s="30"/>
      <c r="S77" s="37" t="str">
        <f aca="false">IF($A77="","",N($I77)-N($R77))</f>
        <v/>
      </c>
      <c r="T77" s="34" t="str">
        <f aca="false">IF(OR($E77="",$F77=""),"",ROUND(($F77-$E77)*24,1))</f>
        <v/>
      </c>
      <c r="U77" s="34" t="str">
        <f aca="true">IF($E77="","",INT(IF($O77="",NOW(),$O77)-$E77))</f>
        <v/>
      </c>
      <c r="V77" s="34" t="str">
        <f aca="true">IF($E77="","",IF($F77="",IF((NOW()-$E77)*24&gt;24,"⚑",""),IF(($F77-$E77)*24&gt;24,"⚑","")))</f>
        <v/>
      </c>
      <c r="W77" s="34" t="str">
        <f aca="true">IF(OR($E77="",$O77&lt;&gt;""),"",IF(NOW()-$E77&gt;7,"⚑",""))</f>
        <v/>
      </c>
      <c r="X77" s="34" t="str">
        <f aca="false">IF($L77="✗","⚑","")</f>
        <v/>
      </c>
      <c r="Y77" s="29"/>
    </row>
    <row r="78" customFormat="false" ht="15" hidden="false" customHeight="false" outlineLevel="0" collapsed="false">
      <c r="A78" s="29"/>
      <c r="B78" s="29"/>
      <c r="C78" s="29"/>
      <c r="D78" s="29"/>
      <c r="E78" s="36"/>
      <c r="F78" s="36"/>
      <c r="G78" s="31"/>
      <c r="H78" s="29"/>
      <c r="I78" s="30"/>
      <c r="J78" s="34" t="str">
        <f aca="false">IF($I78="","",IF(OR($I78&gt;150,$H78="R4 Hoàn 100%"),"CEO",IF($I78&gt;50,"OPS","CX")))</f>
        <v/>
      </c>
      <c r="K78" s="29"/>
      <c r="L78" s="34" t="str">
        <f aca="false">IF(OR($J78="",$K78=""),"",IF(MATCH($K78,DS!$H$2:$H$4,0)&gt;=MATCH($J78,DS!$H$2:$H$4,0),"✓","✗"))</f>
        <v/>
      </c>
      <c r="M78" s="31"/>
      <c r="N78" s="31"/>
      <c r="O78" s="31"/>
      <c r="P78" s="29"/>
      <c r="Q78" s="29"/>
      <c r="R78" s="30"/>
      <c r="S78" s="37" t="str">
        <f aca="false">IF($A78="","",N($I78)-N($R78))</f>
        <v/>
      </c>
      <c r="T78" s="34" t="str">
        <f aca="false">IF(OR($E78="",$F78=""),"",ROUND(($F78-$E78)*24,1))</f>
        <v/>
      </c>
      <c r="U78" s="34" t="str">
        <f aca="true">IF($E78="","",INT(IF($O78="",NOW(),$O78)-$E78))</f>
        <v/>
      </c>
      <c r="V78" s="34" t="str">
        <f aca="true">IF($E78="","",IF($F78="",IF((NOW()-$E78)*24&gt;24,"⚑",""),IF(($F78-$E78)*24&gt;24,"⚑","")))</f>
        <v/>
      </c>
      <c r="W78" s="34" t="str">
        <f aca="true">IF(OR($E78="",$O78&lt;&gt;""),"",IF(NOW()-$E78&gt;7,"⚑",""))</f>
        <v/>
      </c>
      <c r="X78" s="34" t="str">
        <f aca="false">IF($L78="✗","⚑","")</f>
        <v/>
      </c>
      <c r="Y78" s="29"/>
    </row>
    <row r="79" customFormat="false" ht="15" hidden="false" customHeight="false" outlineLevel="0" collapsed="false">
      <c r="A79" s="29"/>
      <c r="B79" s="29"/>
      <c r="C79" s="29"/>
      <c r="D79" s="29"/>
      <c r="E79" s="36"/>
      <c r="F79" s="36"/>
      <c r="G79" s="31"/>
      <c r="H79" s="29"/>
      <c r="I79" s="30"/>
      <c r="J79" s="34" t="str">
        <f aca="false">IF($I79="","",IF(OR($I79&gt;150,$H79="R4 Hoàn 100%"),"CEO",IF($I79&gt;50,"OPS","CX")))</f>
        <v/>
      </c>
      <c r="K79" s="29"/>
      <c r="L79" s="34" t="str">
        <f aca="false">IF(OR($J79="",$K79=""),"",IF(MATCH($K79,DS!$H$2:$H$4,0)&gt;=MATCH($J79,DS!$H$2:$H$4,0),"✓","✗"))</f>
        <v/>
      </c>
      <c r="M79" s="31"/>
      <c r="N79" s="31"/>
      <c r="O79" s="31"/>
      <c r="P79" s="29"/>
      <c r="Q79" s="29"/>
      <c r="R79" s="30"/>
      <c r="S79" s="37" t="str">
        <f aca="false">IF($A79="","",N($I79)-N($R79))</f>
        <v/>
      </c>
      <c r="T79" s="34" t="str">
        <f aca="false">IF(OR($E79="",$F79=""),"",ROUND(($F79-$E79)*24,1))</f>
        <v/>
      </c>
      <c r="U79" s="34" t="str">
        <f aca="true">IF($E79="","",INT(IF($O79="",NOW(),$O79)-$E79))</f>
        <v/>
      </c>
      <c r="V79" s="34" t="str">
        <f aca="true">IF($E79="","",IF($F79="",IF((NOW()-$E79)*24&gt;24,"⚑",""),IF(($F79-$E79)*24&gt;24,"⚑","")))</f>
        <v/>
      </c>
      <c r="W79" s="34" t="str">
        <f aca="true">IF(OR($E79="",$O79&lt;&gt;""),"",IF(NOW()-$E79&gt;7,"⚑",""))</f>
        <v/>
      </c>
      <c r="X79" s="34" t="str">
        <f aca="false">IF($L79="✗","⚑","")</f>
        <v/>
      </c>
      <c r="Y79" s="29"/>
    </row>
    <row r="80" customFormat="false" ht="15" hidden="false" customHeight="false" outlineLevel="0" collapsed="false">
      <c r="A80" s="29"/>
      <c r="B80" s="29"/>
      <c r="C80" s="29"/>
      <c r="D80" s="29"/>
      <c r="E80" s="36"/>
      <c r="F80" s="36"/>
      <c r="G80" s="31"/>
      <c r="H80" s="29"/>
      <c r="I80" s="30"/>
      <c r="J80" s="34" t="str">
        <f aca="false">IF($I80="","",IF(OR($I80&gt;150,$H80="R4 Hoàn 100%"),"CEO",IF($I80&gt;50,"OPS","CX")))</f>
        <v/>
      </c>
      <c r="K80" s="29"/>
      <c r="L80" s="34" t="str">
        <f aca="false">IF(OR($J80="",$K80=""),"",IF(MATCH($K80,DS!$H$2:$H$4,0)&gt;=MATCH($J80,DS!$H$2:$H$4,0),"✓","✗"))</f>
        <v/>
      </c>
      <c r="M80" s="31"/>
      <c r="N80" s="31"/>
      <c r="O80" s="31"/>
      <c r="P80" s="29"/>
      <c r="Q80" s="29"/>
      <c r="R80" s="30"/>
      <c r="S80" s="37" t="str">
        <f aca="false">IF($A80="","",N($I80)-N($R80))</f>
        <v/>
      </c>
      <c r="T80" s="34" t="str">
        <f aca="false">IF(OR($E80="",$F80=""),"",ROUND(($F80-$E80)*24,1))</f>
        <v/>
      </c>
      <c r="U80" s="34" t="str">
        <f aca="true">IF($E80="","",INT(IF($O80="",NOW(),$O80)-$E80))</f>
        <v/>
      </c>
      <c r="V80" s="34" t="str">
        <f aca="true">IF($E80="","",IF($F80="",IF((NOW()-$E80)*24&gt;24,"⚑",""),IF(($F80-$E80)*24&gt;24,"⚑","")))</f>
        <v/>
      </c>
      <c r="W80" s="34" t="str">
        <f aca="true">IF(OR($E80="",$O80&lt;&gt;""),"",IF(NOW()-$E80&gt;7,"⚑",""))</f>
        <v/>
      </c>
      <c r="X80" s="34" t="str">
        <f aca="false">IF($L80="✗","⚑","")</f>
        <v/>
      </c>
      <c r="Y80" s="29"/>
    </row>
    <row r="81" customFormat="false" ht="15" hidden="false" customHeight="false" outlineLevel="0" collapsed="false">
      <c r="A81" s="29"/>
      <c r="B81" s="29"/>
      <c r="C81" s="29"/>
      <c r="D81" s="29"/>
      <c r="E81" s="36"/>
      <c r="F81" s="36"/>
      <c r="G81" s="31"/>
      <c r="H81" s="29"/>
      <c r="I81" s="30"/>
      <c r="J81" s="34" t="str">
        <f aca="false">IF($I81="","",IF(OR($I81&gt;150,$H81="R4 Hoàn 100%"),"CEO",IF($I81&gt;50,"OPS","CX")))</f>
        <v/>
      </c>
      <c r="K81" s="29"/>
      <c r="L81" s="34" t="str">
        <f aca="false">IF(OR($J81="",$K81=""),"",IF(MATCH($K81,DS!$H$2:$H$4,0)&gt;=MATCH($J81,DS!$H$2:$H$4,0),"✓","✗"))</f>
        <v/>
      </c>
      <c r="M81" s="31"/>
      <c r="N81" s="31"/>
      <c r="O81" s="31"/>
      <c r="P81" s="29"/>
      <c r="Q81" s="29"/>
      <c r="R81" s="30"/>
      <c r="S81" s="37" t="str">
        <f aca="false">IF($A81="","",N($I81)-N($R81))</f>
        <v/>
      </c>
      <c r="T81" s="34" t="str">
        <f aca="false">IF(OR($E81="",$F81=""),"",ROUND(($F81-$E81)*24,1))</f>
        <v/>
      </c>
      <c r="U81" s="34" t="str">
        <f aca="true">IF($E81="","",INT(IF($O81="",NOW(),$O81)-$E81))</f>
        <v/>
      </c>
      <c r="V81" s="34" t="str">
        <f aca="true">IF($E81="","",IF($F81="",IF((NOW()-$E81)*24&gt;24,"⚑",""),IF(($F81-$E81)*24&gt;24,"⚑","")))</f>
        <v/>
      </c>
      <c r="W81" s="34" t="str">
        <f aca="true">IF(OR($E81="",$O81&lt;&gt;""),"",IF(NOW()-$E81&gt;7,"⚑",""))</f>
        <v/>
      </c>
      <c r="X81" s="34" t="str">
        <f aca="false">IF($L81="✗","⚑","")</f>
        <v/>
      </c>
      <c r="Y81" s="29"/>
    </row>
    <row r="82" customFormat="false" ht="15" hidden="false" customHeight="false" outlineLevel="0" collapsed="false">
      <c r="A82" s="29"/>
      <c r="B82" s="29"/>
      <c r="C82" s="29"/>
      <c r="D82" s="29"/>
      <c r="E82" s="36"/>
      <c r="F82" s="36"/>
      <c r="G82" s="31"/>
      <c r="H82" s="29"/>
      <c r="I82" s="30"/>
      <c r="J82" s="34" t="str">
        <f aca="false">IF($I82="","",IF(OR($I82&gt;150,$H82="R4 Hoàn 100%"),"CEO",IF($I82&gt;50,"OPS","CX")))</f>
        <v/>
      </c>
      <c r="K82" s="29"/>
      <c r="L82" s="34" t="str">
        <f aca="false">IF(OR($J82="",$K82=""),"",IF(MATCH($K82,DS!$H$2:$H$4,0)&gt;=MATCH($J82,DS!$H$2:$H$4,0),"✓","✗"))</f>
        <v/>
      </c>
      <c r="M82" s="31"/>
      <c r="N82" s="31"/>
      <c r="O82" s="31"/>
      <c r="P82" s="29"/>
      <c r="Q82" s="29"/>
      <c r="R82" s="30"/>
      <c r="S82" s="37" t="str">
        <f aca="false">IF($A82="","",N($I82)-N($R82))</f>
        <v/>
      </c>
      <c r="T82" s="34" t="str">
        <f aca="false">IF(OR($E82="",$F82=""),"",ROUND(($F82-$E82)*24,1))</f>
        <v/>
      </c>
      <c r="U82" s="34" t="str">
        <f aca="true">IF($E82="","",INT(IF($O82="",NOW(),$O82)-$E82))</f>
        <v/>
      </c>
      <c r="V82" s="34" t="str">
        <f aca="true">IF($E82="","",IF($F82="",IF((NOW()-$E82)*24&gt;24,"⚑",""),IF(($F82-$E82)*24&gt;24,"⚑","")))</f>
        <v/>
      </c>
      <c r="W82" s="34" t="str">
        <f aca="true">IF(OR($E82="",$O82&lt;&gt;""),"",IF(NOW()-$E82&gt;7,"⚑",""))</f>
        <v/>
      </c>
      <c r="X82" s="34" t="str">
        <f aca="false">IF($L82="✗","⚑","")</f>
        <v/>
      </c>
      <c r="Y82" s="29"/>
    </row>
    <row r="83" customFormat="false" ht="15" hidden="false" customHeight="false" outlineLevel="0" collapsed="false">
      <c r="A83" s="29"/>
      <c r="B83" s="29"/>
      <c r="C83" s="29"/>
      <c r="D83" s="29"/>
      <c r="E83" s="36"/>
      <c r="F83" s="36"/>
      <c r="G83" s="31"/>
      <c r="H83" s="29"/>
      <c r="I83" s="30"/>
      <c r="J83" s="34" t="str">
        <f aca="false">IF($I83="","",IF(OR($I83&gt;150,$H83="R4 Hoàn 100%"),"CEO",IF($I83&gt;50,"OPS","CX")))</f>
        <v/>
      </c>
      <c r="K83" s="29"/>
      <c r="L83" s="34" t="str">
        <f aca="false">IF(OR($J83="",$K83=""),"",IF(MATCH($K83,DS!$H$2:$H$4,0)&gt;=MATCH($J83,DS!$H$2:$H$4,0),"✓","✗"))</f>
        <v/>
      </c>
      <c r="M83" s="31"/>
      <c r="N83" s="31"/>
      <c r="O83" s="31"/>
      <c r="P83" s="29"/>
      <c r="Q83" s="29"/>
      <c r="R83" s="30"/>
      <c r="S83" s="37" t="str">
        <f aca="false">IF($A83="","",N($I83)-N($R83))</f>
        <v/>
      </c>
      <c r="T83" s="34" t="str">
        <f aca="false">IF(OR($E83="",$F83=""),"",ROUND(($F83-$E83)*24,1))</f>
        <v/>
      </c>
      <c r="U83" s="34" t="str">
        <f aca="true">IF($E83="","",INT(IF($O83="",NOW(),$O83)-$E83))</f>
        <v/>
      </c>
      <c r="V83" s="34" t="str">
        <f aca="true">IF($E83="","",IF($F83="",IF((NOW()-$E83)*24&gt;24,"⚑",""),IF(($F83-$E83)*24&gt;24,"⚑","")))</f>
        <v/>
      </c>
      <c r="W83" s="34" t="str">
        <f aca="true">IF(OR($E83="",$O83&lt;&gt;""),"",IF(NOW()-$E83&gt;7,"⚑",""))</f>
        <v/>
      </c>
      <c r="X83" s="34" t="str">
        <f aca="false">IF($L83="✗","⚑","")</f>
        <v/>
      </c>
      <c r="Y83" s="29"/>
    </row>
    <row r="84" customFormat="false" ht="15" hidden="false" customHeight="false" outlineLevel="0" collapsed="false">
      <c r="A84" s="29"/>
      <c r="B84" s="29"/>
      <c r="C84" s="29"/>
      <c r="D84" s="29"/>
      <c r="E84" s="36"/>
      <c r="F84" s="36"/>
      <c r="G84" s="31"/>
      <c r="H84" s="29"/>
      <c r="I84" s="30"/>
      <c r="J84" s="34" t="str">
        <f aca="false">IF($I84="","",IF(OR($I84&gt;150,$H84="R4 Hoàn 100%"),"CEO",IF($I84&gt;50,"OPS","CX")))</f>
        <v/>
      </c>
      <c r="K84" s="29"/>
      <c r="L84" s="34" t="str">
        <f aca="false">IF(OR($J84="",$K84=""),"",IF(MATCH($K84,DS!$H$2:$H$4,0)&gt;=MATCH($J84,DS!$H$2:$H$4,0),"✓","✗"))</f>
        <v/>
      </c>
      <c r="M84" s="31"/>
      <c r="N84" s="31"/>
      <c r="O84" s="31"/>
      <c r="P84" s="29"/>
      <c r="Q84" s="29"/>
      <c r="R84" s="30"/>
      <c r="S84" s="37" t="str">
        <f aca="false">IF($A84="","",N($I84)-N($R84))</f>
        <v/>
      </c>
      <c r="T84" s="34" t="str">
        <f aca="false">IF(OR($E84="",$F84=""),"",ROUND(($F84-$E84)*24,1))</f>
        <v/>
      </c>
      <c r="U84" s="34" t="str">
        <f aca="true">IF($E84="","",INT(IF($O84="",NOW(),$O84)-$E84))</f>
        <v/>
      </c>
      <c r="V84" s="34" t="str">
        <f aca="true">IF($E84="","",IF($F84="",IF((NOW()-$E84)*24&gt;24,"⚑",""),IF(($F84-$E84)*24&gt;24,"⚑","")))</f>
        <v/>
      </c>
      <c r="W84" s="34" t="str">
        <f aca="true">IF(OR($E84="",$O84&lt;&gt;""),"",IF(NOW()-$E84&gt;7,"⚑",""))</f>
        <v/>
      </c>
      <c r="X84" s="34" t="str">
        <f aca="false">IF($L84="✗","⚑","")</f>
        <v/>
      </c>
      <c r="Y84" s="29"/>
    </row>
    <row r="85" customFormat="false" ht="15" hidden="false" customHeight="false" outlineLevel="0" collapsed="false">
      <c r="A85" s="29"/>
      <c r="B85" s="29"/>
      <c r="C85" s="29"/>
      <c r="D85" s="29"/>
      <c r="E85" s="36"/>
      <c r="F85" s="36"/>
      <c r="G85" s="31"/>
      <c r="H85" s="29"/>
      <c r="I85" s="30"/>
      <c r="J85" s="34" t="str">
        <f aca="false">IF($I85="","",IF(OR($I85&gt;150,$H85="R4 Hoàn 100%"),"CEO",IF($I85&gt;50,"OPS","CX")))</f>
        <v/>
      </c>
      <c r="K85" s="29"/>
      <c r="L85" s="34" t="str">
        <f aca="false">IF(OR($J85="",$K85=""),"",IF(MATCH($K85,DS!$H$2:$H$4,0)&gt;=MATCH($J85,DS!$H$2:$H$4,0),"✓","✗"))</f>
        <v/>
      </c>
      <c r="M85" s="31"/>
      <c r="N85" s="31"/>
      <c r="O85" s="31"/>
      <c r="P85" s="29"/>
      <c r="Q85" s="29"/>
      <c r="R85" s="30"/>
      <c r="S85" s="37" t="str">
        <f aca="false">IF($A85="","",N($I85)-N($R85))</f>
        <v/>
      </c>
      <c r="T85" s="34" t="str">
        <f aca="false">IF(OR($E85="",$F85=""),"",ROUND(($F85-$E85)*24,1))</f>
        <v/>
      </c>
      <c r="U85" s="34" t="str">
        <f aca="true">IF($E85="","",INT(IF($O85="",NOW(),$O85)-$E85))</f>
        <v/>
      </c>
      <c r="V85" s="34" t="str">
        <f aca="true">IF($E85="","",IF($F85="",IF((NOW()-$E85)*24&gt;24,"⚑",""),IF(($F85-$E85)*24&gt;24,"⚑","")))</f>
        <v/>
      </c>
      <c r="W85" s="34" t="str">
        <f aca="true">IF(OR($E85="",$O85&lt;&gt;""),"",IF(NOW()-$E85&gt;7,"⚑",""))</f>
        <v/>
      </c>
      <c r="X85" s="34" t="str">
        <f aca="false">IF($L85="✗","⚑","")</f>
        <v/>
      </c>
      <c r="Y85" s="29"/>
    </row>
    <row r="86" customFormat="false" ht="15" hidden="false" customHeight="false" outlineLevel="0" collapsed="false">
      <c r="A86" s="29"/>
      <c r="B86" s="29"/>
      <c r="C86" s="29"/>
      <c r="D86" s="29"/>
      <c r="E86" s="36"/>
      <c r="F86" s="36"/>
      <c r="G86" s="31"/>
      <c r="H86" s="29"/>
      <c r="I86" s="30"/>
      <c r="J86" s="34" t="str">
        <f aca="false">IF($I86="","",IF(OR($I86&gt;150,$H86="R4 Hoàn 100%"),"CEO",IF($I86&gt;50,"OPS","CX")))</f>
        <v/>
      </c>
      <c r="K86" s="29"/>
      <c r="L86" s="34" t="str">
        <f aca="false">IF(OR($J86="",$K86=""),"",IF(MATCH($K86,DS!$H$2:$H$4,0)&gt;=MATCH($J86,DS!$H$2:$H$4,0),"✓","✗"))</f>
        <v/>
      </c>
      <c r="M86" s="31"/>
      <c r="N86" s="31"/>
      <c r="O86" s="31"/>
      <c r="P86" s="29"/>
      <c r="Q86" s="29"/>
      <c r="R86" s="30"/>
      <c r="S86" s="37" t="str">
        <f aca="false">IF($A86="","",N($I86)-N($R86))</f>
        <v/>
      </c>
      <c r="T86" s="34" t="str">
        <f aca="false">IF(OR($E86="",$F86=""),"",ROUND(($F86-$E86)*24,1))</f>
        <v/>
      </c>
      <c r="U86" s="34" t="str">
        <f aca="true">IF($E86="","",INT(IF($O86="",NOW(),$O86)-$E86))</f>
        <v/>
      </c>
      <c r="V86" s="34" t="str">
        <f aca="true">IF($E86="","",IF($F86="",IF((NOW()-$E86)*24&gt;24,"⚑",""),IF(($F86-$E86)*24&gt;24,"⚑","")))</f>
        <v/>
      </c>
      <c r="W86" s="34" t="str">
        <f aca="true">IF(OR($E86="",$O86&lt;&gt;""),"",IF(NOW()-$E86&gt;7,"⚑",""))</f>
        <v/>
      </c>
      <c r="X86" s="34" t="str">
        <f aca="false">IF($L86="✗","⚑","")</f>
        <v/>
      </c>
      <c r="Y86" s="29"/>
    </row>
    <row r="87" customFormat="false" ht="15" hidden="false" customHeight="false" outlineLevel="0" collapsed="false">
      <c r="A87" s="29"/>
      <c r="B87" s="29"/>
      <c r="C87" s="29"/>
      <c r="D87" s="29"/>
      <c r="E87" s="36"/>
      <c r="F87" s="36"/>
      <c r="G87" s="31"/>
      <c r="H87" s="29"/>
      <c r="I87" s="30"/>
      <c r="J87" s="34" t="str">
        <f aca="false">IF($I87="","",IF(OR($I87&gt;150,$H87="R4 Hoàn 100%"),"CEO",IF($I87&gt;50,"OPS","CX")))</f>
        <v/>
      </c>
      <c r="K87" s="29"/>
      <c r="L87" s="34" t="str">
        <f aca="false">IF(OR($J87="",$K87=""),"",IF(MATCH($K87,DS!$H$2:$H$4,0)&gt;=MATCH($J87,DS!$H$2:$H$4,0),"✓","✗"))</f>
        <v/>
      </c>
      <c r="M87" s="31"/>
      <c r="N87" s="31"/>
      <c r="O87" s="31"/>
      <c r="P87" s="29"/>
      <c r="Q87" s="29"/>
      <c r="R87" s="30"/>
      <c r="S87" s="37" t="str">
        <f aca="false">IF($A87="","",N($I87)-N($R87))</f>
        <v/>
      </c>
      <c r="T87" s="34" t="str">
        <f aca="false">IF(OR($E87="",$F87=""),"",ROUND(($F87-$E87)*24,1))</f>
        <v/>
      </c>
      <c r="U87" s="34" t="str">
        <f aca="true">IF($E87="","",INT(IF($O87="",NOW(),$O87)-$E87))</f>
        <v/>
      </c>
      <c r="V87" s="34" t="str">
        <f aca="true">IF($E87="","",IF($F87="",IF((NOW()-$E87)*24&gt;24,"⚑",""),IF(($F87-$E87)*24&gt;24,"⚑","")))</f>
        <v/>
      </c>
      <c r="W87" s="34" t="str">
        <f aca="true">IF(OR($E87="",$O87&lt;&gt;""),"",IF(NOW()-$E87&gt;7,"⚑",""))</f>
        <v/>
      </c>
      <c r="X87" s="34" t="str">
        <f aca="false">IF($L87="✗","⚑","")</f>
        <v/>
      </c>
      <c r="Y87" s="29"/>
    </row>
    <row r="88" customFormat="false" ht="15" hidden="false" customHeight="false" outlineLevel="0" collapsed="false">
      <c r="A88" s="29"/>
      <c r="B88" s="29"/>
      <c r="C88" s="29"/>
      <c r="D88" s="29"/>
      <c r="E88" s="36"/>
      <c r="F88" s="36"/>
      <c r="G88" s="31"/>
      <c r="H88" s="29"/>
      <c r="I88" s="30"/>
      <c r="J88" s="34" t="str">
        <f aca="false">IF($I88="","",IF(OR($I88&gt;150,$H88="R4 Hoàn 100%"),"CEO",IF($I88&gt;50,"OPS","CX")))</f>
        <v/>
      </c>
      <c r="K88" s="29"/>
      <c r="L88" s="34" t="str">
        <f aca="false">IF(OR($J88="",$K88=""),"",IF(MATCH($K88,DS!$H$2:$H$4,0)&gt;=MATCH($J88,DS!$H$2:$H$4,0),"✓","✗"))</f>
        <v/>
      </c>
      <c r="M88" s="31"/>
      <c r="N88" s="31"/>
      <c r="O88" s="31"/>
      <c r="P88" s="29"/>
      <c r="Q88" s="29"/>
      <c r="R88" s="30"/>
      <c r="S88" s="37" t="str">
        <f aca="false">IF($A88="","",N($I88)-N($R88))</f>
        <v/>
      </c>
      <c r="T88" s="34" t="str">
        <f aca="false">IF(OR($E88="",$F88=""),"",ROUND(($F88-$E88)*24,1))</f>
        <v/>
      </c>
      <c r="U88" s="34" t="str">
        <f aca="true">IF($E88="","",INT(IF($O88="",NOW(),$O88)-$E88))</f>
        <v/>
      </c>
      <c r="V88" s="34" t="str">
        <f aca="true">IF($E88="","",IF($F88="",IF((NOW()-$E88)*24&gt;24,"⚑",""),IF(($F88-$E88)*24&gt;24,"⚑","")))</f>
        <v/>
      </c>
      <c r="W88" s="34" t="str">
        <f aca="true">IF(OR($E88="",$O88&lt;&gt;""),"",IF(NOW()-$E88&gt;7,"⚑",""))</f>
        <v/>
      </c>
      <c r="X88" s="34" t="str">
        <f aca="false">IF($L88="✗","⚑","")</f>
        <v/>
      </c>
      <c r="Y88" s="29"/>
    </row>
    <row r="89" customFormat="false" ht="15" hidden="false" customHeight="false" outlineLevel="0" collapsed="false">
      <c r="A89" s="29"/>
      <c r="B89" s="29"/>
      <c r="C89" s="29"/>
      <c r="D89" s="29"/>
      <c r="E89" s="36"/>
      <c r="F89" s="36"/>
      <c r="G89" s="31"/>
      <c r="H89" s="29"/>
      <c r="I89" s="30"/>
      <c r="J89" s="34" t="str">
        <f aca="false">IF($I89="","",IF(OR($I89&gt;150,$H89="R4 Hoàn 100%"),"CEO",IF($I89&gt;50,"OPS","CX")))</f>
        <v/>
      </c>
      <c r="K89" s="29"/>
      <c r="L89" s="34" t="str">
        <f aca="false">IF(OR($J89="",$K89=""),"",IF(MATCH($K89,DS!$H$2:$H$4,0)&gt;=MATCH($J89,DS!$H$2:$H$4,0),"✓","✗"))</f>
        <v/>
      </c>
      <c r="M89" s="31"/>
      <c r="N89" s="31"/>
      <c r="O89" s="31"/>
      <c r="P89" s="29"/>
      <c r="Q89" s="29"/>
      <c r="R89" s="30"/>
      <c r="S89" s="37" t="str">
        <f aca="false">IF($A89="","",N($I89)-N($R89))</f>
        <v/>
      </c>
      <c r="T89" s="34" t="str">
        <f aca="false">IF(OR($E89="",$F89=""),"",ROUND(($F89-$E89)*24,1))</f>
        <v/>
      </c>
      <c r="U89" s="34" t="str">
        <f aca="true">IF($E89="","",INT(IF($O89="",NOW(),$O89)-$E89))</f>
        <v/>
      </c>
      <c r="V89" s="34" t="str">
        <f aca="true">IF($E89="","",IF($F89="",IF((NOW()-$E89)*24&gt;24,"⚑",""),IF(($F89-$E89)*24&gt;24,"⚑","")))</f>
        <v/>
      </c>
      <c r="W89" s="34" t="str">
        <f aca="true">IF(OR($E89="",$O89&lt;&gt;""),"",IF(NOW()-$E89&gt;7,"⚑",""))</f>
        <v/>
      </c>
      <c r="X89" s="34" t="str">
        <f aca="false">IF($L89="✗","⚑","")</f>
        <v/>
      </c>
      <c r="Y89" s="29"/>
    </row>
    <row r="90" customFormat="false" ht="15" hidden="false" customHeight="false" outlineLevel="0" collapsed="false">
      <c r="A90" s="29"/>
      <c r="B90" s="29"/>
      <c r="C90" s="29"/>
      <c r="D90" s="29"/>
      <c r="E90" s="36"/>
      <c r="F90" s="36"/>
      <c r="G90" s="31"/>
      <c r="H90" s="29"/>
      <c r="I90" s="30"/>
      <c r="J90" s="34" t="str">
        <f aca="false">IF($I90="","",IF(OR($I90&gt;150,$H90="R4 Hoàn 100%"),"CEO",IF($I90&gt;50,"OPS","CX")))</f>
        <v/>
      </c>
      <c r="K90" s="29"/>
      <c r="L90" s="34" t="str">
        <f aca="false">IF(OR($J90="",$K90=""),"",IF(MATCH($K90,DS!$H$2:$H$4,0)&gt;=MATCH($J90,DS!$H$2:$H$4,0),"✓","✗"))</f>
        <v/>
      </c>
      <c r="M90" s="31"/>
      <c r="N90" s="31"/>
      <c r="O90" s="31"/>
      <c r="P90" s="29"/>
      <c r="Q90" s="29"/>
      <c r="R90" s="30"/>
      <c r="S90" s="37" t="str">
        <f aca="false">IF($A90="","",N($I90)-N($R90))</f>
        <v/>
      </c>
      <c r="T90" s="34" t="str">
        <f aca="false">IF(OR($E90="",$F90=""),"",ROUND(($F90-$E90)*24,1))</f>
        <v/>
      </c>
      <c r="U90" s="34" t="str">
        <f aca="true">IF($E90="","",INT(IF($O90="",NOW(),$O90)-$E90))</f>
        <v/>
      </c>
      <c r="V90" s="34" t="str">
        <f aca="true">IF($E90="","",IF($F90="",IF((NOW()-$E90)*24&gt;24,"⚑",""),IF(($F90-$E90)*24&gt;24,"⚑","")))</f>
        <v/>
      </c>
      <c r="W90" s="34" t="str">
        <f aca="true">IF(OR($E90="",$O90&lt;&gt;""),"",IF(NOW()-$E90&gt;7,"⚑",""))</f>
        <v/>
      </c>
      <c r="X90" s="34" t="str">
        <f aca="false">IF($L90="✗","⚑","")</f>
        <v/>
      </c>
      <c r="Y90" s="29"/>
    </row>
    <row r="91" customFormat="false" ht="15" hidden="false" customHeight="false" outlineLevel="0" collapsed="false">
      <c r="A91" s="29"/>
      <c r="B91" s="29"/>
      <c r="C91" s="29"/>
      <c r="D91" s="29"/>
      <c r="E91" s="36"/>
      <c r="F91" s="36"/>
      <c r="G91" s="31"/>
      <c r="H91" s="29"/>
      <c r="I91" s="30"/>
      <c r="J91" s="34" t="str">
        <f aca="false">IF($I91="","",IF(OR($I91&gt;150,$H91="R4 Hoàn 100%"),"CEO",IF($I91&gt;50,"OPS","CX")))</f>
        <v/>
      </c>
      <c r="K91" s="29"/>
      <c r="L91" s="34" t="str">
        <f aca="false">IF(OR($J91="",$K91=""),"",IF(MATCH($K91,DS!$H$2:$H$4,0)&gt;=MATCH($J91,DS!$H$2:$H$4,0),"✓","✗"))</f>
        <v/>
      </c>
      <c r="M91" s="31"/>
      <c r="N91" s="31"/>
      <c r="O91" s="31"/>
      <c r="P91" s="29"/>
      <c r="Q91" s="29"/>
      <c r="R91" s="30"/>
      <c r="S91" s="37" t="str">
        <f aca="false">IF($A91="","",N($I91)-N($R91))</f>
        <v/>
      </c>
      <c r="T91" s="34" t="str">
        <f aca="false">IF(OR($E91="",$F91=""),"",ROUND(($F91-$E91)*24,1))</f>
        <v/>
      </c>
      <c r="U91" s="34" t="str">
        <f aca="true">IF($E91="","",INT(IF($O91="",NOW(),$O91)-$E91))</f>
        <v/>
      </c>
      <c r="V91" s="34" t="str">
        <f aca="true">IF($E91="","",IF($F91="",IF((NOW()-$E91)*24&gt;24,"⚑",""),IF(($F91-$E91)*24&gt;24,"⚑","")))</f>
        <v/>
      </c>
      <c r="W91" s="34" t="str">
        <f aca="true">IF(OR($E91="",$O91&lt;&gt;""),"",IF(NOW()-$E91&gt;7,"⚑",""))</f>
        <v/>
      </c>
      <c r="X91" s="34" t="str">
        <f aca="false">IF($L91="✗","⚑","")</f>
        <v/>
      </c>
      <c r="Y91" s="29"/>
    </row>
    <row r="92" customFormat="false" ht="15" hidden="false" customHeight="false" outlineLevel="0" collapsed="false">
      <c r="A92" s="29"/>
      <c r="B92" s="29"/>
      <c r="C92" s="29"/>
      <c r="D92" s="29"/>
      <c r="E92" s="36"/>
      <c r="F92" s="36"/>
      <c r="G92" s="31"/>
      <c r="H92" s="29"/>
      <c r="I92" s="30"/>
      <c r="J92" s="34" t="str">
        <f aca="false">IF($I92="","",IF(OR($I92&gt;150,$H92="R4 Hoàn 100%"),"CEO",IF($I92&gt;50,"OPS","CX")))</f>
        <v/>
      </c>
      <c r="K92" s="29"/>
      <c r="L92" s="34" t="str">
        <f aca="false">IF(OR($J92="",$K92=""),"",IF(MATCH($K92,DS!$H$2:$H$4,0)&gt;=MATCH($J92,DS!$H$2:$H$4,0),"✓","✗"))</f>
        <v/>
      </c>
      <c r="M92" s="31"/>
      <c r="N92" s="31"/>
      <c r="O92" s="31"/>
      <c r="P92" s="29"/>
      <c r="Q92" s="29"/>
      <c r="R92" s="30"/>
      <c r="S92" s="37" t="str">
        <f aca="false">IF($A92="","",N($I92)-N($R92))</f>
        <v/>
      </c>
      <c r="T92" s="34" t="str">
        <f aca="false">IF(OR($E92="",$F92=""),"",ROUND(($F92-$E92)*24,1))</f>
        <v/>
      </c>
      <c r="U92" s="34" t="str">
        <f aca="true">IF($E92="","",INT(IF($O92="",NOW(),$O92)-$E92))</f>
        <v/>
      </c>
      <c r="V92" s="34" t="str">
        <f aca="true">IF($E92="","",IF($F92="",IF((NOW()-$E92)*24&gt;24,"⚑",""),IF(($F92-$E92)*24&gt;24,"⚑","")))</f>
        <v/>
      </c>
      <c r="W92" s="34" t="str">
        <f aca="true">IF(OR($E92="",$O92&lt;&gt;""),"",IF(NOW()-$E92&gt;7,"⚑",""))</f>
        <v/>
      </c>
      <c r="X92" s="34" t="str">
        <f aca="false">IF($L92="✗","⚑","")</f>
        <v/>
      </c>
      <c r="Y92" s="29"/>
    </row>
    <row r="93" customFormat="false" ht="15" hidden="false" customHeight="false" outlineLevel="0" collapsed="false">
      <c r="A93" s="29"/>
      <c r="B93" s="29"/>
      <c r="C93" s="29"/>
      <c r="D93" s="29"/>
      <c r="E93" s="36"/>
      <c r="F93" s="36"/>
      <c r="G93" s="31"/>
      <c r="H93" s="29"/>
      <c r="I93" s="30"/>
      <c r="J93" s="34" t="str">
        <f aca="false">IF($I93="","",IF(OR($I93&gt;150,$H93="R4 Hoàn 100%"),"CEO",IF($I93&gt;50,"OPS","CX")))</f>
        <v/>
      </c>
      <c r="K93" s="29"/>
      <c r="L93" s="34" t="str">
        <f aca="false">IF(OR($J93="",$K93=""),"",IF(MATCH($K93,DS!$H$2:$H$4,0)&gt;=MATCH($J93,DS!$H$2:$H$4,0),"✓","✗"))</f>
        <v/>
      </c>
      <c r="M93" s="31"/>
      <c r="N93" s="31"/>
      <c r="O93" s="31"/>
      <c r="P93" s="29"/>
      <c r="Q93" s="29"/>
      <c r="R93" s="30"/>
      <c r="S93" s="37" t="str">
        <f aca="false">IF($A93="","",N($I93)-N($R93))</f>
        <v/>
      </c>
      <c r="T93" s="34" t="str">
        <f aca="false">IF(OR($E93="",$F93=""),"",ROUND(($F93-$E93)*24,1))</f>
        <v/>
      </c>
      <c r="U93" s="34" t="str">
        <f aca="true">IF($E93="","",INT(IF($O93="",NOW(),$O93)-$E93))</f>
        <v/>
      </c>
      <c r="V93" s="34" t="str">
        <f aca="true">IF($E93="","",IF($F93="",IF((NOW()-$E93)*24&gt;24,"⚑",""),IF(($F93-$E93)*24&gt;24,"⚑","")))</f>
        <v/>
      </c>
      <c r="W93" s="34" t="str">
        <f aca="true">IF(OR($E93="",$O93&lt;&gt;""),"",IF(NOW()-$E93&gt;7,"⚑",""))</f>
        <v/>
      </c>
      <c r="X93" s="34" t="str">
        <f aca="false">IF($L93="✗","⚑","")</f>
        <v/>
      </c>
      <c r="Y93" s="29"/>
    </row>
    <row r="94" customFormat="false" ht="15" hidden="false" customHeight="false" outlineLevel="0" collapsed="false">
      <c r="A94" s="29"/>
      <c r="B94" s="29"/>
      <c r="C94" s="29"/>
      <c r="D94" s="29"/>
      <c r="E94" s="36"/>
      <c r="F94" s="36"/>
      <c r="G94" s="31"/>
      <c r="H94" s="29"/>
      <c r="I94" s="30"/>
      <c r="J94" s="34" t="str">
        <f aca="false">IF($I94="","",IF(OR($I94&gt;150,$H94="R4 Hoàn 100%"),"CEO",IF($I94&gt;50,"OPS","CX")))</f>
        <v/>
      </c>
      <c r="K94" s="29"/>
      <c r="L94" s="34" t="str">
        <f aca="false">IF(OR($J94="",$K94=""),"",IF(MATCH($K94,DS!$H$2:$H$4,0)&gt;=MATCH($J94,DS!$H$2:$H$4,0),"✓","✗"))</f>
        <v/>
      </c>
      <c r="M94" s="31"/>
      <c r="N94" s="31"/>
      <c r="O94" s="31"/>
      <c r="P94" s="29"/>
      <c r="Q94" s="29"/>
      <c r="R94" s="30"/>
      <c r="S94" s="37" t="str">
        <f aca="false">IF($A94="","",N($I94)-N($R94))</f>
        <v/>
      </c>
      <c r="T94" s="34" t="str">
        <f aca="false">IF(OR($E94="",$F94=""),"",ROUND(($F94-$E94)*24,1))</f>
        <v/>
      </c>
      <c r="U94" s="34" t="str">
        <f aca="true">IF($E94="","",INT(IF($O94="",NOW(),$O94)-$E94))</f>
        <v/>
      </c>
      <c r="V94" s="34" t="str">
        <f aca="true">IF($E94="","",IF($F94="",IF((NOW()-$E94)*24&gt;24,"⚑",""),IF(($F94-$E94)*24&gt;24,"⚑","")))</f>
        <v/>
      </c>
      <c r="W94" s="34" t="str">
        <f aca="true">IF(OR($E94="",$O94&lt;&gt;""),"",IF(NOW()-$E94&gt;7,"⚑",""))</f>
        <v/>
      </c>
      <c r="X94" s="34" t="str">
        <f aca="false">IF($L94="✗","⚑","")</f>
        <v/>
      </c>
      <c r="Y94" s="29"/>
    </row>
    <row r="95" customFormat="false" ht="15" hidden="false" customHeight="false" outlineLevel="0" collapsed="false">
      <c r="A95" s="29"/>
      <c r="B95" s="29"/>
      <c r="C95" s="29"/>
      <c r="D95" s="29"/>
      <c r="E95" s="36"/>
      <c r="F95" s="36"/>
      <c r="G95" s="31"/>
      <c r="H95" s="29"/>
      <c r="I95" s="30"/>
      <c r="J95" s="34" t="str">
        <f aca="false">IF($I95="","",IF(OR($I95&gt;150,$H95="R4 Hoàn 100%"),"CEO",IF($I95&gt;50,"OPS","CX")))</f>
        <v/>
      </c>
      <c r="K95" s="29"/>
      <c r="L95" s="34" t="str">
        <f aca="false">IF(OR($J95="",$K95=""),"",IF(MATCH($K95,DS!$H$2:$H$4,0)&gt;=MATCH($J95,DS!$H$2:$H$4,0),"✓","✗"))</f>
        <v/>
      </c>
      <c r="M95" s="31"/>
      <c r="N95" s="31"/>
      <c r="O95" s="31"/>
      <c r="P95" s="29"/>
      <c r="Q95" s="29"/>
      <c r="R95" s="30"/>
      <c r="S95" s="37" t="str">
        <f aca="false">IF($A95="","",N($I95)-N($R95))</f>
        <v/>
      </c>
      <c r="T95" s="34" t="str">
        <f aca="false">IF(OR($E95="",$F95=""),"",ROUND(($F95-$E95)*24,1))</f>
        <v/>
      </c>
      <c r="U95" s="34" t="str">
        <f aca="true">IF($E95="","",INT(IF($O95="",NOW(),$O95)-$E95))</f>
        <v/>
      </c>
      <c r="V95" s="34" t="str">
        <f aca="true">IF($E95="","",IF($F95="",IF((NOW()-$E95)*24&gt;24,"⚑",""),IF(($F95-$E95)*24&gt;24,"⚑","")))</f>
        <v/>
      </c>
      <c r="W95" s="34" t="str">
        <f aca="true">IF(OR($E95="",$O95&lt;&gt;""),"",IF(NOW()-$E95&gt;7,"⚑",""))</f>
        <v/>
      </c>
      <c r="X95" s="34" t="str">
        <f aca="false">IF($L95="✗","⚑","")</f>
        <v/>
      </c>
      <c r="Y95" s="29"/>
    </row>
    <row r="96" customFormat="false" ht="15" hidden="false" customHeight="false" outlineLevel="0" collapsed="false">
      <c r="A96" s="29"/>
      <c r="B96" s="29"/>
      <c r="C96" s="29"/>
      <c r="D96" s="29"/>
      <c r="E96" s="36"/>
      <c r="F96" s="36"/>
      <c r="G96" s="31"/>
      <c r="H96" s="29"/>
      <c r="I96" s="30"/>
      <c r="J96" s="34" t="str">
        <f aca="false">IF($I96="","",IF(OR($I96&gt;150,$H96="R4 Hoàn 100%"),"CEO",IF($I96&gt;50,"OPS","CX")))</f>
        <v/>
      </c>
      <c r="K96" s="29"/>
      <c r="L96" s="34" t="str">
        <f aca="false">IF(OR($J96="",$K96=""),"",IF(MATCH($K96,DS!$H$2:$H$4,0)&gt;=MATCH($J96,DS!$H$2:$H$4,0),"✓","✗"))</f>
        <v/>
      </c>
      <c r="M96" s="31"/>
      <c r="N96" s="31"/>
      <c r="O96" s="31"/>
      <c r="P96" s="29"/>
      <c r="Q96" s="29"/>
      <c r="R96" s="30"/>
      <c r="S96" s="37" t="str">
        <f aca="false">IF($A96="","",N($I96)-N($R96))</f>
        <v/>
      </c>
      <c r="T96" s="34" t="str">
        <f aca="false">IF(OR($E96="",$F96=""),"",ROUND(($F96-$E96)*24,1))</f>
        <v/>
      </c>
      <c r="U96" s="34" t="str">
        <f aca="true">IF($E96="","",INT(IF($O96="",NOW(),$O96)-$E96))</f>
        <v/>
      </c>
      <c r="V96" s="34" t="str">
        <f aca="true">IF($E96="","",IF($F96="",IF((NOW()-$E96)*24&gt;24,"⚑",""),IF(($F96-$E96)*24&gt;24,"⚑","")))</f>
        <v/>
      </c>
      <c r="W96" s="34" t="str">
        <f aca="true">IF(OR($E96="",$O96&lt;&gt;""),"",IF(NOW()-$E96&gt;7,"⚑",""))</f>
        <v/>
      </c>
      <c r="X96" s="34" t="str">
        <f aca="false">IF($L96="✗","⚑","")</f>
        <v/>
      </c>
      <c r="Y96" s="29"/>
    </row>
    <row r="97" customFormat="false" ht="15" hidden="false" customHeight="false" outlineLevel="0" collapsed="false">
      <c r="A97" s="29"/>
      <c r="B97" s="29"/>
      <c r="C97" s="29"/>
      <c r="D97" s="29"/>
      <c r="E97" s="36"/>
      <c r="F97" s="36"/>
      <c r="G97" s="31"/>
      <c r="H97" s="29"/>
      <c r="I97" s="30"/>
      <c r="J97" s="34" t="str">
        <f aca="false">IF($I97="","",IF(OR($I97&gt;150,$H97="R4 Hoàn 100%"),"CEO",IF($I97&gt;50,"OPS","CX")))</f>
        <v/>
      </c>
      <c r="K97" s="29"/>
      <c r="L97" s="34" t="str">
        <f aca="false">IF(OR($J97="",$K97=""),"",IF(MATCH($K97,DS!$H$2:$H$4,0)&gt;=MATCH($J97,DS!$H$2:$H$4,0),"✓","✗"))</f>
        <v/>
      </c>
      <c r="M97" s="31"/>
      <c r="N97" s="31"/>
      <c r="O97" s="31"/>
      <c r="P97" s="29"/>
      <c r="Q97" s="29"/>
      <c r="R97" s="30"/>
      <c r="S97" s="37" t="str">
        <f aca="false">IF($A97="","",N($I97)-N($R97))</f>
        <v/>
      </c>
      <c r="T97" s="34" t="str">
        <f aca="false">IF(OR($E97="",$F97=""),"",ROUND(($F97-$E97)*24,1))</f>
        <v/>
      </c>
      <c r="U97" s="34" t="str">
        <f aca="true">IF($E97="","",INT(IF($O97="",NOW(),$O97)-$E97))</f>
        <v/>
      </c>
      <c r="V97" s="34" t="str">
        <f aca="true">IF($E97="","",IF($F97="",IF((NOW()-$E97)*24&gt;24,"⚑",""),IF(($F97-$E97)*24&gt;24,"⚑","")))</f>
        <v/>
      </c>
      <c r="W97" s="34" t="str">
        <f aca="true">IF(OR($E97="",$O97&lt;&gt;""),"",IF(NOW()-$E97&gt;7,"⚑",""))</f>
        <v/>
      </c>
      <c r="X97" s="34" t="str">
        <f aca="false">IF($L97="✗","⚑","")</f>
        <v/>
      </c>
      <c r="Y97" s="29"/>
    </row>
    <row r="98" customFormat="false" ht="15" hidden="false" customHeight="false" outlineLevel="0" collapsed="false">
      <c r="A98" s="29"/>
      <c r="B98" s="29"/>
      <c r="C98" s="29"/>
      <c r="D98" s="29"/>
      <c r="E98" s="36"/>
      <c r="F98" s="36"/>
      <c r="G98" s="31"/>
      <c r="H98" s="29"/>
      <c r="I98" s="30"/>
      <c r="J98" s="34" t="str">
        <f aca="false">IF($I98="","",IF(OR($I98&gt;150,$H98="R4 Hoàn 100%"),"CEO",IF($I98&gt;50,"OPS","CX")))</f>
        <v/>
      </c>
      <c r="K98" s="29"/>
      <c r="L98" s="34" t="str">
        <f aca="false">IF(OR($J98="",$K98=""),"",IF(MATCH($K98,DS!$H$2:$H$4,0)&gt;=MATCH($J98,DS!$H$2:$H$4,0),"✓","✗"))</f>
        <v/>
      </c>
      <c r="M98" s="31"/>
      <c r="N98" s="31"/>
      <c r="O98" s="31"/>
      <c r="P98" s="29"/>
      <c r="Q98" s="29"/>
      <c r="R98" s="30"/>
      <c r="S98" s="37" t="str">
        <f aca="false">IF($A98="","",N($I98)-N($R98))</f>
        <v/>
      </c>
      <c r="T98" s="34" t="str">
        <f aca="false">IF(OR($E98="",$F98=""),"",ROUND(($F98-$E98)*24,1))</f>
        <v/>
      </c>
      <c r="U98" s="34" t="str">
        <f aca="true">IF($E98="","",INT(IF($O98="",NOW(),$O98)-$E98))</f>
        <v/>
      </c>
      <c r="V98" s="34" t="str">
        <f aca="true">IF($E98="","",IF($F98="",IF((NOW()-$E98)*24&gt;24,"⚑",""),IF(($F98-$E98)*24&gt;24,"⚑","")))</f>
        <v/>
      </c>
      <c r="W98" s="34" t="str">
        <f aca="true">IF(OR($E98="",$O98&lt;&gt;""),"",IF(NOW()-$E98&gt;7,"⚑",""))</f>
        <v/>
      </c>
      <c r="X98" s="34" t="str">
        <f aca="false">IF($L98="✗","⚑","")</f>
        <v/>
      </c>
      <c r="Y98" s="29"/>
    </row>
    <row r="99" customFormat="false" ht="15" hidden="false" customHeight="false" outlineLevel="0" collapsed="false">
      <c r="A99" s="29"/>
      <c r="B99" s="29"/>
      <c r="C99" s="29"/>
      <c r="D99" s="29"/>
      <c r="E99" s="36"/>
      <c r="F99" s="36"/>
      <c r="G99" s="31"/>
      <c r="H99" s="29"/>
      <c r="I99" s="30"/>
      <c r="J99" s="34" t="str">
        <f aca="false">IF($I99="","",IF(OR($I99&gt;150,$H99="R4 Hoàn 100%"),"CEO",IF($I99&gt;50,"OPS","CX")))</f>
        <v/>
      </c>
      <c r="K99" s="29"/>
      <c r="L99" s="34" t="str">
        <f aca="false">IF(OR($J99="",$K99=""),"",IF(MATCH($K99,DS!$H$2:$H$4,0)&gt;=MATCH($J99,DS!$H$2:$H$4,0),"✓","✗"))</f>
        <v/>
      </c>
      <c r="M99" s="31"/>
      <c r="N99" s="31"/>
      <c r="O99" s="31"/>
      <c r="P99" s="29"/>
      <c r="Q99" s="29"/>
      <c r="R99" s="30"/>
      <c r="S99" s="37" t="str">
        <f aca="false">IF($A99="","",N($I99)-N($R99))</f>
        <v/>
      </c>
      <c r="T99" s="34" t="str">
        <f aca="false">IF(OR($E99="",$F99=""),"",ROUND(($F99-$E99)*24,1))</f>
        <v/>
      </c>
      <c r="U99" s="34" t="str">
        <f aca="true">IF($E99="","",INT(IF($O99="",NOW(),$O99)-$E99))</f>
        <v/>
      </c>
      <c r="V99" s="34" t="str">
        <f aca="true">IF($E99="","",IF($F99="",IF((NOW()-$E99)*24&gt;24,"⚑",""),IF(($F99-$E99)*24&gt;24,"⚑","")))</f>
        <v/>
      </c>
      <c r="W99" s="34" t="str">
        <f aca="true">IF(OR($E99="",$O99&lt;&gt;""),"",IF(NOW()-$E99&gt;7,"⚑",""))</f>
        <v/>
      </c>
      <c r="X99" s="34" t="str">
        <f aca="false">IF($L99="✗","⚑","")</f>
        <v/>
      </c>
      <c r="Y99" s="29"/>
    </row>
    <row r="100" customFormat="false" ht="15" hidden="false" customHeight="false" outlineLevel="0" collapsed="false">
      <c r="A100" s="29"/>
      <c r="B100" s="29"/>
      <c r="C100" s="29"/>
      <c r="D100" s="29"/>
      <c r="E100" s="36"/>
      <c r="F100" s="36"/>
      <c r="G100" s="31"/>
      <c r="H100" s="29"/>
      <c r="I100" s="30"/>
      <c r="J100" s="34" t="str">
        <f aca="false">IF($I100="","",IF(OR($I100&gt;150,$H100="R4 Hoàn 100%"),"CEO",IF($I100&gt;50,"OPS","CX")))</f>
        <v/>
      </c>
      <c r="K100" s="29"/>
      <c r="L100" s="34" t="str">
        <f aca="false">IF(OR($J100="",$K100=""),"",IF(MATCH($K100,DS!$H$2:$H$4,0)&gt;=MATCH($J100,DS!$H$2:$H$4,0),"✓","✗"))</f>
        <v/>
      </c>
      <c r="M100" s="31"/>
      <c r="N100" s="31"/>
      <c r="O100" s="31"/>
      <c r="P100" s="29"/>
      <c r="Q100" s="29"/>
      <c r="R100" s="30"/>
      <c r="S100" s="37" t="str">
        <f aca="false">IF($A100="","",N($I100)-N($R100))</f>
        <v/>
      </c>
      <c r="T100" s="34" t="str">
        <f aca="false">IF(OR($E100="",$F100=""),"",ROUND(($F100-$E100)*24,1))</f>
        <v/>
      </c>
      <c r="U100" s="34" t="str">
        <f aca="true">IF($E100="","",INT(IF($O100="",NOW(),$O100)-$E100))</f>
        <v/>
      </c>
      <c r="V100" s="34" t="str">
        <f aca="true">IF($E100="","",IF($F100="",IF((NOW()-$E100)*24&gt;24,"⚑",""),IF(($F100-$E100)*24&gt;24,"⚑","")))</f>
        <v/>
      </c>
      <c r="W100" s="34" t="str">
        <f aca="true">IF(OR($E100="",$O100&lt;&gt;""),"",IF(NOW()-$E100&gt;7,"⚑",""))</f>
        <v/>
      </c>
      <c r="X100" s="34" t="str">
        <f aca="false">IF($L100="✗","⚑","")</f>
        <v/>
      </c>
      <c r="Y100" s="29"/>
    </row>
    <row r="101" customFormat="false" ht="15" hidden="false" customHeight="false" outlineLevel="0" collapsed="false">
      <c r="A101" s="29"/>
      <c r="B101" s="29"/>
      <c r="C101" s="29"/>
      <c r="D101" s="29"/>
      <c r="E101" s="36"/>
      <c r="F101" s="36"/>
      <c r="G101" s="31"/>
      <c r="H101" s="29"/>
      <c r="I101" s="30"/>
      <c r="J101" s="34" t="str">
        <f aca="false">IF($I101="","",IF(OR($I101&gt;150,$H101="R4 Hoàn 100%"),"CEO",IF($I101&gt;50,"OPS","CX")))</f>
        <v/>
      </c>
      <c r="K101" s="29"/>
      <c r="L101" s="34" t="str">
        <f aca="false">IF(OR($J101="",$K101=""),"",IF(MATCH($K101,DS!$H$2:$H$4,0)&gt;=MATCH($J101,DS!$H$2:$H$4,0),"✓","✗"))</f>
        <v/>
      </c>
      <c r="M101" s="31"/>
      <c r="N101" s="31"/>
      <c r="O101" s="31"/>
      <c r="P101" s="29"/>
      <c r="Q101" s="29"/>
      <c r="R101" s="30"/>
      <c r="S101" s="37" t="str">
        <f aca="false">IF($A101="","",N($I101)-N($R101))</f>
        <v/>
      </c>
      <c r="T101" s="34" t="str">
        <f aca="false">IF(OR($E101="",$F101=""),"",ROUND(($F101-$E101)*24,1))</f>
        <v/>
      </c>
      <c r="U101" s="34" t="str">
        <f aca="true">IF($E101="","",INT(IF($O101="",NOW(),$O101)-$E101))</f>
        <v/>
      </c>
      <c r="V101" s="34" t="str">
        <f aca="true">IF($E101="","",IF($F101="",IF((NOW()-$E101)*24&gt;24,"⚑",""),IF(($F101-$E101)*24&gt;24,"⚑","")))</f>
        <v/>
      </c>
      <c r="W101" s="34" t="str">
        <f aca="true">IF(OR($E101="",$O101&lt;&gt;""),"",IF(NOW()-$E101&gt;7,"⚑",""))</f>
        <v/>
      </c>
      <c r="X101" s="34" t="str">
        <f aca="false">IF($L101="✗","⚑","")</f>
        <v/>
      </c>
      <c r="Y101" s="29"/>
    </row>
    <row r="102" customFormat="false" ht="15" hidden="false" customHeight="false" outlineLevel="0" collapsed="false">
      <c r="A102" s="29"/>
      <c r="B102" s="29"/>
      <c r="C102" s="29"/>
      <c r="D102" s="29"/>
      <c r="E102" s="36"/>
      <c r="F102" s="36"/>
      <c r="G102" s="31"/>
      <c r="H102" s="29"/>
      <c r="I102" s="30"/>
      <c r="J102" s="34" t="str">
        <f aca="false">IF($I102="","",IF(OR($I102&gt;150,$H102="R4 Hoàn 100%"),"CEO",IF($I102&gt;50,"OPS","CX")))</f>
        <v/>
      </c>
      <c r="K102" s="29"/>
      <c r="L102" s="34" t="str">
        <f aca="false">IF(OR($J102="",$K102=""),"",IF(MATCH($K102,DS!$H$2:$H$4,0)&gt;=MATCH($J102,DS!$H$2:$H$4,0),"✓","✗"))</f>
        <v/>
      </c>
      <c r="M102" s="31"/>
      <c r="N102" s="31"/>
      <c r="O102" s="31"/>
      <c r="P102" s="29"/>
      <c r="Q102" s="29"/>
      <c r="R102" s="30"/>
      <c r="S102" s="37" t="str">
        <f aca="false">IF($A102="","",N($I102)-N($R102))</f>
        <v/>
      </c>
      <c r="T102" s="34" t="str">
        <f aca="false">IF(OR($E102="",$F102=""),"",ROUND(($F102-$E102)*24,1))</f>
        <v/>
      </c>
      <c r="U102" s="34" t="str">
        <f aca="true">IF($E102="","",INT(IF($O102="",NOW(),$O102)-$E102))</f>
        <v/>
      </c>
      <c r="V102" s="34" t="str">
        <f aca="true">IF($E102="","",IF($F102="",IF((NOW()-$E102)*24&gt;24,"⚑",""),IF(($F102-$E102)*24&gt;24,"⚑","")))</f>
        <v/>
      </c>
      <c r="W102" s="34" t="str">
        <f aca="true">IF(OR($E102="",$O102&lt;&gt;""),"",IF(NOW()-$E102&gt;7,"⚑",""))</f>
        <v/>
      </c>
      <c r="X102" s="34" t="str">
        <f aca="false">IF($L102="✗","⚑","")</f>
        <v/>
      </c>
      <c r="Y102" s="29"/>
    </row>
    <row r="103" customFormat="false" ht="15" hidden="false" customHeight="false" outlineLevel="0" collapsed="false">
      <c r="A103" s="29"/>
      <c r="B103" s="29"/>
      <c r="C103" s="29"/>
      <c r="D103" s="29"/>
      <c r="E103" s="36"/>
      <c r="F103" s="36"/>
      <c r="G103" s="31"/>
      <c r="H103" s="29"/>
      <c r="I103" s="30"/>
      <c r="J103" s="34" t="str">
        <f aca="false">IF($I103="","",IF(OR($I103&gt;150,$H103="R4 Hoàn 100%"),"CEO",IF($I103&gt;50,"OPS","CX")))</f>
        <v/>
      </c>
      <c r="K103" s="29"/>
      <c r="L103" s="34" t="str">
        <f aca="false">IF(OR($J103="",$K103=""),"",IF(MATCH($K103,DS!$H$2:$H$4,0)&gt;=MATCH($J103,DS!$H$2:$H$4,0),"✓","✗"))</f>
        <v/>
      </c>
      <c r="M103" s="31"/>
      <c r="N103" s="31"/>
      <c r="O103" s="31"/>
      <c r="P103" s="29"/>
      <c r="Q103" s="29"/>
      <c r="R103" s="30"/>
      <c r="S103" s="37" t="str">
        <f aca="false">IF($A103="","",N($I103)-N($R103))</f>
        <v/>
      </c>
      <c r="T103" s="34" t="str">
        <f aca="false">IF(OR($E103="",$F103=""),"",ROUND(($F103-$E103)*24,1))</f>
        <v/>
      </c>
      <c r="U103" s="34" t="str">
        <f aca="true">IF($E103="","",INT(IF($O103="",NOW(),$O103)-$E103))</f>
        <v/>
      </c>
      <c r="V103" s="34" t="str">
        <f aca="true">IF($E103="","",IF($F103="",IF((NOW()-$E103)*24&gt;24,"⚑",""),IF(($F103-$E103)*24&gt;24,"⚑","")))</f>
        <v/>
      </c>
      <c r="W103" s="34" t="str">
        <f aca="true">IF(OR($E103="",$O103&lt;&gt;""),"",IF(NOW()-$E103&gt;7,"⚑",""))</f>
        <v/>
      </c>
      <c r="X103" s="34" t="str">
        <f aca="false">IF($L103="✗","⚑","")</f>
        <v/>
      </c>
      <c r="Y103" s="29"/>
    </row>
    <row r="104" customFormat="false" ht="15" hidden="false" customHeight="false" outlineLevel="0" collapsed="false">
      <c r="A104" s="29"/>
      <c r="B104" s="29"/>
      <c r="C104" s="29"/>
      <c r="D104" s="29"/>
      <c r="E104" s="36"/>
      <c r="F104" s="36"/>
      <c r="G104" s="31"/>
      <c r="H104" s="29"/>
      <c r="I104" s="30"/>
      <c r="J104" s="34" t="str">
        <f aca="false">IF($I104="","",IF(OR($I104&gt;150,$H104="R4 Hoàn 100%"),"CEO",IF($I104&gt;50,"OPS","CX")))</f>
        <v/>
      </c>
      <c r="K104" s="29"/>
      <c r="L104" s="34" t="str">
        <f aca="false">IF(OR($J104="",$K104=""),"",IF(MATCH($K104,DS!$H$2:$H$4,0)&gt;=MATCH($J104,DS!$H$2:$H$4,0),"✓","✗"))</f>
        <v/>
      </c>
      <c r="M104" s="31"/>
      <c r="N104" s="31"/>
      <c r="O104" s="31"/>
      <c r="P104" s="29"/>
      <c r="Q104" s="29"/>
      <c r="R104" s="30"/>
      <c r="S104" s="37" t="str">
        <f aca="false">IF($A104="","",N($I104)-N($R104))</f>
        <v/>
      </c>
      <c r="T104" s="34" t="str">
        <f aca="false">IF(OR($E104="",$F104=""),"",ROUND(($F104-$E104)*24,1))</f>
        <v/>
      </c>
      <c r="U104" s="34" t="str">
        <f aca="true">IF($E104="","",INT(IF($O104="",NOW(),$O104)-$E104))</f>
        <v/>
      </c>
      <c r="V104" s="34" t="str">
        <f aca="true">IF($E104="","",IF($F104="",IF((NOW()-$E104)*24&gt;24,"⚑",""),IF(($F104-$E104)*24&gt;24,"⚑","")))</f>
        <v/>
      </c>
      <c r="W104" s="34" t="str">
        <f aca="true">IF(OR($E104="",$O104&lt;&gt;""),"",IF(NOW()-$E104&gt;7,"⚑",""))</f>
        <v/>
      </c>
      <c r="X104" s="34" t="str">
        <f aca="false">IF($L104="✗","⚑","")</f>
        <v/>
      </c>
      <c r="Y104" s="29"/>
    </row>
    <row r="105" customFormat="false" ht="15" hidden="false" customHeight="false" outlineLevel="0" collapsed="false">
      <c r="A105" s="29"/>
      <c r="B105" s="29"/>
      <c r="C105" s="29"/>
      <c r="D105" s="29"/>
      <c r="E105" s="36"/>
      <c r="F105" s="36"/>
      <c r="G105" s="31"/>
      <c r="H105" s="29"/>
      <c r="I105" s="30"/>
      <c r="J105" s="34" t="str">
        <f aca="false">IF($I105="","",IF(OR($I105&gt;150,$H105="R4 Hoàn 100%"),"CEO",IF($I105&gt;50,"OPS","CX")))</f>
        <v/>
      </c>
      <c r="K105" s="29"/>
      <c r="L105" s="34" t="str">
        <f aca="false">IF(OR($J105="",$K105=""),"",IF(MATCH($K105,DS!$H$2:$H$4,0)&gt;=MATCH($J105,DS!$H$2:$H$4,0),"✓","✗"))</f>
        <v/>
      </c>
      <c r="M105" s="31"/>
      <c r="N105" s="31"/>
      <c r="O105" s="31"/>
      <c r="P105" s="29"/>
      <c r="Q105" s="29"/>
      <c r="R105" s="30"/>
      <c r="S105" s="37" t="str">
        <f aca="false">IF($A105="","",N($I105)-N($R105))</f>
        <v/>
      </c>
      <c r="T105" s="34" t="str">
        <f aca="false">IF(OR($E105="",$F105=""),"",ROUND(($F105-$E105)*24,1))</f>
        <v/>
      </c>
      <c r="U105" s="34" t="str">
        <f aca="true">IF($E105="","",INT(IF($O105="",NOW(),$O105)-$E105))</f>
        <v/>
      </c>
      <c r="V105" s="34" t="str">
        <f aca="true">IF($E105="","",IF($F105="",IF((NOW()-$E105)*24&gt;24,"⚑",""),IF(($F105-$E105)*24&gt;24,"⚑","")))</f>
        <v/>
      </c>
      <c r="W105" s="34" t="str">
        <f aca="true">IF(OR($E105="",$O105&lt;&gt;""),"",IF(NOW()-$E105&gt;7,"⚑",""))</f>
        <v/>
      </c>
      <c r="X105" s="34" t="str">
        <f aca="false">IF($L105="✗","⚑","")</f>
        <v/>
      </c>
      <c r="Y105" s="29"/>
    </row>
    <row r="106" customFormat="false" ht="15" hidden="false" customHeight="false" outlineLevel="0" collapsed="false">
      <c r="A106" s="29"/>
      <c r="B106" s="29"/>
      <c r="C106" s="29"/>
      <c r="D106" s="29"/>
      <c r="E106" s="36"/>
      <c r="F106" s="36"/>
      <c r="G106" s="31"/>
      <c r="H106" s="29"/>
      <c r="I106" s="30"/>
      <c r="J106" s="34" t="str">
        <f aca="false">IF($I106="","",IF(OR($I106&gt;150,$H106="R4 Hoàn 100%"),"CEO",IF($I106&gt;50,"OPS","CX")))</f>
        <v/>
      </c>
      <c r="K106" s="29"/>
      <c r="L106" s="34" t="str">
        <f aca="false">IF(OR($J106="",$K106=""),"",IF(MATCH($K106,DS!$H$2:$H$4,0)&gt;=MATCH($J106,DS!$H$2:$H$4,0),"✓","✗"))</f>
        <v/>
      </c>
      <c r="M106" s="31"/>
      <c r="N106" s="31"/>
      <c r="O106" s="31"/>
      <c r="P106" s="29"/>
      <c r="Q106" s="29"/>
      <c r="R106" s="30"/>
      <c r="S106" s="37" t="str">
        <f aca="false">IF($A106="","",N($I106)-N($R106))</f>
        <v/>
      </c>
      <c r="T106" s="34" t="str">
        <f aca="false">IF(OR($E106="",$F106=""),"",ROUND(($F106-$E106)*24,1))</f>
        <v/>
      </c>
      <c r="U106" s="34" t="str">
        <f aca="true">IF($E106="","",INT(IF($O106="",NOW(),$O106)-$E106))</f>
        <v/>
      </c>
      <c r="V106" s="34" t="str">
        <f aca="true">IF($E106="","",IF($F106="",IF((NOW()-$E106)*24&gt;24,"⚑",""),IF(($F106-$E106)*24&gt;24,"⚑","")))</f>
        <v/>
      </c>
      <c r="W106" s="34" t="str">
        <f aca="true">IF(OR($E106="",$O106&lt;&gt;""),"",IF(NOW()-$E106&gt;7,"⚑",""))</f>
        <v/>
      </c>
      <c r="X106" s="34" t="str">
        <f aca="false">IF($L106="✗","⚑","")</f>
        <v/>
      </c>
      <c r="Y106" s="29"/>
    </row>
    <row r="107" customFormat="false" ht="15" hidden="false" customHeight="false" outlineLevel="0" collapsed="false">
      <c r="A107" s="29"/>
      <c r="B107" s="29"/>
      <c r="C107" s="29"/>
      <c r="D107" s="29"/>
      <c r="E107" s="36"/>
      <c r="F107" s="36"/>
      <c r="G107" s="31"/>
      <c r="H107" s="29"/>
      <c r="I107" s="30"/>
      <c r="J107" s="34" t="str">
        <f aca="false">IF($I107="","",IF(OR($I107&gt;150,$H107="R4 Hoàn 100%"),"CEO",IF($I107&gt;50,"OPS","CX")))</f>
        <v/>
      </c>
      <c r="K107" s="29"/>
      <c r="L107" s="34" t="str">
        <f aca="false">IF(OR($J107="",$K107=""),"",IF(MATCH($K107,DS!$H$2:$H$4,0)&gt;=MATCH($J107,DS!$H$2:$H$4,0),"✓","✗"))</f>
        <v/>
      </c>
      <c r="M107" s="31"/>
      <c r="N107" s="31"/>
      <c r="O107" s="31"/>
      <c r="P107" s="29"/>
      <c r="Q107" s="29"/>
      <c r="R107" s="30"/>
      <c r="S107" s="37" t="str">
        <f aca="false">IF($A107="","",N($I107)-N($R107))</f>
        <v/>
      </c>
      <c r="T107" s="34" t="str">
        <f aca="false">IF(OR($E107="",$F107=""),"",ROUND(($F107-$E107)*24,1))</f>
        <v/>
      </c>
      <c r="U107" s="34" t="str">
        <f aca="true">IF($E107="","",INT(IF($O107="",NOW(),$O107)-$E107))</f>
        <v/>
      </c>
      <c r="V107" s="34" t="str">
        <f aca="true">IF($E107="","",IF($F107="",IF((NOW()-$E107)*24&gt;24,"⚑",""),IF(($F107-$E107)*24&gt;24,"⚑","")))</f>
        <v/>
      </c>
      <c r="W107" s="34" t="str">
        <f aca="true">IF(OR($E107="",$O107&lt;&gt;""),"",IF(NOW()-$E107&gt;7,"⚑",""))</f>
        <v/>
      </c>
      <c r="X107" s="34" t="str">
        <f aca="false">IF($L107="✗","⚑","")</f>
        <v/>
      </c>
      <c r="Y107" s="29"/>
    </row>
    <row r="108" customFormat="false" ht="15" hidden="false" customHeight="false" outlineLevel="0" collapsed="false">
      <c r="A108" s="29"/>
      <c r="B108" s="29"/>
      <c r="C108" s="29"/>
      <c r="D108" s="29"/>
      <c r="E108" s="36"/>
      <c r="F108" s="36"/>
      <c r="G108" s="31"/>
      <c r="H108" s="29"/>
      <c r="I108" s="30"/>
      <c r="J108" s="34" t="str">
        <f aca="false">IF($I108="","",IF(OR($I108&gt;150,$H108="R4 Hoàn 100%"),"CEO",IF($I108&gt;50,"OPS","CX")))</f>
        <v/>
      </c>
      <c r="K108" s="29"/>
      <c r="L108" s="34" t="str">
        <f aca="false">IF(OR($J108="",$K108=""),"",IF(MATCH($K108,DS!$H$2:$H$4,0)&gt;=MATCH($J108,DS!$H$2:$H$4,0),"✓","✗"))</f>
        <v/>
      </c>
      <c r="M108" s="31"/>
      <c r="N108" s="31"/>
      <c r="O108" s="31"/>
      <c r="P108" s="29"/>
      <c r="Q108" s="29"/>
      <c r="R108" s="30"/>
      <c r="S108" s="37" t="str">
        <f aca="false">IF($A108="","",N($I108)-N($R108))</f>
        <v/>
      </c>
      <c r="T108" s="34" t="str">
        <f aca="false">IF(OR($E108="",$F108=""),"",ROUND(($F108-$E108)*24,1))</f>
        <v/>
      </c>
      <c r="U108" s="34" t="str">
        <f aca="true">IF($E108="","",INT(IF($O108="",NOW(),$O108)-$E108))</f>
        <v/>
      </c>
      <c r="V108" s="34" t="str">
        <f aca="true">IF($E108="","",IF($F108="",IF((NOW()-$E108)*24&gt;24,"⚑",""),IF(($F108-$E108)*24&gt;24,"⚑","")))</f>
        <v/>
      </c>
      <c r="W108" s="34" t="str">
        <f aca="true">IF(OR($E108="",$O108&lt;&gt;""),"",IF(NOW()-$E108&gt;7,"⚑",""))</f>
        <v/>
      </c>
      <c r="X108" s="34" t="str">
        <f aca="false">IF($L108="✗","⚑","")</f>
        <v/>
      </c>
      <c r="Y108" s="29"/>
    </row>
    <row r="109" customFormat="false" ht="15" hidden="false" customHeight="false" outlineLevel="0" collapsed="false">
      <c r="A109" s="29"/>
      <c r="B109" s="29"/>
      <c r="C109" s="29"/>
      <c r="D109" s="29"/>
      <c r="E109" s="36"/>
      <c r="F109" s="36"/>
      <c r="G109" s="31"/>
      <c r="H109" s="29"/>
      <c r="I109" s="30"/>
      <c r="J109" s="34" t="str">
        <f aca="false">IF($I109="","",IF(OR($I109&gt;150,$H109="R4 Hoàn 100%"),"CEO",IF($I109&gt;50,"OPS","CX")))</f>
        <v/>
      </c>
      <c r="K109" s="29"/>
      <c r="L109" s="34" t="str">
        <f aca="false">IF(OR($J109="",$K109=""),"",IF(MATCH($K109,DS!$H$2:$H$4,0)&gt;=MATCH($J109,DS!$H$2:$H$4,0),"✓","✗"))</f>
        <v/>
      </c>
      <c r="M109" s="31"/>
      <c r="N109" s="31"/>
      <c r="O109" s="31"/>
      <c r="P109" s="29"/>
      <c r="Q109" s="29"/>
      <c r="R109" s="30"/>
      <c r="S109" s="37" t="str">
        <f aca="false">IF($A109="","",N($I109)-N($R109))</f>
        <v/>
      </c>
      <c r="T109" s="34" t="str">
        <f aca="false">IF(OR($E109="",$F109=""),"",ROUND(($F109-$E109)*24,1))</f>
        <v/>
      </c>
      <c r="U109" s="34" t="str">
        <f aca="true">IF($E109="","",INT(IF($O109="",NOW(),$O109)-$E109))</f>
        <v/>
      </c>
      <c r="V109" s="34" t="str">
        <f aca="true">IF($E109="","",IF($F109="",IF((NOW()-$E109)*24&gt;24,"⚑",""),IF(($F109-$E109)*24&gt;24,"⚑","")))</f>
        <v/>
      </c>
      <c r="W109" s="34" t="str">
        <f aca="true">IF(OR($E109="",$O109&lt;&gt;""),"",IF(NOW()-$E109&gt;7,"⚑",""))</f>
        <v/>
      </c>
      <c r="X109" s="34" t="str">
        <f aca="false">IF($L109="✗","⚑","")</f>
        <v/>
      </c>
      <c r="Y109" s="29"/>
    </row>
    <row r="110" customFormat="false" ht="15" hidden="false" customHeight="false" outlineLevel="0" collapsed="false">
      <c r="A110" s="29"/>
      <c r="B110" s="29"/>
      <c r="C110" s="29"/>
      <c r="D110" s="29"/>
      <c r="E110" s="36"/>
      <c r="F110" s="36"/>
      <c r="G110" s="31"/>
      <c r="H110" s="29"/>
      <c r="I110" s="30"/>
      <c r="J110" s="34" t="str">
        <f aca="false">IF($I110="","",IF(OR($I110&gt;150,$H110="R4 Hoàn 100%"),"CEO",IF($I110&gt;50,"OPS","CX")))</f>
        <v/>
      </c>
      <c r="K110" s="29"/>
      <c r="L110" s="34" t="str">
        <f aca="false">IF(OR($J110="",$K110=""),"",IF(MATCH($K110,DS!$H$2:$H$4,0)&gt;=MATCH($J110,DS!$H$2:$H$4,0),"✓","✗"))</f>
        <v/>
      </c>
      <c r="M110" s="31"/>
      <c r="N110" s="31"/>
      <c r="O110" s="31"/>
      <c r="P110" s="29"/>
      <c r="Q110" s="29"/>
      <c r="R110" s="30"/>
      <c r="S110" s="37" t="str">
        <f aca="false">IF($A110="","",N($I110)-N($R110))</f>
        <v/>
      </c>
      <c r="T110" s="34" t="str">
        <f aca="false">IF(OR($E110="",$F110=""),"",ROUND(($F110-$E110)*24,1))</f>
        <v/>
      </c>
      <c r="U110" s="34" t="str">
        <f aca="true">IF($E110="","",INT(IF($O110="",NOW(),$O110)-$E110))</f>
        <v/>
      </c>
      <c r="V110" s="34" t="str">
        <f aca="true">IF($E110="","",IF($F110="",IF((NOW()-$E110)*24&gt;24,"⚑",""),IF(($F110-$E110)*24&gt;24,"⚑","")))</f>
        <v/>
      </c>
      <c r="W110" s="34" t="str">
        <f aca="true">IF(OR($E110="",$O110&lt;&gt;""),"",IF(NOW()-$E110&gt;7,"⚑",""))</f>
        <v/>
      </c>
      <c r="X110" s="34" t="str">
        <f aca="false">IF($L110="✗","⚑","")</f>
        <v/>
      </c>
      <c r="Y110" s="29"/>
    </row>
    <row r="111" customFormat="false" ht="15" hidden="false" customHeight="false" outlineLevel="0" collapsed="false">
      <c r="A111" s="29"/>
      <c r="B111" s="29"/>
      <c r="C111" s="29"/>
      <c r="D111" s="29"/>
      <c r="E111" s="36"/>
      <c r="F111" s="36"/>
      <c r="G111" s="31"/>
      <c r="H111" s="29"/>
      <c r="I111" s="30"/>
      <c r="J111" s="34" t="str">
        <f aca="false">IF($I111="","",IF(OR($I111&gt;150,$H111="R4 Hoàn 100%"),"CEO",IF($I111&gt;50,"OPS","CX")))</f>
        <v/>
      </c>
      <c r="K111" s="29"/>
      <c r="L111" s="34" t="str">
        <f aca="false">IF(OR($J111="",$K111=""),"",IF(MATCH($K111,DS!$H$2:$H$4,0)&gt;=MATCH($J111,DS!$H$2:$H$4,0),"✓","✗"))</f>
        <v/>
      </c>
      <c r="M111" s="31"/>
      <c r="N111" s="31"/>
      <c r="O111" s="31"/>
      <c r="P111" s="29"/>
      <c r="Q111" s="29"/>
      <c r="R111" s="30"/>
      <c r="S111" s="37" t="str">
        <f aca="false">IF($A111="","",N($I111)-N($R111))</f>
        <v/>
      </c>
      <c r="T111" s="34" t="str">
        <f aca="false">IF(OR($E111="",$F111=""),"",ROUND(($F111-$E111)*24,1))</f>
        <v/>
      </c>
      <c r="U111" s="34" t="str">
        <f aca="true">IF($E111="","",INT(IF($O111="",NOW(),$O111)-$E111))</f>
        <v/>
      </c>
      <c r="V111" s="34" t="str">
        <f aca="true">IF($E111="","",IF($F111="",IF((NOW()-$E111)*24&gt;24,"⚑",""),IF(($F111-$E111)*24&gt;24,"⚑","")))</f>
        <v/>
      </c>
      <c r="W111" s="34" t="str">
        <f aca="true">IF(OR($E111="",$O111&lt;&gt;""),"",IF(NOW()-$E111&gt;7,"⚑",""))</f>
        <v/>
      </c>
      <c r="X111" s="34" t="str">
        <f aca="false">IF($L111="✗","⚑","")</f>
        <v/>
      </c>
      <c r="Y111" s="29"/>
    </row>
    <row r="112" customFormat="false" ht="15" hidden="false" customHeight="false" outlineLevel="0" collapsed="false">
      <c r="A112" s="29"/>
      <c r="B112" s="29"/>
      <c r="C112" s="29"/>
      <c r="D112" s="29"/>
      <c r="E112" s="36"/>
      <c r="F112" s="36"/>
      <c r="G112" s="31"/>
      <c r="H112" s="29"/>
      <c r="I112" s="30"/>
      <c r="J112" s="34" t="str">
        <f aca="false">IF($I112="","",IF(OR($I112&gt;150,$H112="R4 Hoàn 100%"),"CEO",IF($I112&gt;50,"OPS","CX")))</f>
        <v/>
      </c>
      <c r="K112" s="29"/>
      <c r="L112" s="34" t="str">
        <f aca="false">IF(OR($J112="",$K112=""),"",IF(MATCH($K112,DS!$H$2:$H$4,0)&gt;=MATCH($J112,DS!$H$2:$H$4,0),"✓","✗"))</f>
        <v/>
      </c>
      <c r="M112" s="31"/>
      <c r="N112" s="31"/>
      <c r="O112" s="31"/>
      <c r="P112" s="29"/>
      <c r="Q112" s="29"/>
      <c r="R112" s="30"/>
      <c r="S112" s="37" t="str">
        <f aca="false">IF($A112="","",N($I112)-N($R112))</f>
        <v/>
      </c>
      <c r="T112" s="34" t="str">
        <f aca="false">IF(OR($E112="",$F112=""),"",ROUND(($F112-$E112)*24,1))</f>
        <v/>
      </c>
      <c r="U112" s="34" t="str">
        <f aca="true">IF($E112="","",INT(IF($O112="",NOW(),$O112)-$E112))</f>
        <v/>
      </c>
      <c r="V112" s="34" t="str">
        <f aca="true">IF($E112="","",IF($F112="",IF((NOW()-$E112)*24&gt;24,"⚑",""),IF(($F112-$E112)*24&gt;24,"⚑","")))</f>
        <v/>
      </c>
      <c r="W112" s="34" t="str">
        <f aca="true">IF(OR($E112="",$O112&lt;&gt;""),"",IF(NOW()-$E112&gt;7,"⚑",""))</f>
        <v/>
      </c>
      <c r="X112" s="34" t="str">
        <f aca="false">IF($L112="✗","⚑","")</f>
        <v/>
      </c>
      <c r="Y112" s="29"/>
    </row>
    <row r="113" customFormat="false" ht="15" hidden="false" customHeight="false" outlineLevel="0" collapsed="false">
      <c r="A113" s="29"/>
      <c r="B113" s="29"/>
      <c r="C113" s="29"/>
      <c r="D113" s="29"/>
      <c r="E113" s="36"/>
      <c r="F113" s="36"/>
      <c r="G113" s="31"/>
      <c r="H113" s="29"/>
      <c r="I113" s="30"/>
      <c r="J113" s="34" t="str">
        <f aca="false">IF($I113="","",IF(OR($I113&gt;150,$H113="R4 Hoàn 100%"),"CEO",IF($I113&gt;50,"OPS","CX")))</f>
        <v/>
      </c>
      <c r="K113" s="29"/>
      <c r="L113" s="34" t="str">
        <f aca="false">IF(OR($J113="",$K113=""),"",IF(MATCH($K113,DS!$H$2:$H$4,0)&gt;=MATCH($J113,DS!$H$2:$H$4,0),"✓","✗"))</f>
        <v/>
      </c>
      <c r="M113" s="31"/>
      <c r="N113" s="31"/>
      <c r="O113" s="31"/>
      <c r="P113" s="29"/>
      <c r="Q113" s="29"/>
      <c r="R113" s="30"/>
      <c r="S113" s="37" t="str">
        <f aca="false">IF($A113="","",N($I113)-N($R113))</f>
        <v/>
      </c>
      <c r="T113" s="34" t="str">
        <f aca="false">IF(OR($E113="",$F113=""),"",ROUND(($F113-$E113)*24,1))</f>
        <v/>
      </c>
      <c r="U113" s="34" t="str">
        <f aca="true">IF($E113="","",INT(IF($O113="",NOW(),$O113)-$E113))</f>
        <v/>
      </c>
      <c r="V113" s="34" t="str">
        <f aca="true">IF($E113="","",IF($F113="",IF((NOW()-$E113)*24&gt;24,"⚑",""),IF(($F113-$E113)*24&gt;24,"⚑","")))</f>
        <v/>
      </c>
      <c r="W113" s="34" t="str">
        <f aca="true">IF(OR($E113="",$O113&lt;&gt;""),"",IF(NOW()-$E113&gt;7,"⚑",""))</f>
        <v/>
      </c>
      <c r="X113" s="34" t="str">
        <f aca="false">IF($L113="✗","⚑","")</f>
        <v/>
      </c>
      <c r="Y113" s="29"/>
    </row>
    <row r="114" customFormat="false" ht="15" hidden="false" customHeight="false" outlineLevel="0" collapsed="false">
      <c r="A114" s="29"/>
      <c r="B114" s="29"/>
      <c r="C114" s="29"/>
      <c r="D114" s="29"/>
      <c r="E114" s="36"/>
      <c r="F114" s="36"/>
      <c r="G114" s="31"/>
      <c r="H114" s="29"/>
      <c r="I114" s="30"/>
      <c r="J114" s="34" t="str">
        <f aca="false">IF($I114="","",IF(OR($I114&gt;150,$H114="R4 Hoàn 100%"),"CEO",IF($I114&gt;50,"OPS","CX")))</f>
        <v/>
      </c>
      <c r="K114" s="29"/>
      <c r="L114" s="34" t="str">
        <f aca="false">IF(OR($J114="",$K114=""),"",IF(MATCH($K114,DS!$H$2:$H$4,0)&gt;=MATCH($J114,DS!$H$2:$H$4,0),"✓","✗"))</f>
        <v/>
      </c>
      <c r="M114" s="31"/>
      <c r="N114" s="31"/>
      <c r="O114" s="31"/>
      <c r="P114" s="29"/>
      <c r="Q114" s="29"/>
      <c r="R114" s="30"/>
      <c r="S114" s="37" t="str">
        <f aca="false">IF($A114="","",N($I114)-N($R114))</f>
        <v/>
      </c>
      <c r="T114" s="34" t="str">
        <f aca="false">IF(OR($E114="",$F114=""),"",ROUND(($F114-$E114)*24,1))</f>
        <v/>
      </c>
      <c r="U114" s="34" t="str">
        <f aca="true">IF($E114="","",INT(IF($O114="",NOW(),$O114)-$E114))</f>
        <v/>
      </c>
      <c r="V114" s="34" t="str">
        <f aca="true">IF($E114="","",IF($F114="",IF((NOW()-$E114)*24&gt;24,"⚑",""),IF(($F114-$E114)*24&gt;24,"⚑","")))</f>
        <v/>
      </c>
      <c r="W114" s="34" t="str">
        <f aca="true">IF(OR($E114="",$O114&lt;&gt;""),"",IF(NOW()-$E114&gt;7,"⚑",""))</f>
        <v/>
      </c>
      <c r="X114" s="34" t="str">
        <f aca="false">IF($L114="✗","⚑","")</f>
        <v/>
      </c>
      <c r="Y114" s="29"/>
    </row>
    <row r="115" customFormat="false" ht="15" hidden="false" customHeight="false" outlineLevel="0" collapsed="false">
      <c r="A115" s="29"/>
      <c r="B115" s="29"/>
      <c r="C115" s="29"/>
      <c r="D115" s="29"/>
      <c r="E115" s="36"/>
      <c r="F115" s="36"/>
      <c r="G115" s="31"/>
      <c r="H115" s="29"/>
      <c r="I115" s="30"/>
      <c r="J115" s="34" t="str">
        <f aca="false">IF($I115="","",IF(OR($I115&gt;150,$H115="R4 Hoàn 100%"),"CEO",IF($I115&gt;50,"OPS","CX")))</f>
        <v/>
      </c>
      <c r="K115" s="29"/>
      <c r="L115" s="34" t="str">
        <f aca="false">IF(OR($J115="",$K115=""),"",IF(MATCH($K115,DS!$H$2:$H$4,0)&gt;=MATCH($J115,DS!$H$2:$H$4,0),"✓","✗"))</f>
        <v/>
      </c>
      <c r="M115" s="31"/>
      <c r="N115" s="31"/>
      <c r="O115" s="31"/>
      <c r="P115" s="29"/>
      <c r="Q115" s="29"/>
      <c r="R115" s="30"/>
      <c r="S115" s="37" t="str">
        <f aca="false">IF($A115="","",N($I115)-N($R115))</f>
        <v/>
      </c>
      <c r="T115" s="34" t="str">
        <f aca="false">IF(OR($E115="",$F115=""),"",ROUND(($F115-$E115)*24,1))</f>
        <v/>
      </c>
      <c r="U115" s="34" t="str">
        <f aca="true">IF($E115="","",INT(IF($O115="",NOW(),$O115)-$E115))</f>
        <v/>
      </c>
      <c r="V115" s="34" t="str">
        <f aca="true">IF($E115="","",IF($F115="",IF((NOW()-$E115)*24&gt;24,"⚑",""),IF(($F115-$E115)*24&gt;24,"⚑","")))</f>
        <v/>
      </c>
      <c r="W115" s="34" t="str">
        <f aca="true">IF(OR($E115="",$O115&lt;&gt;""),"",IF(NOW()-$E115&gt;7,"⚑",""))</f>
        <v/>
      </c>
      <c r="X115" s="34" t="str">
        <f aca="false">IF($L115="✗","⚑","")</f>
        <v/>
      </c>
      <c r="Y115" s="29"/>
    </row>
    <row r="116" customFormat="false" ht="15" hidden="false" customHeight="false" outlineLevel="0" collapsed="false">
      <c r="A116" s="29"/>
      <c r="B116" s="29"/>
      <c r="C116" s="29"/>
      <c r="D116" s="29"/>
      <c r="E116" s="36"/>
      <c r="F116" s="36"/>
      <c r="G116" s="31"/>
      <c r="H116" s="29"/>
      <c r="I116" s="30"/>
      <c r="J116" s="34" t="str">
        <f aca="false">IF($I116="","",IF(OR($I116&gt;150,$H116="R4 Hoàn 100%"),"CEO",IF($I116&gt;50,"OPS","CX")))</f>
        <v/>
      </c>
      <c r="K116" s="29"/>
      <c r="L116" s="34" t="str">
        <f aca="false">IF(OR($J116="",$K116=""),"",IF(MATCH($K116,DS!$H$2:$H$4,0)&gt;=MATCH($J116,DS!$H$2:$H$4,0),"✓","✗"))</f>
        <v/>
      </c>
      <c r="M116" s="31"/>
      <c r="N116" s="31"/>
      <c r="O116" s="31"/>
      <c r="P116" s="29"/>
      <c r="Q116" s="29"/>
      <c r="R116" s="30"/>
      <c r="S116" s="37" t="str">
        <f aca="false">IF($A116="","",N($I116)-N($R116))</f>
        <v/>
      </c>
      <c r="T116" s="34" t="str">
        <f aca="false">IF(OR($E116="",$F116=""),"",ROUND(($F116-$E116)*24,1))</f>
        <v/>
      </c>
      <c r="U116" s="34" t="str">
        <f aca="true">IF($E116="","",INT(IF($O116="",NOW(),$O116)-$E116))</f>
        <v/>
      </c>
      <c r="V116" s="34" t="str">
        <f aca="true">IF($E116="","",IF($F116="",IF((NOW()-$E116)*24&gt;24,"⚑",""),IF(($F116-$E116)*24&gt;24,"⚑","")))</f>
        <v/>
      </c>
      <c r="W116" s="34" t="str">
        <f aca="true">IF(OR($E116="",$O116&lt;&gt;""),"",IF(NOW()-$E116&gt;7,"⚑",""))</f>
        <v/>
      </c>
      <c r="X116" s="34" t="str">
        <f aca="false">IF($L116="✗","⚑","")</f>
        <v/>
      </c>
      <c r="Y116" s="29"/>
    </row>
    <row r="117" customFormat="false" ht="15" hidden="false" customHeight="false" outlineLevel="0" collapsed="false">
      <c r="A117" s="29"/>
      <c r="B117" s="29"/>
      <c r="C117" s="29"/>
      <c r="D117" s="29"/>
      <c r="E117" s="36"/>
      <c r="F117" s="36"/>
      <c r="G117" s="31"/>
      <c r="H117" s="29"/>
      <c r="I117" s="30"/>
      <c r="J117" s="34" t="str">
        <f aca="false">IF($I117="","",IF(OR($I117&gt;150,$H117="R4 Hoàn 100%"),"CEO",IF($I117&gt;50,"OPS","CX")))</f>
        <v/>
      </c>
      <c r="K117" s="29"/>
      <c r="L117" s="34" t="str">
        <f aca="false">IF(OR($J117="",$K117=""),"",IF(MATCH($K117,DS!$H$2:$H$4,0)&gt;=MATCH($J117,DS!$H$2:$H$4,0),"✓","✗"))</f>
        <v/>
      </c>
      <c r="M117" s="31"/>
      <c r="N117" s="31"/>
      <c r="O117" s="31"/>
      <c r="P117" s="29"/>
      <c r="Q117" s="29"/>
      <c r="R117" s="30"/>
      <c r="S117" s="37" t="str">
        <f aca="false">IF($A117="","",N($I117)-N($R117))</f>
        <v/>
      </c>
      <c r="T117" s="34" t="str">
        <f aca="false">IF(OR($E117="",$F117=""),"",ROUND(($F117-$E117)*24,1))</f>
        <v/>
      </c>
      <c r="U117" s="34" t="str">
        <f aca="true">IF($E117="","",INT(IF($O117="",NOW(),$O117)-$E117))</f>
        <v/>
      </c>
      <c r="V117" s="34" t="str">
        <f aca="true">IF($E117="","",IF($F117="",IF((NOW()-$E117)*24&gt;24,"⚑",""),IF(($F117-$E117)*24&gt;24,"⚑","")))</f>
        <v/>
      </c>
      <c r="W117" s="34" t="str">
        <f aca="true">IF(OR($E117="",$O117&lt;&gt;""),"",IF(NOW()-$E117&gt;7,"⚑",""))</f>
        <v/>
      </c>
      <c r="X117" s="34" t="str">
        <f aca="false">IF($L117="✗","⚑","")</f>
        <v/>
      </c>
      <c r="Y117" s="29"/>
    </row>
    <row r="118" customFormat="false" ht="15" hidden="false" customHeight="false" outlineLevel="0" collapsed="false">
      <c r="A118" s="29"/>
      <c r="B118" s="29"/>
      <c r="C118" s="29"/>
      <c r="D118" s="29"/>
      <c r="E118" s="36"/>
      <c r="F118" s="36"/>
      <c r="G118" s="31"/>
      <c r="H118" s="29"/>
      <c r="I118" s="30"/>
      <c r="J118" s="34" t="str">
        <f aca="false">IF($I118="","",IF(OR($I118&gt;150,$H118="R4 Hoàn 100%"),"CEO",IF($I118&gt;50,"OPS","CX")))</f>
        <v/>
      </c>
      <c r="K118" s="29"/>
      <c r="L118" s="34" t="str">
        <f aca="false">IF(OR($J118="",$K118=""),"",IF(MATCH($K118,DS!$H$2:$H$4,0)&gt;=MATCH($J118,DS!$H$2:$H$4,0),"✓","✗"))</f>
        <v/>
      </c>
      <c r="M118" s="31"/>
      <c r="N118" s="31"/>
      <c r="O118" s="31"/>
      <c r="P118" s="29"/>
      <c r="Q118" s="29"/>
      <c r="R118" s="30"/>
      <c r="S118" s="37" t="str">
        <f aca="false">IF($A118="","",N($I118)-N($R118))</f>
        <v/>
      </c>
      <c r="T118" s="34" t="str">
        <f aca="false">IF(OR($E118="",$F118=""),"",ROUND(($F118-$E118)*24,1))</f>
        <v/>
      </c>
      <c r="U118" s="34" t="str">
        <f aca="true">IF($E118="","",INT(IF($O118="",NOW(),$O118)-$E118))</f>
        <v/>
      </c>
      <c r="V118" s="34" t="str">
        <f aca="true">IF($E118="","",IF($F118="",IF((NOW()-$E118)*24&gt;24,"⚑",""),IF(($F118-$E118)*24&gt;24,"⚑","")))</f>
        <v/>
      </c>
      <c r="W118" s="34" t="str">
        <f aca="true">IF(OR($E118="",$O118&lt;&gt;""),"",IF(NOW()-$E118&gt;7,"⚑",""))</f>
        <v/>
      </c>
      <c r="X118" s="34" t="str">
        <f aca="false">IF($L118="✗","⚑","")</f>
        <v/>
      </c>
      <c r="Y118" s="29"/>
    </row>
    <row r="119" customFormat="false" ht="15" hidden="false" customHeight="false" outlineLevel="0" collapsed="false">
      <c r="A119" s="29"/>
      <c r="B119" s="29"/>
      <c r="C119" s="29"/>
      <c r="D119" s="29"/>
      <c r="E119" s="36"/>
      <c r="F119" s="36"/>
      <c r="G119" s="31"/>
      <c r="H119" s="29"/>
      <c r="I119" s="30"/>
      <c r="J119" s="34" t="str">
        <f aca="false">IF($I119="","",IF(OR($I119&gt;150,$H119="R4 Hoàn 100%"),"CEO",IF($I119&gt;50,"OPS","CX")))</f>
        <v/>
      </c>
      <c r="K119" s="29"/>
      <c r="L119" s="34" t="str">
        <f aca="false">IF(OR($J119="",$K119=""),"",IF(MATCH($K119,DS!$H$2:$H$4,0)&gt;=MATCH($J119,DS!$H$2:$H$4,0),"✓","✗"))</f>
        <v/>
      </c>
      <c r="M119" s="31"/>
      <c r="N119" s="31"/>
      <c r="O119" s="31"/>
      <c r="P119" s="29"/>
      <c r="Q119" s="29"/>
      <c r="R119" s="30"/>
      <c r="S119" s="37" t="str">
        <f aca="false">IF($A119="","",N($I119)-N($R119))</f>
        <v/>
      </c>
      <c r="T119" s="34" t="str">
        <f aca="false">IF(OR($E119="",$F119=""),"",ROUND(($F119-$E119)*24,1))</f>
        <v/>
      </c>
      <c r="U119" s="34" t="str">
        <f aca="true">IF($E119="","",INT(IF($O119="",NOW(),$O119)-$E119))</f>
        <v/>
      </c>
      <c r="V119" s="34" t="str">
        <f aca="true">IF($E119="","",IF($F119="",IF((NOW()-$E119)*24&gt;24,"⚑",""),IF(($F119-$E119)*24&gt;24,"⚑","")))</f>
        <v/>
      </c>
      <c r="W119" s="34" t="str">
        <f aca="true">IF(OR($E119="",$O119&lt;&gt;""),"",IF(NOW()-$E119&gt;7,"⚑",""))</f>
        <v/>
      </c>
      <c r="X119" s="34" t="str">
        <f aca="false">IF($L119="✗","⚑","")</f>
        <v/>
      </c>
      <c r="Y119" s="29"/>
    </row>
    <row r="120" customFormat="false" ht="15" hidden="false" customHeight="false" outlineLevel="0" collapsed="false">
      <c r="A120" s="29"/>
      <c r="B120" s="29"/>
      <c r="C120" s="29"/>
      <c r="D120" s="29"/>
      <c r="E120" s="36"/>
      <c r="F120" s="36"/>
      <c r="G120" s="31"/>
      <c r="H120" s="29"/>
      <c r="I120" s="30"/>
      <c r="J120" s="34" t="str">
        <f aca="false">IF($I120="","",IF(OR($I120&gt;150,$H120="R4 Hoàn 100%"),"CEO",IF($I120&gt;50,"OPS","CX")))</f>
        <v/>
      </c>
      <c r="K120" s="29"/>
      <c r="L120" s="34" t="str">
        <f aca="false">IF(OR($J120="",$K120=""),"",IF(MATCH($K120,DS!$H$2:$H$4,0)&gt;=MATCH($J120,DS!$H$2:$H$4,0),"✓","✗"))</f>
        <v/>
      </c>
      <c r="M120" s="31"/>
      <c r="N120" s="31"/>
      <c r="O120" s="31"/>
      <c r="P120" s="29"/>
      <c r="Q120" s="29"/>
      <c r="R120" s="30"/>
      <c r="S120" s="37" t="str">
        <f aca="false">IF($A120="","",N($I120)-N($R120))</f>
        <v/>
      </c>
      <c r="T120" s="34" t="str">
        <f aca="false">IF(OR($E120="",$F120=""),"",ROUND(($F120-$E120)*24,1))</f>
        <v/>
      </c>
      <c r="U120" s="34" t="str">
        <f aca="true">IF($E120="","",INT(IF($O120="",NOW(),$O120)-$E120))</f>
        <v/>
      </c>
      <c r="V120" s="34" t="str">
        <f aca="true">IF($E120="","",IF($F120="",IF((NOW()-$E120)*24&gt;24,"⚑",""),IF(($F120-$E120)*24&gt;24,"⚑","")))</f>
        <v/>
      </c>
      <c r="W120" s="34" t="str">
        <f aca="true">IF(OR($E120="",$O120&lt;&gt;""),"",IF(NOW()-$E120&gt;7,"⚑",""))</f>
        <v/>
      </c>
      <c r="X120" s="34" t="str">
        <f aca="false">IF($L120="✗","⚑","")</f>
        <v/>
      </c>
      <c r="Y120" s="29"/>
    </row>
    <row r="121" customFormat="false" ht="15" hidden="false" customHeight="false" outlineLevel="0" collapsed="false">
      <c r="A121" s="29"/>
      <c r="B121" s="29"/>
      <c r="C121" s="29"/>
      <c r="D121" s="29"/>
      <c r="E121" s="36"/>
      <c r="F121" s="36"/>
      <c r="G121" s="31"/>
      <c r="H121" s="29"/>
      <c r="I121" s="30"/>
      <c r="J121" s="34" t="str">
        <f aca="false">IF($I121="","",IF(OR($I121&gt;150,$H121="R4 Hoàn 100%"),"CEO",IF($I121&gt;50,"OPS","CX")))</f>
        <v/>
      </c>
      <c r="K121" s="29"/>
      <c r="L121" s="34" t="str">
        <f aca="false">IF(OR($J121="",$K121=""),"",IF(MATCH($K121,DS!$H$2:$H$4,0)&gt;=MATCH($J121,DS!$H$2:$H$4,0),"✓","✗"))</f>
        <v/>
      </c>
      <c r="M121" s="31"/>
      <c r="N121" s="31"/>
      <c r="O121" s="31"/>
      <c r="P121" s="29"/>
      <c r="Q121" s="29"/>
      <c r="R121" s="30"/>
      <c r="S121" s="37" t="str">
        <f aca="false">IF($A121="","",N($I121)-N($R121))</f>
        <v/>
      </c>
      <c r="T121" s="34" t="str">
        <f aca="false">IF(OR($E121="",$F121=""),"",ROUND(($F121-$E121)*24,1))</f>
        <v/>
      </c>
      <c r="U121" s="34" t="str">
        <f aca="true">IF($E121="","",INT(IF($O121="",NOW(),$O121)-$E121))</f>
        <v/>
      </c>
      <c r="V121" s="34" t="str">
        <f aca="true">IF($E121="","",IF($F121="",IF((NOW()-$E121)*24&gt;24,"⚑",""),IF(($F121-$E121)*24&gt;24,"⚑","")))</f>
        <v/>
      </c>
      <c r="W121" s="34" t="str">
        <f aca="true">IF(OR($E121="",$O121&lt;&gt;""),"",IF(NOW()-$E121&gt;7,"⚑",""))</f>
        <v/>
      </c>
      <c r="X121" s="34" t="str">
        <f aca="false">IF($L121="✗","⚑","")</f>
        <v/>
      </c>
      <c r="Y121" s="29"/>
    </row>
    <row r="122" customFormat="false" ht="15" hidden="false" customHeight="false" outlineLevel="0" collapsed="false">
      <c r="A122" s="29"/>
      <c r="B122" s="29"/>
      <c r="C122" s="29"/>
      <c r="D122" s="29"/>
      <c r="E122" s="36"/>
      <c r="F122" s="36"/>
      <c r="G122" s="31"/>
      <c r="H122" s="29"/>
      <c r="I122" s="30"/>
      <c r="J122" s="34" t="str">
        <f aca="false">IF($I122="","",IF(OR($I122&gt;150,$H122="R4 Hoàn 100%"),"CEO",IF($I122&gt;50,"OPS","CX")))</f>
        <v/>
      </c>
      <c r="K122" s="29"/>
      <c r="L122" s="34" t="str">
        <f aca="false">IF(OR($J122="",$K122=""),"",IF(MATCH($K122,DS!$H$2:$H$4,0)&gt;=MATCH($J122,DS!$H$2:$H$4,0),"✓","✗"))</f>
        <v/>
      </c>
      <c r="M122" s="31"/>
      <c r="N122" s="31"/>
      <c r="O122" s="31"/>
      <c r="P122" s="29"/>
      <c r="Q122" s="29"/>
      <c r="R122" s="30"/>
      <c r="S122" s="37" t="str">
        <f aca="false">IF($A122="","",N($I122)-N($R122))</f>
        <v/>
      </c>
      <c r="T122" s="34" t="str">
        <f aca="false">IF(OR($E122="",$F122=""),"",ROUND(($F122-$E122)*24,1))</f>
        <v/>
      </c>
      <c r="U122" s="34" t="str">
        <f aca="true">IF($E122="","",INT(IF($O122="",NOW(),$O122)-$E122))</f>
        <v/>
      </c>
      <c r="V122" s="34" t="str">
        <f aca="true">IF($E122="","",IF($F122="",IF((NOW()-$E122)*24&gt;24,"⚑",""),IF(($F122-$E122)*24&gt;24,"⚑","")))</f>
        <v/>
      </c>
      <c r="W122" s="34" t="str">
        <f aca="true">IF(OR($E122="",$O122&lt;&gt;""),"",IF(NOW()-$E122&gt;7,"⚑",""))</f>
        <v/>
      </c>
      <c r="X122" s="34" t="str">
        <f aca="false">IF($L122="✗","⚑","")</f>
        <v/>
      </c>
      <c r="Y122" s="29"/>
    </row>
    <row r="123" customFormat="false" ht="15" hidden="false" customHeight="false" outlineLevel="0" collapsed="false">
      <c r="A123" s="29"/>
      <c r="B123" s="29"/>
      <c r="C123" s="29"/>
      <c r="D123" s="29"/>
      <c r="E123" s="36"/>
      <c r="F123" s="36"/>
      <c r="G123" s="31"/>
      <c r="H123" s="29"/>
      <c r="I123" s="30"/>
      <c r="J123" s="34" t="str">
        <f aca="false">IF($I123="","",IF(OR($I123&gt;150,$H123="R4 Hoàn 100%"),"CEO",IF($I123&gt;50,"OPS","CX")))</f>
        <v/>
      </c>
      <c r="K123" s="29"/>
      <c r="L123" s="34" t="str">
        <f aca="false">IF(OR($J123="",$K123=""),"",IF(MATCH($K123,DS!$H$2:$H$4,0)&gt;=MATCH($J123,DS!$H$2:$H$4,0),"✓","✗"))</f>
        <v/>
      </c>
      <c r="M123" s="31"/>
      <c r="N123" s="31"/>
      <c r="O123" s="31"/>
      <c r="P123" s="29"/>
      <c r="Q123" s="29"/>
      <c r="R123" s="30"/>
      <c r="S123" s="37" t="str">
        <f aca="false">IF($A123="","",N($I123)-N($R123))</f>
        <v/>
      </c>
      <c r="T123" s="34" t="str">
        <f aca="false">IF(OR($E123="",$F123=""),"",ROUND(($F123-$E123)*24,1))</f>
        <v/>
      </c>
      <c r="U123" s="34" t="str">
        <f aca="true">IF($E123="","",INT(IF($O123="",NOW(),$O123)-$E123))</f>
        <v/>
      </c>
      <c r="V123" s="34" t="str">
        <f aca="true">IF($E123="","",IF($F123="",IF((NOW()-$E123)*24&gt;24,"⚑",""),IF(($F123-$E123)*24&gt;24,"⚑","")))</f>
        <v/>
      </c>
      <c r="W123" s="34" t="str">
        <f aca="true">IF(OR($E123="",$O123&lt;&gt;""),"",IF(NOW()-$E123&gt;7,"⚑",""))</f>
        <v/>
      </c>
      <c r="X123" s="34" t="str">
        <f aca="false">IF($L123="✗","⚑","")</f>
        <v/>
      </c>
      <c r="Y123" s="29"/>
    </row>
    <row r="124" customFormat="false" ht="15" hidden="false" customHeight="false" outlineLevel="0" collapsed="false">
      <c r="A124" s="29"/>
      <c r="B124" s="29"/>
      <c r="C124" s="29"/>
      <c r="D124" s="29"/>
      <c r="E124" s="36"/>
      <c r="F124" s="36"/>
      <c r="G124" s="31"/>
      <c r="H124" s="29"/>
      <c r="I124" s="30"/>
      <c r="J124" s="34" t="str">
        <f aca="false">IF($I124="","",IF(OR($I124&gt;150,$H124="R4 Hoàn 100%"),"CEO",IF($I124&gt;50,"OPS","CX")))</f>
        <v/>
      </c>
      <c r="K124" s="29"/>
      <c r="L124" s="34" t="str">
        <f aca="false">IF(OR($J124="",$K124=""),"",IF(MATCH($K124,DS!$H$2:$H$4,0)&gt;=MATCH($J124,DS!$H$2:$H$4,0),"✓","✗"))</f>
        <v/>
      </c>
      <c r="M124" s="31"/>
      <c r="N124" s="31"/>
      <c r="O124" s="31"/>
      <c r="P124" s="29"/>
      <c r="Q124" s="29"/>
      <c r="R124" s="30"/>
      <c r="S124" s="37" t="str">
        <f aca="false">IF($A124="","",N($I124)-N($R124))</f>
        <v/>
      </c>
      <c r="T124" s="34" t="str">
        <f aca="false">IF(OR($E124="",$F124=""),"",ROUND(($F124-$E124)*24,1))</f>
        <v/>
      </c>
      <c r="U124" s="34" t="str">
        <f aca="true">IF($E124="","",INT(IF($O124="",NOW(),$O124)-$E124))</f>
        <v/>
      </c>
      <c r="V124" s="34" t="str">
        <f aca="true">IF($E124="","",IF($F124="",IF((NOW()-$E124)*24&gt;24,"⚑",""),IF(($F124-$E124)*24&gt;24,"⚑","")))</f>
        <v/>
      </c>
      <c r="W124" s="34" t="str">
        <f aca="true">IF(OR($E124="",$O124&lt;&gt;""),"",IF(NOW()-$E124&gt;7,"⚑",""))</f>
        <v/>
      </c>
      <c r="X124" s="34" t="str">
        <f aca="false">IF($L124="✗","⚑","")</f>
        <v/>
      </c>
      <c r="Y124" s="29"/>
    </row>
    <row r="125" customFormat="false" ht="15" hidden="false" customHeight="false" outlineLevel="0" collapsed="false">
      <c r="A125" s="29"/>
      <c r="B125" s="29"/>
      <c r="C125" s="29"/>
      <c r="D125" s="29"/>
      <c r="E125" s="36"/>
      <c r="F125" s="36"/>
      <c r="G125" s="31"/>
      <c r="H125" s="29"/>
      <c r="I125" s="30"/>
      <c r="J125" s="34" t="str">
        <f aca="false">IF($I125="","",IF(OR($I125&gt;150,$H125="R4 Hoàn 100%"),"CEO",IF($I125&gt;50,"OPS","CX")))</f>
        <v/>
      </c>
      <c r="K125" s="29"/>
      <c r="L125" s="34" t="str">
        <f aca="false">IF(OR($J125="",$K125=""),"",IF(MATCH($K125,DS!$H$2:$H$4,0)&gt;=MATCH($J125,DS!$H$2:$H$4,0),"✓","✗"))</f>
        <v/>
      </c>
      <c r="M125" s="31"/>
      <c r="N125" s="31"/>
      <c r="O125" s="31"/>
      <c r="P125" s="29"/>
      <c r="Q125" s="29"/>
      <c r="R125" s="30"/>
      <c r="S125" s="37" t="str">
        <f aca="false">IF($A125="","",N($I125)-N($R125))</f>
        <v/>
      </c>
      <c r="T125" s="34" t="str">
        <f aca="false">IF(OR($E125="",$F125=""),"",ROUND(($F125-$E125)*24,1))</f>
        <v/>
      </c>
      <c r="U125" s="34" t="str">
        <f aca="true">IF($E125="","",INT(IF($O125="",NOW(),$O125)-$E125))</f>
        <v/>
      </c>
      <c r="V125" s="34" t="str">
        <f aca="true">IF($E125="","",IF($F125="",IF((NOW()-$E125)*24&gt;24,"⚑",""),IF(($F125-$E125)*24&gt;24,"⚑","")))</f>
        <v/>
      </c>
      <c r="W125" s="34" t="str">
        <f aca="true">IF(OR($E125="",$O125&lt;&gt;""),"",IF(NOW()-$E125&gt;7,"⚑",""))</f>
        <v/>
      </c>
      <c r="X125" s="34" t="str">
        <f aca="false">IF($L125="✗","⚑","")</f>
        <v/>
      </c>
      <c r="Y125" s="29"/>
    </row>
    <row r="126" customFormat="false" ht="15" hidden="false" customHeight="false" outlineLevel="0" collapsed="false">
      <c r="A126" s="29"/>
      <c r="B126" s="29"/>
      <c r="C126" s="29"/>
      <c r="D126" s="29"/>
      <c r="E126" s="36"/>
      <c r="F126" s="36"/>
      <c r="G126" s="31"/>
      <c r="H126" s="29"/>
      <c r="I126" s="30"/>
      <c r="J126" s="34" t="str">
        <f aca="false">IF($I126="","",IF(OR($I126&gt;150,$H126="R4 Hoàn 100%"),"CEO",IF($I126&gt;50,"OPS","CX")))</f>
        <v/>
      </c>
      <c r="K126" s="29"/>
      <c r="L126" s="34" t="str">
        <f aca="false">IF(OR($J126="",$K126=""),"",IF(MATCH($K126,DS!$H$2:$H$4,0)&gt;=MATCH($J126,DS!$H$2:$H$4,0),"✓","✗"))</f>
        <v/>
      </c>
      <c r="M126" s="31"/>
      <c r="N126" s="31"/>
      <c r="O126" s="31"/>
      <c r="P126" s="29"/>
      <c r="Q126" s="29"/>
      <c r="R126" s="30"/>
      <c r="S126" s="37" t="str">
        <f aca="false">IF($A126="","",N($I126)-N($R126))</f>
        <v/>
      </c>
      <c r="T126" s="34" t="str">
        <f aca="false">IF(OR($E126="",$F126=""),"",ROUND(($F126-$E126)*24,1))</f>
        <v/>
      </c>
      <c r="U126" s="34" t="str">
        <f aca="true">IF($E126="","",INT(IF($O126="",NOW(),$O126)-$E126))</f>
        <v/>
      </c>
      <c r="V126" s="34" t="str">
        <f aca="true">IF($E126="","",IF($F126="",IF((NOW()-$E126)*24&gt;24,"⚑",""),IF(($F126-$E126)*24&gt;24,"⚑","")))</f>
        <v/>
      </c>
      <c r="W126" s="34" t="str">
        <f aca="true">IF(OR($E126="",$O126&lt;&gt;""),"",IF(NOW()-$E126&gt;7,"⚑",""))</f>
        <v/>
      </c>
      <c r="X126" s="34" t="str">
        <f aca="false">IF($L126="✗","⚑","")</f>
        <v/>
      </c>
      <c r="Y126" s="29"/>
    </row>
    <row r="127" customFormat="false" ht="15" hidden="false" customHeight="false" outlineLevel="0" collapsed="false">
      <c r="A127" s="29"/>
      <c r="B127" s="29"/>
      <c r="C127" s="29"/>
      <c r="D127" s="29"/>
      <c r="E127" s="36"/>
      <c r="F127" s="36"/>
      <c r="G127" s="31"/>
      <c r="H127" s="29"/>
      <c r="I127" s="30"/>
      <c r="J127" s="34" t="str">
        <f aca="false">IF($I127="","",IF(OR($I127&gt;150,$H127="R4 Hoàn 100%"),"CEO",IF($I127&gt;50,"OPS","CX")))</f>
        <v/>
      </c>
      <c r="K127" s="29"/>
      <c r="L127" s="34" t="str">
        <f aca="false">IF(OR($J127="",$K127=""),"",IF(MATCH($K127,DS!$H$2:$H$4,0)&gt;=MATCH($J127,DS!$H$2:$H$4,0),"✓","✗"))</f>
        <v/>
      </c>
      <c r="M127" s="31"/>
      <c r="N127" s="31"/>
      <c r="O127" s="31"/>
      <c r="P127" s="29"/>
      <c r="Q127" s="29"/>
      <c r="R127" s="30"/>
      <c r="S127" s="37" t="str">
        <f aca="false">IF($A127="","",N($I127)-N($R127))</f>
        <v/>
      </c>
      <c r="T127" s="34" t="str">
        <f aca="false">IF(OR($E127="",$F127=""),"",ROUND(($F127-$E127)*24,1))</f>
        <v/>
      </c>
      <c r="U127" s="34" t="str">
        <f aca="true">IF($E127="","",INT(IF($O127="",NOW(),$O127)-$E127))</f>
        <v/>
      </c>
      <c r="V127" s="34" t="str">
        <f aca="true">IF($E127="","",IF($F127="",IF((NOW()-$E127)*24&gt;24,"⚑",""),IF(($F127-$E127)*24&gt;24,"⚑","")))</f>
        <v/>
      </c>
      <c r="W127" s="34" t="str">
        <f aca="true">IF(OR($E127="",$O127&lt;&gt;""),"",IF(NOW()-$E127&gt;7,"⚑",""))</f>
        <v/>
      </c>
      <c r="X127" s="34" t="str">
        <f aca="false">IF($L127="✗","⚑","")</f>
        <v/>
      </c>
      <c r="Y127" s="29"/>
    </row>
    <row r="128" customFormat="false" ht="15" hidden="false" customHeight="false" outlineLevel="0" collapsed="false">
      <c r="A128" s="29"/>
      <c r="B128" s="29"/>
      <c r="C128" s="29"/>
      <c r="D128" s="29"/>
      <c r="E128" s="36"/>
      <c r="F128" s="36"/>
      <c r="G128" s="31"/>
      <c r="H128" s="29"/>
      <c r="I128" s="30"/>
      <c r="J128" s="34" t="str">
        <f aca="false">IF($I128="","",IF(OR($I128&gt;150,$H128="R4 Hoàn 100%"),"CEO",IF($I128&gt;50,"OPS","CX")))</f>
        <v/>
      </c>
      <c r="K128" s="29"/>
      <c r="L128" s="34" t="str">
        <f aca="false">IF(OR($J128="",$K128=""),"",IF(MATCH($K128,DS!$H$2:$H$4,0)&gt;=MATCH($J128,DS!$H$2:$H$4,0),"✓","✗"))</f>
        <v/>
      </c>
      <c r="M128" s="31"/>
      <c r="N128" s="31"/>
      <c r="O128" s="31"/>
      <c r="P128" s="29"/>
      <c r="Q128" s="29"/>
      <c r="R128" s="30"/>
      <c r="S128" s="37" t="str">
        <f aca="false">IF($A128="","",N($I128)-N($R128))</f>
        <v/>
      </c>
      <c r="T128" s="34" t="str">
        <f aca="false">IF(OR($E128="",$F128=""),"",ROUND(($F128-$E128)*24,1))</f>
        <v/>
      </c>
      <c r="U128" s="34" t="str">
        <f aca="true">IF($E128="","",INT(IF($O128="",NOW(),$O128)-$E128))</f>
        <v/>
      </c>
      <c r="V128" s="34" t="str">
        <f aca="true">IF($E128="","",IF($F128="",IF((NOW()-$E128)*24&gt;24,"⚑",""),IF(($F128-$E128)*24&gt;24,"⚑","")))</f>
        <v/>
      </c>
      <c r="W128" s="34" t="str">
        <f aca="true">IF(OR($E128="",$O128&lt;&gt;""),"",IF(NOW()-$E128&gt;7,"⚑",""))</f>
        <v/>
      </c>
      <c r="X128" s="34" t="str">
        <f aca="false">IF($L128="✗","⚑","")</f>
        <v/>
      </c>
      <c r="Y128" s="29"/>
    </row>
    <row r="129" customFormat="false" ht="15" hidden="false" customHeight="false" outlineLevel="0" collapsed="false">
      <c r="A129" s="29"/>
      <c r="B129" s="29"/>
      <c r="C129" s="29"/>
      <c r="D129" s="29"/>
      <c r="E129" s="36"/>
      <c r="F129" s="36"/>
      <c r="G129" s="31"/>
      <c r="H129" s="29"/>
      <c r="I129" s="30"/>
      <c r="J129" s="34" t="str">
        <f aca="false">IF($I129="","",IF(OR($I129&gt;150,$H129="R4 Hoàn 100%"),"CEO",IF($I129&gt;50,"OPS","CX")))</f>
        <v/>
      </c>
      <c r="K129" s="29"/>
      <c r="L129" s="34" t="str">
        <f aca="false">IF(OR($J129="",$K129=""),"",IF(MATCH($K129,DS!$H$2:$H$4,0)&gt;=MATCH($J129,DS!$H$2:$H$4,0),"✓","✗"))</f>
        <v/>
      </c>
      <c r="M129" s="31"/>
      <c r="N129" s="31"/>
      <c r="O129" s="31"/>
      <c r="P129" s="29"/>
      <c r="Q129" s="29"/>
      <c r="R129" s="30"/>
      <c r="S129" s="37" t="str">
        <f aca="false">IF($A129="","",N($I129)-N($R129))</f>
        <v/>
      </c>
      <c r="T129" s="34" t="str">
        <f aca="false">IF(OR($E129="",$F129=""),"",ROUND(($F129-$E129)*24,1))</f>
        <v/>
      </c>
      <c r="U129" s="34" t="str">
        <f aca="true">IF($E129="","",INT(IF($O129="",NOW(),$O129)-$E129))</f>
        <v/>
      </c>
      <c r="V129" s="34" t="str">
        <f aca="true">IF($E129="","",IF($F129="",IF((NOW()-$E129)*24&gt;24,"⚑",""),IF(($F129-$E129)*24&gt;24,"⚑","")))</f>
        <v/>
      </c>
      <c r="W129" s="34" t="str">
        <f aca="true">IF(OR($E129="",$O129&lt;&gt;""),"",IF(NOW()-$E129&gt;7,"⚑",""))</f>
        <v/>
      </c>
      <c r="X129" s="34" t="str">
        <f aca="false">IF($L129="✗","⚑","")</f>
        <v/>
      </c>
      <c r="Y129" s="29"/>
    </row>
    <row r="130" customFormat="false" ht="15" hidden="false" customHeight="false" outlineLevel="0" collapsed="false">
      <c r="A130" s="29"/>
      <c r="B130" s="29"/>
      <c r="C130" s="29"/>
      <c r="D130" s="29"/>
      <c r="E130" s="36"/>
      <c r="F130" s="36"/>
      <c r="G130" s="31"/>
      <c r="H130" s="29"/>
      <c r="I130" s="30"/>
      <c r="J130" s="34" t="str">
        <f aca="false">IF($I130="","",IF(OR($I130&gt;150,$H130="R4 Hoàn 100%"),"CEO",IF($I130&gt;50,"OPS","CX")))</f>
        <v/>
      </c>
      <c r="K130" s="29"/>
      <c r="L130" s="34" t="str">
        <f aca="false">IF(OR($J130="",$K130=""),"",IF(MATCH($K130,DS!$H$2:$H$4,0)&gt;=MATCH($J130,DS!$H$2:$H$4,0),"✓","✗"))</f>
        <v/>
      </c>
      <c r="M130" s="31"/>
      <c r="N130" s="31"/>
      <c r="O130" s="31"/>
      <c r="P130" s="29"/>
      <c r="Q130" s="29"/>
      <c r="R130" s="30"/>
      <c r="S130" s="37" t="str">
        <f aca="false">IF($A130="","",N($I130)-N($R130))</f>
        <v/>
      </c>
      <c r="T130" s="34" t="str">
        <f aca="false">IF(OR($E130="",$F130=""),"",ROUND(($F130-$E130)*24,1))</f>
        <v/>
      </c>
      <c r="U130" s="34" t="str">
        <f aca="true">IF($E130="","",INT(IF($O130="",NOW(),$O130)-$E130))</f>
        <v/>
      </c>
      <c r="V130" s="34" t="str">
        <f aca="true">IF($E130="","",IF($F130="",IF((NOW()-$E130)*24&gt;24,"⚑",""),IF(($F130-$E130)*24&gt;24,"⚑","")))</f>
        <v/>
      </c>
      <c r="W130" s="34" t="str">
        <f aca="true">IF(OR($E130="",$O130&lt;&gt;""),"",IF(NOW()-$E130&gt;7,"⚑",""))</f>
        <v/>
      </c>
      <c r="X130" s="34" t="str">
        <f aca="false">IF($L130="✗","⚑","")</f>
        <v/>
      </c>
      <c r="Y130" s="29"/>
    </row>
    <row r="131" customFormat="false" ht="15" hidden="false" customHeight="false" outlineLevel="0" collapsed="false">
      <c r="A131" s="29"/>
      <c r="B131" s="29"/>
      <c r="C131" s="29"/>
      <c r="D131" s="29"/>
      <c r="E131" s="36"/>
      <c r="F131" s="36"/>
      <c r="G131" s="31"/>
      <c r="H131" s="29"/>
      <c r="I131" s="30"/>
      <c r="J131" s="34" t="str">
        <f aca="false">IF($I131="","",IF(OR($I131&gt;150,$H131="R4 Hoàn 100%"),"CEO",IF($I131&gt;50,"OPS","CX")))</f>
        <v/>
      </c>
      <c r="K131" s="29"/>
      <c r="L131" s="34" t="str">
        <f aca="false">IF(OR($J131="",$K131=""),"",IF(MATCH($K131,DS!$H$2:$H$4,0)&gt;=MATCH($J131,DS!$H$2:$H$4,0),"✓","✗"))</f>
        <v/>
      </c>
      <c r="M131" s="31"/>
      <c r="N131" s="31"/>
      <c r="O131" s="31"/>
      <c r="P131" s="29"/>
      <c r="Q131" s="29"/>
      <c r="R131" s="30"/>
      <c r="S131" s="37" t="str">
        <f aca="false">IF($A131="","",N($I131)-N($R131))</f>
        <v/>
      </c>
      <c r="T131" s="34" t="str">
        <f aca="false">IF(OR($E131="",$F131=""),"",ROUND(($F131-$E131)*24,1))</f>
        <v/>
      </c>
      <c r="U131" s="34" t="str">
        <f aca="true">IF($E131="","",INT(IF($O131="",NOW(),$O131)-$E131))</f>
        <v/>
      </c>
      <c r="V131" s="34" t="str">
        <f aca="true">IF($E131="","",IF($F131="",IF((NOW()-$E131)*24&gt;24,"⚑",""),IF(($F131-$E131)*24&gt;24,"⚑","")))</f>
        <v/>
      </c>
      <c r="W131" s="34" t="str">
        <f aca="true">IF(OR($E131="",$O131&lt;&gt;""),"",IF(NOW()-$E131&gt;7,"⚑",""))</f>
        <v/>
      </c>
      <c r="X131" s="34" t="str">
        <f aca="false">IF($L131="✗","⚑","")</f>
        <v/>
      </c>
      <c r="Y131" s="29"/>
    </row>
    <row r="132" customFormat="false" ht="15" hidden="false" customHeight="false" outlineLevel="0" collapsed="false">
      <c r="A132" s="29"/>
      <c r="B132" s="29"/>
      <c r="C132" s="29"/>
      <c r="D132" s="29"/>
      <c r="E132" s="36"/>
      <c r="F132" s="36"/>
      <c r="G132" s="31"/>
      <c r="H132" s="29"/>
      <c r="I132" s="30"/>
      <c r="J132" s="34" t="str">
        <f aca="false">IF($I132="","",IF(OR($I132&gt;150,$H132="R4 Hoàn 100%"),"CEO",IF($I132&gt;50,"OPS","CX")))</f>
        <v/>
      </c>
      <c r="K132" s="29"/>
      <c r="L132" s="34" t="str">
        <f aca="false">IF(OR($J132="",$K132=""),"",IF(MATCH($K132,DS!$H$2:$H$4,0)&gt;=MATCH($J132,DS!$H$2:$H$4,0),"✓","✗"))</f>
        <v/>
      </c>
      <c r="M132" s="31"/>
      <c r="N132" s="31"/>
      <c r="O132" s="31"/>
      <c r="P132" s="29"/>
      <c r="Q132" s="29"/>
      <c r="R132" s="30"/>
      <c r="S132" s="37" t="str">
        <f aca="false">IF($A132="","",N($I132)-N($R132))</f>
        <v/>
      </c>
      <c r="T132" s="34" t="str">
        <f aca="false">IF(OR($E132="",$F132=""),"",ROUND(($F132-$E132)*24,1))</f>
        <v/>
      </c>
      <c r="U132" s="34" t="str">
        <f aca="true">IF($E132="","",INT(IF($O132="",NOW(),$O132)-$E132))</f>
        <v/>
      </c>
      <c r="V132" s="34" t="str">
        <f aca="true">IF($E132="","",IF($F132="",IF((NOW()-$E132)*24&gt;24,"⚑",""),IF(($F132-$E132)*24&gt;24,"⚑","")))</f>
        <v/>
      </c>
      <c r="W132" s="34" t="str">
        <f aca="true">IF(OR($E132="",$O132&lt;&gt;""),"",IF(NOW()-$E132&gt;7,"⚑",""))</f>
        <v/>
      </c>
      <c r="X132" s="34" t="str">
        <f aca="false">IF($L132="✗","⚑","")</f>
        <v/>
      </c>
      <c r="Y132" s="29"/>
    </row>
    <row r="133" customFormat="false" ht="15" hidden="false" customHeight="false" outlineLevel="0" collapsed="false">
      <c r="A133" s="29"/>
      <c r="B133" s="29"/>
      <c r="C133" s="29"/>
      <c r="D133" s="29"/>
      <c r="E133" s="36"/>
      <c r="F133" s="36"/>
      <c r="G133" s="31"/>
      <c r="H133" s="29"/>
      <c r="I133" s="30"/>
      <c r="J133" s="34" t="str">
        <f aca="false">IF($I133="","",IF(OR($I133&gt;150,$H133="R4 Hoàn 100%"),"CEO",IF($I133&gt;50,"OPS","CX")))</f>
        <v/>
      </c>
      <c r="K133" s="29"/>
      <c r="L133" s="34" t="str">
        <f aca="false">IF(OR($J133="",$K133=""),"",IF(MATCH($K133,DS!$H$2:$H$4,0)&gt;=MATCH($J133,DS!$H$2:$H$4,0),"✓","✗"))</f>
        <v/>
      </c>
      <c r="M133" s="31"/>
      <c r="N133" s="31"/>
      <c r="O133" s="31"/>
      <c r="P133" s="29"/>
      <c r="Q133" s="29"/>
      <c r="R133" s="30"/>
      <c r="S133" s="37" t="str">
        <f aca="false">IF($A133="","",N($I133)-N($R133))</f>
        <v/>
      </c>
      <c r="T133" s="34" t="str">
        <f aca="false">IF(OR($E133="",$F133=""),"",ROUND(($F133-$E133)*24,1))</f>
        <v/>
      </c>
      <c r="U133" s="34" t="str">
        <f aca="true">IF($E133="","",INT(IF($O133="",NOW(),$O133)-$E133))</f>
        <v/>
      </c>
      <c r="V133" s="34" t="str">
        <f aca="true">IF($E133="","",IF($F133="",IF((NOW()-$E133)*24&gt;24,"⚑",""),IF(($F133-$E133)*24&gt;24,"⚑","")))</f>
        <v/>
      </c>
      <c r="W133" s="34" t="str">
        <f aca="true">IF(OR($E133="",$O133&lt;&gt;""),"",IF(NOW()-$E133&gt;7,"⚑",""))</f>
        <v/>
      </c>
      <c r="X133" s="34" t="str">
        <f aca="false">IF($L133="✗","⚑","")</f>
        <v/>
      </c>
      <c r="Y133" s="29"/>
    </row>
    <row r="134" customFormat="false" ht="15" hidden="false" customHeight="false" outlineLevel="0" collapsed="false">
      <c r="A134" s="29"/>
      <c r="B134" s="29"/>
      <c r="C134" s="29"/>
      <c r="D134" s="29"/>
      <c r="E134" s="36"/>
      <c r="F134" s="36"/>
      <c r="G134" s="31"/>
      <c r="H134" s="29"/>
      <c r="I134" s="30"/>
      <c r="J134" s="34" t="str">
        <f aca="false">IF($I134="","",IF(OR($I134&gt;150,$H134="R4 Hoàn 100%"),"CEO",IF($I134&gt;50,"OPS","CX")))</f>
        <v/>
      </c>
      <c r="K134" s="29"/>
      <c r="L134" s="34" t="str">
        <f aca="false">IF(OR($J134="",$K134=""),"",IF(MATCH($K134,DS!$H$2:$H$4,0)&gt;=MATCH($J134,DS!$H$2:$H$4,0),"✓","✗"))</f>
        <v/>
      </c>
      <c r="M134" s="31"/>
      <c r="N134" s="31"/>
      <c r="O134" s="31"/>
      <c r="P134" s="29"/>
      <c r="Q134" s="29"/>
      <c r="R134" s="30"/>
      <c r="S134" s="37" t="str">
        <f aca="false">IF($A134="","",N($I134)-N($R134))</f>
        <v/>
      </c>
      <c r="T134" s="34" t="str">
        <f aca="false">IF(OR($E134="",$F134=""),"",ROUND(($F134-$E134)*24,1))</f>
        <v/>
      </c>
      <c r="U134" s="34" t="str">
        <f aca="true">IF($E134="","",INT(IF($O134="",NOW(),$O134)-$E134))</f>
        <v/>
      </c>
      <c r="V134" s="34" t="str">
        <f aca="true">IF($E134="","",IF($F134="",IF((NOW()-$E134)*24&gt;24,"⚑",""),IF(($F134-$E134)*24&gt;24,"⚑","")))</f>
        <v/>
      </c>
      <c r="W134" s="34" t="str">
        <f aca="true">IF(OR($E134="",$O134&lt;&gt;""),"",IF(NOW()-$E134&gt;7,"⚑",""))</f>
        <v/>
      </c>
      <c r="X134" s="34" t="str">
        <f aca="false">IF($L134="✗","⚑","")</f>
        <v/>
      </c>
      <c r="Y134" s="29"/>
    </row>
    <row r="135" customFormat="false" ht="15" hidden="false" customHeight="false" outlineLevel="0" collapsed="false">
      <c r="A135" s="29"/>
      <c r="B135" s="29"/>
      <c r="C135" s="29"/>
      <c r="D135" s="29"/>
      <c r="E135" s="36"/>
      <c r="F135" s="36"/>
      <c r="G135" s="31"/>
      <c r="H135" s="29"/>
      <c r="I135" s="30"/>
      <c r="J135" s="34" t="str">
        <f aca="false">IF($I135="","",IF(OR($I135&gt;150,$H135="R4 Hoàn 100%"),"CEO",IF($I135&gt;50,"OPS","CX")))</f>
        <v/>
      </c>
      <c r="K135" s="29"/>
      <c r="L135" s="34" t="str">
        <f aca="false">IF(OR($J135="",$K135=""),"",IF(MATCH($K135,DS!$H$2:$H$4,0)&gt;=MATCH($J135,DS!$H$2:$H$4,0),"✓","✗"))</f>
        <v/>
      </c>
      <c r="M135" s="31"/>
      <c r="N135" s="31"/>
      <c r="O135" s="31"/>
      <c r="P135" s="29"/>
      <c r="Q135" s="29"/>
      <c r="R135" s="30"/>
      <c r="S135" s="37" t="str">
        <f aca="false">IF($A135="","",N($I135)-N($R135))</f>
        <v/>
      </c>
      <c r="T135" s="34" t="str">
        <f aca="false">IF(OR($E135="",$F135=""),"",ROUND(($F135-$E135)*24,1))</f>
        <v/>
      </c>
      <c r="U135" s="34" t="str">
        <f aca="true">IF($E135="","",INT(IF($O135="",NOW(),$O135)-$E135))</f>
        <v/>
      </c>
      <c r="V135" s="34" t="str">
        <f aca="true">IF($E135="","",IF($F135="",IF((NOW()-$E135)*24&gt;24,"⚑",""),IF(($F135-$E135)*24&gt;24,"⚑","")))</f>
        <v/>
      </c>
      <c r="W135" s="34" t="str">
        <f aca="true">IF(OR($E135="",$O135&lt;&gt;""),"",IF(NOW()-$E135&gt;7,"⚑",""))</f>
        <v/>
      </c>
      <c r="X135" s="34" t="str">
        <f aca="false">IF($L135="✗","⚑","")</f>
        <v/>
      </c>
      <c r="Y135" s="29"/>
    </row>
    <row r="136" customFormat="false" ht="15" hidden="false" customHeight="false" outlineLevel="0" collapsed="false">
      <c r="A136" s="29"/>
      <c r="B136" s="29"/>
      <c r="C136" s="29"/>
      <c r="D136" s="29"/>
      <c r="E136" s="36"/>
      <c r="F136" s="36"/>
      <c r="G136" s="31"/>
      <c r="H136" s="29"/>
      <c r="I136" s="30"/>
      <c r="J136" s="34" t="str">
        <f aca="false">IF($I136="","",IF(OR($I136&gt;150,$H136="R4 Hoàn 100%"),"CEO",IF($I136&gt;50,"OPS","CX")))</f>
        <v/>
      </c>
      <c r="K136" s="29"/>
      <c r="L136" s="34" t="str">
        <f aca="false">IF(OR($J136="",$K136=""),"",IF(MATCH($K136,DS!$H$2:$H$4,0)&gt;=MATCH($J136,DS!$H$2:$H$4,0),"✓","✗"))</f>
        <v/>
      </c>
      <c r="M136" s="31"/>
      <c r="N136" s="31"/>
      <c r="O136" s="31"/>
      <c r="P136" s="29"/>
      <c r="Q136" s="29"/>
      <c r="R136" s="30"/>
      <c r="S136" s="37" t="str">
        <f aca="false">IF($A136="","",N($I136)-N($R136))</f>
        <v/>
      </c>
      <c r="T136" s="34" t="str">
        <f aca="false">IF(OR($E136="",$F136=""),"",ROUND(($F136-$E136)*24,1))</f>
        <v/>
      </c>
      <c r="U136" s="34" t="str">
        <f aca="true">IF($E136="","",INT(IF($O136="",NOW(),$O136)-$E136))</f>
        <v/>
      </c>
      <c r="V136" s="34" t="str">
        <f aca="true">IF($E136="","",IF($F136="",IF((NOW()-$E136)*24&gt;24,"⚑",""),IF(($F136-$E136)*24&gt;24,"⚑","")))</f>
        <v/>
      </c>
      <c r="W136" s="34" t="str">
        <f aca="true">IF(OR($E136="",$O136&lt;&gt;""),"",IF(NOW()-$E136&gt;7,"⚑",""))</f>
        <v/>
      </c>
      <c r="X136" s="34" t="str">
        <f aca="false">IF($L136="✗","⚑","")</f>
        <v/>
      </c>
      <c r="Y136" s="29"/>
    </row>
    <row r="137" customFormat="false" ht="15" hidden="false" customHeight="false" outlineLevel="0" collapsed="false">
      <c r="A137" s="29"/>
      <c r="B137" s="29"/>
      <c r="C137" s="29"/>
      <c r="D137" s="29"/>
      <c r="E137" s="36"/>
      <c r="F137" s="36"/>
      <c r="G137" s="31"/>
      <c r="H137" s="29"/>
      <c r="I137" s="30"/>
      <c r="J137" s="34" t="str">
        <f aca="false">IF($I137="","",IF(OR($I137&gt;150,$H137="R4 Hoàn 100%"),"CEO",IF($I137&gt;50,"OPS","CX")))</f>
        <v/>
      </c>
      <c r="K137" s="29"/>
      <c r="L137" s="34" t="str">
        <f aca="false">IF(OR($J137="",$K137=""),"",IF(MATCH($K137,DS!$H$2:$H$4,0)&gt;=MATCH($J137,DS!$H$2:$H$4,0),"✓","✗"))</f>
        <v/>
      </c>
      <c r="M137" s="31"/>
      <c r="N137" s="31"/>
      <c r="O137" s="31"/>
      <c r="P137" s="29"/>
      <c r="Q137" s="29"/>
      <c r="R137" s="30"/>
      <c r="S137" s="37" t="str">
        <f aca="false">IF($A137="","",N($I137)-N($R137))</f>
        <v/>
      </c>
      <c r="T137" s="34" t="str">
        <f aca="false">IF(OR($E137="",$F137=""),"",ROUND(($F137-$E137)*24,1))</f>
        <v/>
      </c>
      <c r="U137" s="34" t="str">
        <f aca="true">IF($E137="","",INT(IF($O137="",NOW(),$O137)-$E137))</f>
        <v/>
      </c>
      <c r="V137" s="34" t="str">
        <f aca="true">IF($E137="","",IF($F137="",IF((NOW()-$E137)*24&gt;24,"⚑",""),IF(($F137-$E137)*24&gt;24,"⚑","")))</f>
        <v/>
      </c>
      <c r="W137" s="34" t="str">
        <f aca="true">IF(OR($E137="",$O137&lt;&gt;""),"",IF(NOW()-$E137&gt;7,"⚑",""))</f>
        <v/>
      </c>
      <c r="X137" s="34" t="str">
        <f aca="false">IF($L137="✗","⚑","")</f>
        <v/>
      </c>
      <c r="Y137" s="29"/>
    </row>
    <row r="138" customFormat="false" ht="15" hidden="false" customHeight="false" outlineLevel="0" collapsed="false">
      <c r="A138" s="29"/>
      <c r="B138" s="29"/>
      <c r="C138" s="29"/>
      <c r="D138" s="29"/>
      <c r="E138" s="36"/>
      <c r="F138" s="36"/>
      <c r="G138" s="31"/>
      <c r="H138" s="29"/>
      <c r="I138" s="30"/>
      <c r="J138" s="34" t="str">
        <f aca="false">IF($I138="","",IF(OR($I138&gt;150,$H138="R4 Hoàn 100%"),"CEO",IF($I138&gt;50,"OPS","CX")))</f>
        <v/>
      </c>
      <c r="K138" s="29"/>
      <c r="L138" s="34" t="str">
        <f aca="false">IF(OR($J138="",$K138=""),"",IF(MATCH($K138,DS!$H$2:$H$4,0)&gt;=MATCH($J138,DS!$H$2:$H$4,0),"✓","✗"))</f>
        <v/>
      </c>
      <c r="M138" s="31"/>
      <c r="N138" s="31"/>
      <c r="O138" s="31"/>
      <c r="P138" s="29"/>
      <c r="Q138" s="29"/>
      <c r="R138" s="30"/>
      <c r="S138" s="37" t="str">
        <f aca="false">IF($A138="","",N($I138)-N($R138))</f>
        <v/>
      </c>
      <c r="T138" s="34" t="str">
        <f aca="false">IF(OR($E138="",$F138=""),"",ROUND(($F138-$E138)*24,1))</f>
        <v/>
      </c>
      <c r="U138" s="34" t="str">
        <f aca="true">IF($E138="","",INT(IF($O138="",NOW(),$O138)-$E138))</f>
        <v/>
      </c>
      <c r="V138" s="34" t="str">
        <f aca="true">IF($E138="","",IF($F138="",IF((NOW()-$E138)*24&gt;24,"⚑",""),IF(($F138-$E138)*24&gt;24,"⚑","")))</f>
        <v/>
      </c>
      <c r="W138" s="34" t="str">
        <f aca="true">IF(OR($E138="",$O138&lt;&gt;""),"",IF(NOW()-$E138&gt;7,"⚑",""))</f>
        <v/>
      </c>
      <c r="X138" s="34" t="str">
        <f aca="false">IF($L138="✗","⚑","")</f>
        <v/>
      </c>
      <c r="Y138" s="29"/>
    </row>
    <row r="139" customFormat="false" ht="15" hidden="false" customHeight="false" outlineLevel="0" collapsed="false">
      <c r="A139" s="29"/>
      <c r="B139" s="29"/>
      <c r="C139" s="29"/>
      <c r="D139" s="29"/>
      <c r="E139" s="36"/>
      <c r="F139" s="36"/>
      <c r="G139" s="31"/>
      <c r="H139" s="29"/>
      <c r="I139" s="30"/>
      <c r="J139" s="34" t="str">
        <f aca="false">IF($I139="","",IF(OR($I139&gt;150,$H139="R4 Hoàn 100%"),"CEO",IF($I139&gt;50,"OPS","CX")))</f>
        <v/>
      </c>
      <c r="K139" s="29"/>
      <c r="L139" s="34" t="str">
        <f aca="false">IF(OR($J139="",$K139=""),"",IF(MATCH($K139,DS!$H$2:$H$4,0)&gt;=MATCH($J139,DS!$H$2:$H$4,0),"✓","✗"))</f>
        <v/>
      </c>
      <c r="M139" s="31"/>
      <c r="N139" s="31"/>
      <c r="O139" s="31"/>
      <c r="P139" s="29"/>
      <c r="Q139" s="29"/>
      <c r="R139" s="30"/>
      <c r="S139" s="37" t="str">
        <f aca="false">IF($A139="","",N($I139)-N($R139))</f>
        <v/>
      </c>
      <c r="T139" s="34" t="str">
        <f aca="false">IF(OR($E139="",$F139=""),"",ROUND(($F139-$E139)*24,1))</f>
        <v/>
      </c>
      <c r="U139" s="34" t="str">
        <f aca="true">IF($E139="","",INT(IF($O139="",NOW(),$O139)-$E139))</f>
        <v/>
      </c>
      <c r="V139" s="34" t="str">
        <f aca="true">IF($E139="","",IF($F139="",IF((NOW()-$E139)*24&gt;24,"⚑",""),IF(($F139-$E139)*24&gt;24,"⚑","")))</f>
        <v/>
      </c>
      <c r="W139" s="34" t="str">
        <f aca="true">IF(OR($E139="",$O139&lt;&gt;""),"",IF(NOW()-$E139&gt;7,"⚑",""))</f>
        <v/>
      </c>
      <c r="X139" s="34" t="str">
        <f aca="false">IF($L139="✗","⚑","")</f>
        <v/>
      </c>
      <c r="Y139" s="29"/>
    </row>
    <row r="140" customFormat="false" ht="15" hidden="false" customHeight="false" outlineLevel="0" collapsed="false">
      <c r="A140" s="29"/>
      <c r="B140" s="29"/>
      <c r="C140" s="29"/>
      <c r="D140" s="29"/>
      <c r="E140" s="36"/>
      <c r="F140" s="36"/>
      <c r="G140" s="31"/>
      <c r="H140" s="29"/>
      <c r="I140" s="30"/>
      <c r="J140" s="34" t="str">
        <f aca="false">IF($I140="","",IF(OR($I140&gt;150,$H140="R4 Hoàn 100%"),"CEO",IF($I140&gt;50,"OPS","CX")))</f>
        <v/>
      </c>
      <c r="K140" s="29"/>
      <c r="L140" s="34" t="str">
        <f aca="false">IF(OR($J140="",$K140=""),"",IF(MATCH($K140,DS!$H$2:$H$4,0)&gt;=MATCH($J140,DS!$H$2:$H$4,0),"✓","✗"))</f>
        <v/>
      </c>
      <c r="M140" s="31"/>
      <c r="N140" s="31"/>
      <c r="O140" s="31"/>
      <c r="P140" s="29"/>
      <c r="Q140" s="29"/>
      <c r="R140" s="30"/>
      <c r="S140" s="37" t="str">
        <f aca="false">IF($A140="","",N($I140)-N($R140))</f>
        <v/>
      </c>
      <c r="T140" s="34" t="str">
        <f aca="false">IF(OR($E140="",$F140=""),"",ROUND(($F140-$E140)*24,1))</f>
        <v/>
      </c>
      <c r="U140" s="34" t="str">
        <f aca="true">IF($E140="","",INT(IF($O140="",NOW(),$O140)-$E140))</f>
        <v/>
      </c>
      <c r="V140" s="34" t="str">
        <f aca="true">IF($E140="","",IF($F140="",IF((NOW()-$E140)*24&gt;24,"⚑",""),IF(($F140-$E140)*24&gt;24,"⚑","")))</f>
        <v/>
      </c>
      <c r="W140" s="34" t="str">
        <f aca="true">IF(OR($E140="",$O140&lt;&gt;""),"",IF(NOW()-$E140&gt;7,"⚑",""))</f>
        <v/>
      </c>
      <c r="X140" s="34" t="str">
        <f aca="false">IF($L140="✗","⚑","")</f>
        <v/>
      </c>
      <c r="Y140" s="29"/>
    </row>
    <row r="141" customFormat="false" ht="15" hidden="false" customHeight="false" outlineLevel="0" collapsed="false">
      <c r="A141" s="29"/>
      <c r="B141" s="29"/>
      <c r="C141" s="29"/>
      <c r="D141" s="29"/>
      <c r="E141" s="36"/>
      <c r="F141" s="36"/>
      <c r="G141" s="31"/>
      <c r="H141" s="29"/>
      <c r="I141" s="30"/>
      <c r="J141" s="34" t="str">
        <f aca="false">IF($I141="","",IF(OR($I141&gt;150,$H141="R4 Hoàn 100%"),"CEO",IF($I141&gt;50,"OPS","CX")))</f>
        <v/>
      </c>
      <c r="K141" s="29"/>
      <c r="L141" s="34" t="str">
        <f aca="false">IF(OR($J141="",$K141=""),"",IF(MATCH($K141,DS!$H$2:$H$4,0)&gt;=MATCH($J141,DS!$H$2:$H$4,0),"✓","✗"))</f>
        <v/>
      </c>
      <c r="M141" s="31"/>
      <c r="N141" s="31"/>
      <c r="O141" s="31"/>
      <c r="P141" s="29"/>
      <c r="Q141" s="29"/>
      <c r="R141" s="30"/>
      <c r="S141" s="37" t="str">
        <f aca="false">IF($A141="","",N($I141)-N($R141))</f>
        <v/>
      </c>
      <c r="T141" s="34" t="str">
        <f aca="false">IF(OR($E141="",$F141=""),"",ROUND(($F141-$E141)*24,1))</f>
        <v/>
      </c>
      <c r="U141" s="34" t="str">
        <f aca="true">IF($E141="","",INT(IF($O141="",NOW(),$O141)-$E141))</f>
        <v/>
      </c>
      <c r="V141" s="34" t="str">
        <f aca="true">IF($E141="","",IF($F141="",IF((NOW()-$E141)*24&gt;24,"⚑",""),IF(($F141-$E141)*24&gt;24,"⚑","")))</f>
        <v/>
      </c>
      <c r="W141" s="34" t="str">
        <f aca="true">IF(OR($E141="",$O141&lt;&gt;""),"",IF(NOW()-$E141&gt;7,"⚑",""))</f>
        <v/>
      </c>
      <c r="X141" s="34" t="str">
        <f aca="false">IF($L141="✗","⚑","")</f>
        <v/>
      </c>
      <c r="Y141" s="29"/>
    </row>
    <row r="142" customFormat="false" ht="15" hidden="false" customHeight="false" outlineLevel="0" collapsed="false">
      <c r="A142" s="29"/>
      <c r="B142" s="29"/>
      <c r="C142" s="29"/>
      <c r="D142" s="29"/>
      <c r="E142" s="36"/>
      <c r="F142" s="36"/>
      <c r="G142" s="31"/>
      <c r="H142" s="29"/>
      <c r="I142" s="30"/>
      <c r="J142" s="34" t="str">
        <f aca="false">IF($I142="","",IF(OR($I142&gt;150,$H142="R4 Hoàn 100%"),"CEO",IF($I142&gt;50,"OPS","CX")))</f>
        <v/>
      </c>
      <c r="K142" s="29"/>
      <c r="L142" s="34" t="str">
        <f aca="false">IF(OR($J142="",$K142=""),"",IF(MATCH($K142,DS!$H$2:$H$4,0)&gt;=MATCH($J142,DS!$H$2:$H$4,0),"✓","✗"))</f>
        <v/>
      </c>
      <c r="M142" s="31"/>
      <c r="N142" s="31"/>
      <c r="O142" s="31"/>
      <c r="P142" s="29"/>
      <c r="Q142" s="29"/>
      <c r="R142" s="30"/>
      <c r="S142" s="37" t="str">
        <f aca="false">IF($A142="","",N($I142)-N($R142))</f>
        <v/>
      </c>
      <c r="T142" s="34" t="str">
        <f aca="false">IF(OR($E142="",$F142=""),"",ROUND(($F142-$E142)*24,1))</f>
        <v/>
      </c>
      <c r="U142" s="34" t="str">
        <f aca="true">IF($E142="","",INT(IF($O142="",NOW(),$O142)-$E142))</f>
        <v/>
      </c>
      <c r="V142" s="34" t="str">
        <f aca="true">IF($E142="","",IF($F142="",IF((NOW()-$E142)*24&gt;24,"⚑",""),IF(($F142-$E142)*24&gt;24,"⚑","")))</f>
        <v/>
      </c>
      <c r="W142" s="34" t="str">
        <f aca="true">IF(OR($E142="",$O142&lt;&gt;""),"",IF(NOW()-$E142&gt;7,"⚑",""))</f>
        <v/>
      </c>
      <c r="X142" s="34" t="str">
        <f aca="false">IF($L142="✗","⚑","")</f>
        <v/>
      </c>
      <c r="Y142" s="29"/>
    </row>
    <row r="143" customFormat="false" ht="15" hidden="false" customHeight="false" outlineLevel="0" collapsed="false">
      <c r="A143" s="29"/>
      <c r="B143" s="29"/>
      <c r="C143" s="29"/>
      <c r="D143" s="29"/>
      <c r="E143" s="36"/>
      <c r="F143" s="36"/>
      <c r="G143" s="31"/>
      <c r="H143" s="29"/>
      <c r="I143" s="30"/>
      <c r="J143" s="34" t="str">
        <f aca="false">IF($I143="","",IF(OR($I143&gt;150,$H143="R4 Hoàn 100%"),"CEO",IF($I143&gt;50,"OPS","CX")))</f>
        <v/>
      </c>
      <c r="K143" s="29"/>
      <c r="L143" s="34" t="str">
        <f aca="false">IF(OR($J143="",$K143=""),"",IF(MATCH($K143,DS!$H$2:$H$4,0)&gt;=MATCH($J143,DS!$H$2:$H$4,0),"✓","✗"))</f>
        <v/>
      </c>
      <c r="M143" s="31"/>
      <c r="N143" s="31"/>
      <c r="O143" s="31"/>
      <c r="P143" s="29"/>
      <c r="Q143" s="29"/>
      <c r="R143" s="30"/>
      <c r="S143" s="37" t="str">
        <f aca="false">IF($A143="","",N($I143)-N($R143))</f>
        <v/>
      </c>
      <c r="T143" s="34" t="str">
        <f aca="false">IF(OR($E143="",$F143=""),"",ROUND(($F143-$E143)*24,1))</f>
        <v/>
      </c>
      <c r="U143" s="34" t="str">
        <f aca="true">IF($E143="","",INT(IF($O143="",NOW(),$O143)-$E143))</f>
        <v/>
      </c>
      <c r="V143" s="34" t="str">
        <f aca="true">IF($E143="","",IF($F143="",IF((NOW()-$E143)*24&gt;24,"⚑",""),IF(($F143-$E143)*24&gt;24,"⚑","")))</f>
        <v/>
      </c>
      <c r="W143" s="34" t="str">
        <f aca="true">IF(OR($E143="",$O143&lt;&gt;""),"",IF(NOW()-$E143&gt;7,"⚑",""))</f>
        <v/>
      </c>
      <c r="X143" s="34" t="str">
        <f aca="false">IF($L143="✗","⚑","")</f>
        <v/>
      </c>
      <c r="Y143" s="29"/>
    </row>
    <row r="144" customFormat="false" ht="15" hidden="false" customHeight="false" outlineLevel="0" collapsed="false">
      <c r="A144" s="29"/>
      <c r="B144" s="29"/>
      <c r="C144" s="29"/>
      <c r="D144" s="29"/>
      <c r="E144" s="36"/>
      <c r="F144" s="36"/>
      <c r="G144" s="31"/>
      <c r="H144" s="29"/>
      <c r="I144" s="30"/>
      <c r="J144" s="34" t="str">
        <f aca="false">IF($I144="","",IF(OR($I144&gt;150,$H144="R4 Hoàn 100%"),"CEO",IF($I144&gt;50,"OPS","CX")))</f>
        <v/>
      </c>
      <c r="K144" s="29"/>
      <c r="L144" s="34" t="str">
        <f aca="false">IF(OR($J144="",$K144=""),"",IF(MATCH($K144,DS!$H$2:$H$4,0)&gt;=MATCH($J144,DS!$H$2:$H$4,0),"✓","✗"))</f>
        <v/>
      </c>
      <c r="M144" s="31"/>
      <c r="N144" s="31"/>
      <c r="O144" s="31"/>
      <c r="P144" s="29"/>
      <c r="Q144" s="29"/>
      <c r="R144" s="30"/>
      <c r="S144" s="37" t="str">
        <f aca="false">IF($A144="","",N($I144)-N($R144))</f>
        <v/>
      </c>
      <c r="T144" s="34" t="str">
        <f aca="false">IF(OR($E144="",$F144=""),"",ROUND(($F144-$E144)*24,1))</f>
        <v/>
      </c>
      <c r="U144" s="34" t="str">
        <f aca="true">IF($E144="","",INT(IF($O144="",NOW(),$O144)-$E144))</f>
        <v/>
      </c>
      <c r="V144" s="34" t="str">
        <f aca="true">IF($E144="","",IF($F144="",IF((NOW()-$E144)*24&gt;24,"⚑",""),IF(($F144-$E144)*24&gt;24,"⚑","")))</f>
        <v/>
      </c>
      <c r="W144" s="34" t="str">
        <f aca="true">IF(OR($E144="",$O144&lt;&gt;""),"",IF(NOW()-$E144&gt;7,"⚑",""))</f>
        <v/>
      </c>
      <c r="X144" s="34" t="str">
        <f aca="false">IF($L144="✗","⚑","")</f>
        <v/>
      </c>
      <c r="Y144" s="29"/>
    </row>
    <row r="145" customFormat="false" ht="15" hidden="false" customHeight="false" outlineLevel="0" collapsed="false">
      <c r="A145" s="29"/>
      <c r="B145" s="29"/>
      <c r="C145" s="29"/>
      <c r="D145" s="29"/>
      <c r="E145" s="36"/>
      <c r="F145" s="36"/>
      <c r="G145" s="31"/>
      <c r="H145" s="29"/>
      <c r="I145" s="30"/>
      <c r="J145" s="34" t="str">
        <f aca="false">IF($I145="","",IF(OR($I145&gt;150,$H145="R4 Hoàn 100%"),"CEO",IF($I145&gt;50,"OPS","CX")))</f>
        <v/>
      </c>
      <c r="K145" s="29"/>
      <c r="L145" s="34" t="str">
        <f aca="false">IF(OR($J145="",$K145=""),"",IF(MATCH($K145,DS!$H$2:$H$4,0)&gt;=MATCH($J145,DS!$H$2:$H$4,0),"✓","✗"))</f>
        <v/>
      </c>
      <c r="M145" s="31"/>
      <c r="N145" s="31"/>
      <c r="O145" s="31"/>
      <c r="P145" s="29"/>
      <c r="Q145" s="29"/>
      <c r="R145" s="30"/>
      <c r="S145" s="37" t="str">
        <f aca="false">IF($A145="","",N($I145)-N($R145))</f>
        <v/>
      </c>
      <c r="T145" s="34" t="str">
        <f aca="false">IF(OR($E145="",$F145=""),"",ROUND(($F145-$E145)*24,1))</f>
        <v/>
      </c>
      <c r="U145" s="34" t="str">
        <f aca="true">IF($E145="","",INT(IF($O145="",NOW(),$O145)-$E145))</f>
        <v/>
      </c>
      <c r="V145" s="34" t="str">
        <f aca="true">IF($E145="","",IF($F145="",IF((NOW()-$E145)*24&gt;24,"⚑",""),IF(($F145-$E145)*24&gt;24,"⚑","")))</f>
        <v/>
      </c>
      <c r="W145" s="34" t="str">
        <f aca="true">IF(OR($E145="",$O145&lt;&gt;""),"",IF(NOW()-$E145&gt;7,"⚑",""))</f>
        <v/>
      </c>
      <c r="X145" s="34" t="str">
        <f aca="false">IF($L145="✗","⚑","")</f>
        <v/>
      </c>
      <c r="Y145" s="29"/>
    </row>
    <row r="146" customFormat="false" ht="15" hidden="false" customHeight="false" outlineLevel="0" collapsed="false">
      <c r="A146" s="29"/>
      <c r="B146" s="29"/>
      <c r="C146" s="29"/>
      <c r="D146" s="29"/>
      <c r="E146" s="36"/>
      <c r="F146" s="36"/>
      <c r="G146" s="31"/>
      <c r="H146" s="29"/>
      <c r="I146" s="30"/>
      <c r="J146" s="34" t="str">
        <f aca="false">IF($I146="","",IF(OR($I146&gt;150,$H146="R4 Hoàn 100%"),"CEO",IF($I146&gt;50,"OPS","CX")))</f>
        <v/>
      </c>
      <c r="K146" s="29"/>
      <c r="L146" s="34" t="str">
        <f aca="false">IF(OR($J146="",$K146=""),"",IF(MATCH($K146,DS!$H$2:$H$4,0)&gt;=MATCH($J146,DS!$H$2:$H$4,0),"✓","✗"))</f>
        <v/>
      </c>
      <c r="M146" s="31"/>
      <c r="N146" s="31"/>
      <c r="O146" s="31"/>
      <c r="P146" s="29"/>
      <c r="Q146" s="29"/>
      <c r="R146" s="30"/>
      <c r="S146" s="37" t="str">
        <f aca="false">IF($A146="","",N($I146)-N($R146))</f>
        <v/>
      </c>
      <c r="T146" s="34" t="str">
        <f aca="false">IF(OR($E146="",$F146=""),"",ROUND(($F146-$E146)*24,1))</f>
        <v/>
      </c>
      <c r="U146" s="34" t="str">
        <f aca="true">IF($E146="","",INT(IF($O146="",NOW(),$O146)-$E146))</f>
        <v/>
      </c>
      <c r="V146" s="34" t="str">
        <f aca="true">IF($E146="","",IF($F146="",IF((NOW()-$E146)*24&gt;24,"⚑",""),IF(($F146-$E146)*24&gt;24,"⚑","")))</f>
        <v/>
      </c>
      <c r="W146" s="34" t="str">
        <f aca="true">IF(OR($E146="",$O146&lt;&gt;""),"",IF(NOW()-$E146&gt;7,"⚑",""))</f>
        <v/>
      </c>
      <c r="X146" s="34" t="str">
        <f aca="false">IF($L146="✗","⚑","")</f>
        <v/>
      </c>
      <c r="Y146" s="29"/>
    </row>
    <row r="147" customFormat="false" ht="15" hidden="false" customHeight="false" outlineLevel="0" collapsed="false">
      <c r="A147" s="29"/>
      <c r="B147" s="29"/>
      <c r="C147" s="29"/>
      <c r="D147" s="29"/>
      <c r="E147" s="36"/>
      <c r="F147" s="36"/>
      <c r="G147" s="31"/>
      <c r="H147" s="29"/>
      <c r="I147" s="30"/>
      <c r="J147" s="34" t="str">
        <f aca="false">IF($I147="","",IF(OR($I147&gt;150,$H147="R4 Hoàn 100%"),"CEO",IF($I147&gt;50,"OPS","CX")))</f>
        <v/>
      </c>
      <c r="K147" s="29"/>
      <c r="L147" s="34" t="str">
        <f aca="false">IF(OR($J147="",$K147=""),"",IF(MATCH($K147,DS!$H$2:$H$4,0)&gt;=MATCH($J147,DS!$H$2:$H$4,0),"✓","✗"))</f>
        <v/>
      </c>
      <c r="M147" s="31"/>
      <c r="N147" s="31"/>
      <c r="O147" s="31"/>
      <c r="P147" s="29"/>
      <c r="Q147" s="29"/>
      <c r="R147" s="30"/>
      <c r="S147" s="37" t="str">
        <f aca="false">IF($A147="","",N($I147)-N($R147))</f>
        <v/>
      </c>
      <c r="T147" s="34" t="str">
        <f aca="false">IF(OR($E147="",$F147=""),"",ROUND(($F147-$E147)*24,1))</f>
        <v/>
      </c>
      <c r="U147" s="34" t="str">
        <f aca="true">IF($E147="","",INT(IF($O147="",NOW(),$O147)-$E147))</f>
        <v/>
      </c>
      <c r="V147" s="34" t="str">
        <f aca="true">IF($E147="","",IF($F147="",IF((NOW()-$E147)*24&gt;24,"⚑",""),IF(($F147-$E147)*24&gt;24,"⚑","")))</f>
        <v/>
      </c>
      <c r="W147" s="34" t="str">
        <f aca="true">IF(OR($E147="",$O147&lt;&gt;""),"",IF(NOW()-$E147&gt;7,"⚑",""))</f>
        <v/>
      </c>
      <c r="X147" s="34" t="str">
        <f aca="false">IF($L147="✗","⚑","")</f>
        <v/>
      </c>
      <c r="Y147" s="29"/>
    </row>
    <row r="148" customFormat="false" ht="15" hidden="false" customHeight="false" outlineLevel="0" collapsed="false">
      <c r="A148" s="29"/>
      <c r="B148" s="29"/>
      <c r="C148" s="29"/>
      <c r="D148" s="29"/>
      <c r="E148" s="36"/>
      <c r="F148" s="36"/>
      <c r="G148" s="31"/>
      <c r="H148" s="29"/>
      <c r="I148" s="30"/>
      <c r="J148" s="34" t="str">
        <f aca="false">IF($I148="","",IF(OR($I148&gt;150,$H148="R4 Hoàn 100%"),"CEO",IF($I148&gt;50,"OPS","CX")))</f>
        <v/>
      </c>
      <c r="K148" s="29"/>
      <c r="L148" s="34" t="str">
        <f aca="false">IF(OR($J148="",$K148=""),"",IF(MATCH($K148,DS!$H$2:$H$4,0)&gt;=MATCH($J148,DS!$H$2:$H$4,0),"✓","✗"))</f>
        <v/>
      </c>
      <c r="M148" s="31"/>
      <c r="N148" s="31"/>
      <c r="O148" s="31"/>
      <c r="P148" s="29"/>
      <c r="Q148" s="29"/>
      <c r="R148" s="30"/>
      <c r="S148" s="37" t="str">
        <f aca="false">IF($A148="","",N($I148)-N($R148))</f>
        <v/>
      </c>
      <c r="T148" s="34" t="str">
        <f aca="false">IF(OR($E148="",$F148=""),"",ROUND(($F148-$E148)*24,1))</f>
        <v/>
      </c>
      <c r="U148" s="34" t="str">
        <f aca="true">IF($E148="","",INT(IF($O148="",NOW(),$O148)-$E148))</f>
        <v/>
      </c>
      <c r="V148" s="34" t="str">
        <f aca="true">IF($E148="","",IF($F148="",IF((NOW()-$E148)*24&gt;24,"⚑",""),IF(($F148-$E148)*24&gt;24,"⚑","")))</f>
        <v/>
      </c>
      <c r="W148" s="34" t="str">
        <f aca="true">IF(OR($E148="",$O148&lt;&gt;""),"",IF(NOW()-$E148&gt;7,"⚑",""))</f>
        <v/>
      </c>
      <c r="X148" s="34" t="str">
        <f aca="false">IF($L148="✗","⚑","")</f>
        <v/>
      </c>
      <c r="Y148" s="29"/>
    </row>
    <row r="149" customFormat="false" ht="15" hidden="false" customHeight="false" outlineLevel="0" collapsed="false">
      <c r="A149" s="29"/>
      <c r="B149" s="29"/>
      <c r="C149" s="29"/>
      <c r="D149" s="29"/>
      <c r="E149" s="36"/>
      <c r="F149" s="36"/>
      <c r="G149" s="31"/>
      <c r="H149" s="29"/>
      <c r="I149" s="30"/>
      <c r="J149" s="34" t="str">
        <f aca="false">IF($I149="","",IF(OR($I149&gt;150,$H149="R4 Hoàn 100%"),"CEO",IF($I149&gt;50,"OPS","CX")))</f>
        <v/>
      </c>
      <c r="K149" s="29"/>
      <c r="L149" s="34" t="str">
        <f aca="false">IF(OR($J149="",$K149=""),"",IF(MATCH($K149,DS!$H$2:$H$4,0)&gt;=MATCH($J149,DS!$H$2:$H$4,0),"✓","✗"))</f>
        <v/>
      </c>
      <c r="M149" s="31"/>
      <c r="N149" s="31"/>
      <c r="O149" s="31"/>
      <c r="P149" s="29"/>
      <c r="Q149" s="29"/>
      <c r="R149" s="30"/>
      <c r="S149" s="37" t="str">
        <f aca="false">IF($A149="","",N($I149)-N($R149))</f>
        <v/>
      </c>
      <c r="T149" s="34" t="str">
        <f aca="false">IF(OR($E149="",$F149=""),"",ROUND(($F149-$E149)*24,1))</f>
        <v/>
      </c>
      <c r="U149" s="34" t="str">
        <f aca="true">IF($E149="","",INT(IF($O149="",NOW(),$O149)-$E149))</f>
        <v/>
      </c>
      <c r="V149" s="34" t="str">
        <f aca="true">IF($E149="","",IF($F149="",IF((NOW()-$E149)*24&gt;24,"⚑",""),IF(($F149-$E149)*24&gt;24,"⚑","")))</f>
        <v/>
      </c>
      <c r="W149" s="34" t="str">
        <f aca="true">IF(OR($E149="",$O149&lt;&gt;""),"",IF(NOW()-$E149&gt;7,"⚑",""))</f>
        <v/>
      </c>
      <c r="X149" s="34" t="str">
        <f aca="false">IF($L149="✗","⚑","")</f>
        <v/>
      </c>
      <c r="Y149" s="29"/>
    </row>
    <row r="150" customFormat="false" ht="15" hidden="false" customHeight="false" outlineLevel="0" collapsed="false">
      <c r="A150" s="29"/>
      <c r="B150" s="29"/>
      <c r="C150" s="29"/>
      <c r="D150" s="29"/>
      <c r="E150" s="36"/>
      <c r="F150" s="36"/>
      <c r="G150" s="31"/>
      <c r="H150" s="29"/>
      <c r="I150" s="30"/>
      <c r="J150" s="34" t="str">
        <f aca="false">IF($I150="","",IF(OR($I150&gt;150,$H150="R4 Hoàn 100%"),"CEO",IF($I150&gt;50,"OPS","CX")))</f>
        <v/>
      </c>
      <c r="K150" s="29"/>
      <c r="L150" s="34" t="str">
        <f aca="false">IF(OR($J150="",$K150=""),"",IF(MATCH($K150,DS!$H$2:$H$4,0)&gt;=MATCH($J150,DS!$H$2:$H$4,0),"✓","✗"))</f>
        <v/>
      </c>
      <c r="M150" s="31"/>
      <c r="N150" s="31"/>
      <c r="O150" s="31"/>
      <c r="P150" s="29"/>
      <c r="Q150" s="29"/>
      <c r="R150" s="30"/>
      <c r="S150" s="37" t="str">
        <f aca="false">IF($A150="","",N($I150)-N($R150))</f>
        <v/>
      </c>
      <c r="T150" s="34" t="str">
        <f aca="false">IF(OR($E150="",$F150=""),"",ROUND(($F150-$E150)*24,1))</f>
        <v/>
      </c>
      <c r="U150" s="34" t="str">
        <f aca="true">IF($E150="","",INT(IF($O150="",NOW(),$O150)-$E150))</f>
        <v/>
      </c>
      <c r="V150" s="34" t="str">
        <f aca="true">IF($E150="","",IF($F150="",IF((NOW()-$E150)*24&gt;24,"⚑",""),IF(($F150-$E150)*24&gt;24,"⚑","")))</f>
        <v/>
      </c>
      <c r="W150" s="34" t="str">
        <f aca="true">IF(OR($E150="",$O150&lt;&gt;""),"",IF(NOW()-$E150&gt;7,"⚑",""))</f>
        <v/>
      </c>
      <c r="X150" s="34" t="str">
        <f aca="false">IF($L150="✗","⚑","")</f>
        <v/>
      </c>
      <c r="Y150" s="29"/>
    </row>
    <row r="151" customFormat="false" ht="15" hidden="false" customHeight="false" outlineLevel="0" collapsed="false">
      <c r="A151" s="29"/>
      <c r="B151" s="29"/>
      <c r="C151" s="29"/>
      <c r="D151" s="29"/>
      <c r="E151" s="36"/>
      <c r="F151" s="36"/>
      <c r="G151" s="31"/>
      <c r="H151" s="29"/>
      <c r="I151" s="30"/>
      <c r="J151" s="34" t="str">
        <f aca="false">IF($I151="","",IF(OR($I151&gt;150,$H151="R4 Hoàn 100%"),"CEO",IF($I151&gt;50,"OPS","CX")))</f>
        <v/>
      </c>
      <c r="K151" s="29"/>
      <c r="L151" s="34" t="str">
        <f aca="false">IF(OR($J151="",$K151=""),"",IF(MATCH($K151,DS!$H$2:$H$4,0)&gt;=MATCH($J151,DS!$H$2:$H$4,0),"✓","✗"))</f>
        <v/>
      </c>
      <c r="M151" s="31"/>
      <c r="N151" s="31"/>
      <c r="O151" s="31"/>
      <c r="P151" s="29"/>
      <c r="Q151" s="29"/>
      <c r="R151" s="30"/>
      <c r="S151" s="37" t="str">
        <f aca="false">IF($A151="","",N($I151)-N($R151))</f>
        <v/>
      </c>
      <c r="T151" s="34" t="str">
        <f aca="false">IF(OR($E151="",$F151=""),"",ROUND(($F151-$E151)*24,1))</f>
        <v/>
      </c>
      <c r="U151" s="34" t="str">
        <f aca="true">IF($E151="","",INT(IF($O151="",NOW(),$O151)-$E151))</f>
        <v/>
      </c>
      <c r="V151" s="34" t="str">
        <f aca="true">IF($E151="","",IF($F151="",IF((NOW()-$E151)*24&gt;24,"⚑",""),IF(($F151-$E151)*24&gt;24,"⚑","")))</f>
        <v/>
      </c>
      <c r="W151" s="34" t="str">
        <f aca="true">IF(OR($E151="",$O151&lt;&gt;""),"",IF(NOW()-$E151&gt;7,"⚑",""))</f>
        <v/>
      </c>
      <c r="X151" s="34" t="str">
        <f aca="false">IF($L151="✗","⚑","")</f>
        <v/>
      </c>
      <c r="Y151" s="29"/>
    </row>
    <row r="152" customFormat="false" ht="15" hidden="false" customHeight="false" outlineLevel="0" collapsed="false">
      <c r="A152" s="29"/>
      <c r="B152" s="29"/>
      <c r="C152" s="29"/>
      <c r="D152" s="29"/>
      <c r="E152" s="36"/>
      <c r="F152" s="36"/>
      <c r="G152" s="31"/>
      <c r="H152" s="29"/>
      <c r="I152" s="30"/>
      <c r="J152" s="34" t="str">
        <f aca="false">IF($I152="","",IF(OR($I152&gt;150,$H152="R4 Hoàn 100%"),"CEO",IF($I152&gt;50,"OPS","CX")))</f>
        <v/>
      </c>
      <c r="K152" s="29"/>
      <c r="L152" s="34" t="str">
        <f aca="false">IF(OR($J152="",$K152=""),"",IF(MATCH($K152,DS!$H$2:$H$4,0)&gt;=MATCH($J152,DS!$H$2:$H$4,0),"✓","✗"))</f>
        <v/>
      </c>
      <c r="M152" s="31"/>
      <c r="N152" s="31"/>
      <c r="O152" s="31"/>
      <c r="P152" s="29"/>
      <c r="Q152" s="29"/>
      <c r="R152" s="30"/>
      <c r="S152" s="37" t="str">
        <f aca="false">IF($A152="","",N($I152)-N($R152))</f>
        <v/>
      </c>
      <c r="T152" s="34" t="str">
        <f aca="false">IF(OR($E152="",$F152=""),"",ROUND(($F152-$E152)*24,1))</f>
        <v/>
      </c>
      <c r="U152" s="34" t="str">
        <f aca="true">IF($E152="","",INT(IF($O152="",NOW(),$O152)-$E152))</f>
        <v/>
      </c>
      <c r="V152" s="34" t="str">
        <f aca="true">IF($E152="","",IF($F152="",IF((NOW()-$E152)*24&gt;24,"⚑",""),IF(($F152-$E152)*24&gt;24,"⚑","")))</f>
        <v/>
      </c>
      <c r="W152" s="34" t="str">
        <f aca="true">IF(OR($E152="",$O152&lt;&gt;""),"",IF(NOW()-$E152&gt;7,"⚑",""))</f>
        <v/>
      </c>
      <c r="X152" s="34" t="str">
        <f aca="false">IF($L152="✗","⚑","")</f>
        <v/>
      </c>
      <c r="Y152" s="29"/>
    </row>
    <row r="153" customFormat="false" ht="15" hidden="false" customHeight="false" outlineLevel="0" collapsed="false">
      <c r="A153" s="29"/>
      <c r="B153" s="29"/>
      <c r="C153" s="29"/>
      <c r="D153" s="29"/>
      <c r="E153" s="36"/>
      <c r="F153" s="36"/>
      <c r="G153" s="31"/>
      <c r="H153" s="29"/>
      <c r="I153" s="30"/>
      <c r="J153" s="34" t="str">
        <f aca="false">IF($I153="","",IF(OR($I153&gt;150,$H153="R4 Hoàn 100%"),"CEO",IF($I153&gt;50,"OPS","CX")))</f>
        <v/>
      </c>
      <c r="K153" s="29"/>
      <c r="L153" s="34" t="str">
        <f aca="false">IF(OR($J153="",$K153=""),"",IF(MATCH($K153,DS!$H$2:$H$4,0)&gt;=MATCH($J153,DS!$H$2:$H$4,0),"✓","✗"))</f>
        <v/>
      </c>
      <c r="M153" s="31"/>
      <c r="N153" s="31"/>
      <c r="O153" s="31"/>
      <c r="P153" s="29"/>
      <c r="Q153" s="29"/>
      <c r="R153" s="30"/>
      <c r="S153" s="37" t="str">
        <f aca="false">IF($A153="","",N($I153)-N($R153))</f>
        <v/>
      </c>
      <c r="T153" s="34" t="str">
        <f aca="false">IF(OR($E153="",$F153=""),"",ROUND(($F153-$E153)*24,1))</f>
        <v/>
      </c>
      <c r="U153" s="34" t="str">
        <f aca="true">IF($E153="","",INT(IF($O153="",NOW(),$O153)-$E153))</f>
        <v/>
      </c>
      <c r="V153" s="34" t="str">
        <f aca="true">IF($E153="","",IF($F153="",IF((NOW()-$E153)*24&gt;24,"⚑",""),IF(($F153-$E153)*24&gt;24,"⚑","")))</f>
        <v/>
      </c>
      <c r="W153" s="34" t="str">
        <f aca="true">IF(OR($E153="",$O153&lt;&gt;""),"",IF(NOW()-$E153&gt;7,"⚑",""))</f>
        <v/>
      </c>
      <c r="X153" s="34" t="str">
        <f aca="false">IF($L153="✗","⚑","")</f>
        <v/>
      </c>
      <c r="Y153" s="29"/>
    </row>
    <row r="154" customFormat="false" ht="15" hidden="false" customHeight="false" outlineLevel="0" collapsed="false">
      <c r="A154" s="29"/>
      <c r="B154" s="29"/>
      <c r="C154" s="29"/>
      <c r="D154" s="29"/>
      <c r="E154" s="36"/>
      <c r="F154" s="36"/>
      <c r="G154" s="31"/>
      <c r="H154" s="29"/>
      <c r="I154" s="30"/>
      <c r="J154" s="34" t="str">
        <f aca="false">IF($I154="","",IF(OR($I154&gt;150,$H154="R4 Hoàn 100%"),"CEO",IF($I154&gt;50,"OPS","CX")))</f>
        <v/>
      </c>
      <c r="K154" s="29"/>
      <c r="L154" s="34" t="str">
        <f aca="false">IF(OR($J154="",$K154=""),"",IF(MATCH($K154,DS!$H$2:$H$4,0)&gt;=MATCH($J154,DS!$H$2:$H$4,0),"✓","✗"))</f>
        <v/>
      </c>
      <c r="M154" s="31"/>
      <c r="N154" s="31"/>
      <c r="O154" s="31"/>
      <c r="P154" s="29"/>
      <c r="Q154" s="29"/>
      <c r="R154" s="30"/>
      <c r="S154" s="37" t="str">
        <f aca="false">IF($A154="","",N($I154)-N($R154))</f>
        <v/>
      </c>
      <c r="T154" s="34" t="str">
        <f aca="false">IF(OR($E154="",$F154=""),"",ROUND(($F154-$E154)*24,1))</f>
        <v/>
      </c>
      <c r="U154" s="34" t="str">
        <f aca="true">IF($E154="","",INT(IF($O154="",NOW(),$O154)-$E154))</f>
        <v/>
      </c>
      <c r="V154" s="34" t="str">
        <f aca="true">IF($E154="","",IF($F154="",IF((NOW()-$E154)*24&gt;24,"⚑",""),IF(($F154-$E154)*24&gt;24,"⚑","")))</f>
        <v/>
      </c>
      <c r="W154" s="34" t="str">
        <f aca="true">IF(OR($E154="",$O154&lt;&gt;""),"",IF(NOW()-$E154&gt;7,"⚑",""))</f>
        <v/>
      </c>
      <c r="X154" s="34" t="str">
        <f aca="false">IF($L154="✗","⚑","")</f>
        <v/>
      </c>
      <c r="Y154" s="29"/>
    </row>
    <row r="155" customFormat="false" ht="15" hidden="false" customHeight="false" outlineLevel="0" collapsed="false">
      <c r="A155" s="29"/>
      <c r="B155" s="29"/>
      <c r="C155" s="29"/>
      <c r="D155" s="29"/>
      <c r="E155" s="36"/>
      <c r="F155" s="36"/>
      <c r="G155" s="31"/>
      <c r="H155" s="29"/>
      <c r="I155" s="30"/>
      <c r="J155" s="34" t="str">
        <f aca="false">IF($I155="","",IF(OR($I155&gt;150,$H155="R4 Hoàn 100%"),"CEO",IF($I155&gt;50,"OPS","CX")))</f>
        <v/>
      </c>
      <c r="K155" s="29"/>
      <c r="L155" s="34" t="str">
        <f aca="false">IF(OR($J155="",$K155=""),"",IF(MATCH($K155,DS!$H$2:$H$4,0)&gt;=MATCH($J155,DS!$H$2:$H$4,0),"✓","✗"))</f>
        <v/>
      </c>
      <c r="M155" s="31"/>
      <c r="N155" s="31"/>
      <c r="O155" s="31"/>
      <c r="P155" s="29"/>
      <c r="Q155" s="29"/>
      <c r="R155" s="30"/>
      <c r="S155" s="37" t="str">
        <f aca="false">IF($A155="","",N($I155)-N($R155))</f>
        <v/>
      </c>
      <c r="T155" s="34" t="str">
        <f aca="false">IF(OR($E155="",$F155=""),"",ROUND(($F155-$E155)*24,1))</f>
        <v/>
      </c>
      <c r="U155" s="34" t="str">
        <f aca="true">IF($E155="","",INT(IF($O155="",NOW(),$O155)-$E155))</f>
        <v/>
      </c>
      <c r="V155" s="34" t="str">
        <f aca="true">IF($E155="","",IF($F155="",IF((NOW()-$E155)*24&gt;24,"⚑",""),IF(($F155-$E155)*24&gt;24,"⚑","")))</f>
        <v/>
      </c>
      <c r="W155" s="34" t="str">
        <f aca="true">IF(OR($E155="",$O155&lt;&gt;""),"",IF(NOW()-$E155&gt;7,"⚑",""))</f>
        <v/>
      </c>
      <c r="X155" s="34" t="str">
        <f aca="false">IF($L155="✗","⚑","")</f>
        <v/>
      </c>
      <c r="Y155" s="29"/>
    </row>
    <row r="156" customFormat="false" ht="15" hidden="false" customHeight="false" outlineLevel="0" collapsed="false">
      <c r="A156" s="29"/>
      <c r="B156" s="29"/>
      <c r="C156" s="29"/>
      <c r="D156" s="29"/>
      <c r="E156" s="36"/>
      <c r="F156" s="36"/>
      <c r="G156" s="31"/>
      <c r="H156" s="29"/>
      <c r="I156" s="30"/>
      <c r="J156" s="34" t="str">
        <f aca="false">IF($I156="","",IF(OR($I156&gt;150,$H156="R4 Hoàn 100%"),"CEO",IF($I156&gt;50,"OPS","CX")))</f>
        <v/>
      </c>
      <c r="K156" s="29"/>
      <c r="L156" s="34" t="str">
        <f aca="false">IF(OR($J156="",$K156=""),"",IF(MATCH($K156,DS!$H$2:$H$4,0)&gt;=MATCH($J156,DS!$H$2:$H$4,0),"✓","✗"))</f>
        <v/>
      </c>
      <c r="M156" s="31"/>
      <c r="N156" s="31"/>
      <c r="O156" s="31"/>
      <c r="P156" s="29"/>
      <c r="Q156" s="29"/>
      <c r="R156" s="30"/>
      <c r="S156" s="37" t="str">
        <f aca="false">IF($A156="","",N($I156)-N($R156))</f>
        <v/>
      </c>
      <c r="T156" s="34" t="str">
        <f aca="false">IF(OR($E156="",$F156=""),"",ROUND(($F156-$E156)*24,1))</f>
        <v/>
      </c>
      <c r="U156" s="34" t="str">
        <f aca="true">IF($E156="","",INT(IF($O156="",NOW(),$O156)-$E156))</f>
        <v/>
      </c>
      <c r="V156" s="34" t="str">
        <f aca="true">IF($E156="","",IF($F156="",IF((NOW()-$E156)*24&gt;24,"⚑",""),IF(($F156-$E156)*24&gt;24,"⚑","")))</f>
        <v/>
      </c>
      <c r="W156" s="34" t="str">
        <f aca="true">IF(OR($E156="",$O156&lt;&gt;""),"",IF(NOW()-$E156&gt;7,"⚑",""))</f>
        <v/>
      </c>
      <c r="X156" s="34" t="str">
        <f aca="false">IF($L156="✗","⚑","")</f>
        <v/>
      </c>
      <c r="Y156" s="29"/>
    </row>
    <row r="157" customFormat="false" ht="15" hidden="false" customHeight="false" outlineLevel="0" collapsed="false">
      <c r="A157" s="29"/>
      <c r="B157" s="29"/>
      <c r="C157" s="29"/>
      <c r="D157" s="29"/>
      <c r="E157" s="36"/>
      <c r="F157" s="36"/>
      <c r="G157" s="31"/>
      <c r="H157" s="29"/>
      <c r="I157" s="30"/>
      <c r="J157" s="34" t="str">
        <f aca="false">IF($I157="","",IF(OR($I157&gt;150,$H157="R4 Hoàn 100%"),"CEO",IF($I157&gt;50,"OPS","CX")))</f>
        <v/>
      </c>
      <c r="K157" s="29"/>
      <c r="L157" s="34" t="str">
        <f aca="false">IF(OR($J157="",$K157=""),"",IF(MATCH($K157,DS!$H$2:$H$4,0)&gt;=MATCH($J157,DS!$H$2:$H$4,0),"✓","✗"))</f>
        <v/>
      </c>
      <c r="M157" s="31"/>
      <c r="N157" s="31"/>
      <c r="O157" s="31"/>
      <c r="P157" s="29"/>
      <c r="Q157" s="29"/>
      <c r="R157" s="30"/>
      <c r="S157" s="37" t="str">
        <f aca="false">IF($A157="","",N($I157)-N($R157))</f>
        <v/>
      </c>
      <c r="T157" s="34" t="str">
        <f aca="false">IF(OR($E157="",$F157=""),"",ROUND(($F157-$E157)*24,1))</f>
        <v/>
      </c>
      <c r="U157" s="34" t="str">
        <f aca="true">IF($E157="","",INT(IF($O157="",NOW(),$O157)-$E157))</f>
        <v/>
      </c>
      <c r="V157" s="34" t="str">
        <f aca="true">IF($E157="","",IF($F157="",IF((NOW()-$E157)*24&gt;24,"⚑",""),IF(($F157-$E157)*24&gt;24,"⚑","")))</f>
        <v/>
      </c>
      <c r="W157" s="34" t="str">
        <f aca="true">IF(OR($E157="",$O157&lt;&gt;""),"",IF(NOW()-$E157&gt;7,"⚑",""))</f>
        <v/>
      </c>
      <c r="X157" s="34" t="str">
        <f aca="false">IF($L157="✗","⚑","")</f>
        <v/>
      </c>
      <c r="Y157" s="29"/>
    </row>
    <row r="158" customFormat="false" ht="15" hidden="false" customHeight="false" outlineLevel="0" collapsed="false">
      <c r="A158" s="29"/>
      <c r="B158" s="29"/>
      <c r="C158" s="29"/>
      <c r="D158" s="29"/>
      <c r="E158" s="36"/>
      <c r="F158" s="36"/>
      <c r="G158" s="31"/>
      <c r="H158" s="29"/>
      <c r="I158" s="30"/>
      <c r="J158" s="34" t="str">
        <f aca="false">IF($I158="","",IF(OR($I158&gt;150,$H158="R4 Hoàn 100%"),"CEO",IF($I158&gt;50,"OPS","CX")))</f>
        <v/>
      </c>
      <c r="K158" s="29"/>
      <c r="L158" s="34" t="str">
        <f aca="false">IF(OR($J158="",$K158=""),"",IF(MATCH($K158,DS!$H$2:$H$4,0)&gt;=MATCH($J158,DS!$H$2:$H$4,0),"✓","✗"))</f>
        <v/>
      </c>
      <c r="M158" s="31"/>
      <c r="N158" s="31"/>
      <c r="O158" s="31"/>
      <c r="P158" s="29"/>
      <c r="Q158" s="29"/>
      <c r="R158" s="30"/>
      <c r="S158" s="37" t="str">
        <f aca="false">IF($A158="","",N($I158)-N($R158))</f>
        <v/>
      </c>
      <c r="T158" s="34" t="str">
        <f aca="false">IF(OR($E158="",$F158=""),"",ROUND(($F158-$E158)*24,1))</f>
        <v/>
      </c>
      <c r="U158" s="34" t="str">
        <f aca="true">IF($E158="","",INT(IF($O158="",NOW(),$O158)-$E158))</f>
        <v/>
      </c>
      <c r="V158" s="34" t="str">
        <f aca="true">IF($E158="","",IF($F158="",IF((NOW()-$E158)*24&gt;24,"⚑",""),IF(($F158-$E158)*24&gt;24,"⚑","")))</f>
        <v/>
      </c>
      <c r="W158" s="34" t="str">
        <f aca="true">IF(OR($E158="",$O158&lt;&gt;""),"",IF(NOW()-$E158&gt;7,"⚑",""))</f>
        <v/>
      </c>
      <c r="X158" s="34" t="str">
        <f aca="false">IF($L158="✗","⚑","")</f>
        <v/>
      </c>
      <c r="Y158" s="29"/>
    </row>
    <row r="159" customFormat="false" ht="15" hidden="false" customHeight="false" outlineLevel="0" collapsed="false">
      <c r="A159" s="29"/>
      <c r="B159" s="29"/>
      <c r="C159" s="29"/>
      <c r="D159" s="29"/>
      <c r="E159" s="36"/>
      <c r="F159" s="36"/>
      <c r="G159" s="31"/>
      <c r="H159" s="29"/>
      <c r="I159" s="30"/>
      <c r="J159" s="34" t="str">
        <f aca="false">IF($I159="","",IF(OR($I159&gt;150,$H159="R4 Hoàn 100%"),"CEO",IF($I159&gt;50,"OPS","CX")))</f>
        <v/>
      </c>
      <c r="K159" s="29"/>
      <c r="L159" s="34" t="str">
        <f aca="false">IF(OR($J159="",$K159=""),"",IF(MATCH($K159,DS!$H$2:$H$4,0)&gt;=MATCH($J159,DS!$H$2:$H$4,0),"✓","✗"))</f>
        <v/>
      </c>
      <c r="M159" s="31"/>
      <c r="N159" s="31"/>
      <c r="O159" s="31"/>
      <c r="P159" s="29"/>
      <c r="Q159" s="29"/>
      <c r="R159" s="30"/>
      <c r="S159" s="37" t="str">
        <f aca="false">IF($A159="","",N($I159)-N($R159))</f>
        <v/>
      </c>
      <c r="T159" s="34" t="str">
        <f aca="false">IF(OR($E159="",$F159=""),"",ROUND(($F159-$E159)*24,1))</f>
        <v/>
      </c>
      <c r="U159" s="34" t="str">
        <f aca="true">IF($E159="","",INT(IF($O159="",NOW(),$O159)-$E159))</f>
        <v/>
      </c>
      <c r="V159" s="34" t="str">
        <f aca="true">IF($E159="","",IF($F159="",IF((NOW()-$E159)*24&gt;24,"⚑",""),IF(($F159-$E159)*24&gt;24,"⚑","")))</f>
        <v/>
      </c>
      <c r="W159" s="34" t="str">
        <f aca="true">IF(OR($E159="",$O159&lt;&gt;""),"",IF(NOW()-$E159&gt;7,"⚑",""))</f>
        <v/>
      </c>
      <c r="X159" s="34" t="str">
        <f aca="false">IF($L159="✗","⚑","")</f>
        <v/>
      </c>
      <c r="Y159" s="29"/>
    </row>
    <row r="160" customFormat="false" ht="15" hidden="false" customHeight="false" outlineLevel="0" collapsed="false">
      <c r="A160" s="29"/>
      <c r="B160" s="29"/>
      <c r="C160" s="29"/>
      <c r="D160" s="29"/>
      <c r="E160" s="36"/>
      <c r="F160" s="36"/>
      <c r="G160" s="31"/>
      <c r="H160" s="29"/>
      <c r="I160" s="30"/>
      <c r="J160" s="34" t="str">
        <f aca="false">IF($I160="","",IF(OR($I160&gt;150,$H160="R4 Hoàn 100%"),"CEO",IF($I160&gt;50,"OPS","CX")))</f>
        <v/>
      </c>
      <c r="K160" s="29"/>
      <c r="L160" s="34" t="str">
        <f aca="false">IF(OR($J160="",$K160=""),"",IF(MATCH($K160,DS!$H$2:$H$4,0)&gt;=MATCH($J160,DS!$H$2:$H$4,0),"✓","✗"))</f>
        <v/>
      </c>
      <c r="M160" s="31"/>
      <c r="N160" s="31"/>
      <c r="O160" s="31"/>
      <c r="P160" s="29"/>
      <c r="Q160" s="29"/>
      <c r="R160" s="30"/>
      <c r="S160" s="37" t="str">
        <f aca="false">IF($A160="","",N($I160)-N($R160))</f>
        <v/>
      </c>
      <c r="T160" s="34" t="str">
        <f aca="false">IF(OR($E160="",$F160=""),"",ROUND(($F160-$E160)*24,1))</f>
        <v/>
      </c>
      <c r="U160" s="34" t="str">
        <f aca="true">IF($E160="","",INT(IF($O160="",NOW(),$O160)-$E160))</f>
        <v/>
      </c>
      <c r="V160" s="34" t="str">
        <f aca="true">IF($E160="","",IF($F160="",IF((NOW()-$E160)*24&gt;24,"⚑",""),IF(($F160-$E160)*24&gt;24,"⚑","")))</f>
        <v/>
      </c>
      <c r="W160" s="34" t="str">
        <f aca="true">IF(OR($E160="",$O160&lt;&gt;""),"",IF(NOW()-$E160&gt;7,"⚑",""))</f>
        <v/>
      </c>
      <c r="X160" s="34" t="str">
        <f aca="false">IF($L160="✗","⚑","")</f>
        <v/>
      </c>
      <c r="Y160" s="29"/>
    </row>
    <row r="161" customFormat="false" ht="15" hidden="false" customHeight="false" outlineLevel="0" collapsed="false">
      <c r="A161" s="29"/>
      <c r="B161" s="29"/>
      <c r="C161" s="29"/>
      <c r="D161" s="29"/>
      <c r="E161" s="36"/>
      <c r="F161" s="36"/>
      <c r="G161" s="31"/>
      <c r="H161" s="29"/>
      <c r="I161" s="30"/>
      <c r="J161" s="34" t="str">
        <f aca="false">IF($I161="","",IF(OR($I161&gt;150,$H161="R4 Hoàn 100%"),"CEO",IF($I161&gt;50,"OPS","CX")))</f>
        <v/>
      </c>
      <c r="K161" s="29"/>
      <c r="L161" s="34" t="str">
        <f aca="false">IF(OR($J161="",$K161=""),"",IF(MATCH($K161,DS!$H$2:$H$4,0)&gt;=MATCH($J161,DS!$H$2:$H$4,0),"✓","✗"))</f>
        <v/>
      </c>
      <c r="M161" s="31"/>
      <c r="N161" s="31"/>
      <c r="O161" s="31"/>
      <c r="P161" s="29"/>
      <c r="Q161" s="29"/>
      <c r="R161" s="30"/>
      <c r="S161" s="37" t="str">
        <f aca="false">IF($A161="","",N($I161)-N($R161))</f>
        <v/>
      </c>
      <c r="T161" s="34" t="str">
        <f aca="false">IF(OR($E161="",$F161=""),"",ROUND(($F161-$E161)*24,1))</f>
        <v/>
      </c>
      <c r="U161" s="34" t="str">
        <f aca="true">IF($E161="","",INT(IF($O161="",NOW(),$O161)-$E161))</f>
        <v/>
      </c>
      <c r="V161" s="34" t="str">
        <f aca="true">IF($E161="","",IF($F161="",IF((NOW()-$E161)*24&gt;24,"⚑",""),IF(($F161-$E161)*24&gt;24,"⚑","")))</f>
        <v/>
      </c>
      <c r="W161" s="34" t="str">
        <f aca="true">IF(OR($E161="",$O161&lt;&gt;""),"",IF(NOW()-$E161&gt;7,"⚑",""))</f>
        <v/>
      </c>
      <c r="X161" s="34" t="str">
        <f aca="false">IF($L161="✗","⚑","")</f>
        <v/>
      </c>
      <c r="Y161" s="29"/>
    </row>
    <row r="162" customFormat="false" ht="15" hidden="false" customHeight="false" outlineLevel="0" collapsed="false">
      <c r="A162" s="29"/>
      <c r="B162" s="29"/>
      <c r="C162" s="29"/>
      <c r="D162" s="29"/>
      <c r="E162" s="36"/>
      <c r="F162" s="36"/>
      <c r="G162" s="31"/>
      <c r="H162" s="29"/>
      <c r="I162" s="30"/>
      <c r="J162" s="34" t="str">
        <f aca="false">IF($I162="","",IF(OR($I162&gt;150,$H162="R4 Hoàn 100%"),"CEO",IF($I162&gt;50,"OPS","CX")))</f>
        <v/>
      </c>
      <c r="K162" s="29"/>
      <c r="L162" s="34" t="str">
        <f aca="false">IF(OR($J162="",$K162=""),"",IF(MATCH($K162,DS!$H$2:$H$4,0)&gt;=MATCH($J162,DS!$H$2:$H$4,0),"✓","✗"))</f>
        <v/>
      </c>
      <c r="M162" s="31"/>
      <c r="N162" s="31"/>
      <c r="O162" s="31"/>
      <c r="P162" s="29"/>
      <c r="Q162" s="29"/>
      <c r="R162" s="30"/>
      <c r="S162" s="37" t="str">
        <f aca="false">IF($A162="","",N($I162)-N($R162))</f>
        <v/>
      </c>
      <c r="T162" s="34" t="str">
        <f aca="false">IF(OR($E162="",$F162=""),"",ROUND(($F162-$E162)*24,1))</f>
        <v/>
      </c>
      <c r="U162" s="34" t="str">
        <f aca="true">IF($E162="","",INT(IF($O162="",NOW(),$O162)-$E162))</f>
        <v/>
      </c>
      <c r="V162" s="34" t="str">
        <f aca="true">IF($E162="","",IF($F162="",IF((NOW()-$E162)*24&gt;24,"⚑",""),IF(($F162-$E162)*24&gt;24,"⚑","")))</f>
        <v/>
      </c>
      <c r="W162" s="34" t="str">
        <f aca="true">IF(OR($E162="",$O162&lt;&gt;""),"",IF(NOW()-$E162&gt;7,"⚑",""))</f>
        <v/>
      </c>
      <c r="X162" s="34" t="str">
        <f aca="false">IF($L162="✗","⚑","")</f>
        <v/>
      </c>
      <c r="Y162" s="29"/>
    </row>
    <row r="163" customFormat="false" ht="15" hidden="false" customHeight="false" outlineLevel="0" collapsed="false">
      <c r="A163" s="29"/>
      <c r="B163" s="29"/>
      <c r="C163" s="29"/>
      <c r="D163" s="29"/>
      <c r="E163" s="36"/>
      <c r="F163" s="36"/>
      <c r="G163" s="31"/>
      <c r="H163" s="29"/>
      <c r="I163" s="30"/>
      <c r="J163" s="34" t="str">
        <f aca="false">IF($I163="","",IF(OR($I163&gt;150,$H163="R4 Hoàn 100%"),"CEO",IF($I163&gt;50,"OPS","CX")))</f>
        <v/>
      </c>
      <c r="K163" s="29"/>
      <c r="L163" s="34" t="str">
        <f aca="false">IF(OR($J163="",$K163=""),"",IF(MATCH($K163,DS!$H$2:$H$4,0)&gt;=MATCH($J163,DS!$H$2:$H$4,0),"✓","✗"))</f>
        <v/>
      </c>
      <c r="M163" s="31"/>
      <c r="N163" s="31"/>
      <c r="O163" s="31"/>
      <c r="P163" s="29"/>
      <c r="Q163" s="29"/>
      <c r="R163" s="30"/>
      <c r="S163" s="37" t="str">
        <f aca="false">IF($A163="","",N($I163)-N($R163))</f>
        <v/>
      </c>
      <c r="T163" s="34" t="str">
        <f aca="false">IF(OR($E163="",$F163=""),"",ROUND(($F163-$E163)*24,1))</f>
        <v/>
      </c>
      <c r="U163" s="34" t="str">
        <f aca="true">IF($E163="","",INT(IF($O163="",NOW(),$O163)-$E163))</f>
        <v/>
      </c>
      <c r="V163" s="34" t="str">
        <f aca="true">IF($E163="","",IF($F163="",IF((NOW()-$E163)*24&gt;24,"⚑",""),IF(($F163-$E163)*24&gt;24,"⚑","")))</f>
        <v/>
      </c>
      <c r="W163" s="34" t="str">
        <f aca="true">IF(OR($E163="",$O163&lt;&gt;""),"",IF(NOW()-$E163&gt;7,"⚑",""))</f>
        <v/>
      </c>
      <c r="X163" s="34" t="str">
        <f aca="false">IF($L163="✗","⚑","")</f>
        <v/>
      </c>
      <c r="Y163" s="29"/>
    </row>
    <row r="164" customFormat="false" ht="15" hidden="false" customHeight="false" outlineLevel="0" collapsed="false">
      <c r="A164" s="29"/>
      <c r="B164" s="29"/>
      <c r="C164" s="29"/>
      <c r="D164" s="29"/>
      <c r="E164" s="36"/>
      <c r="F164" s="36"/>
      <c r="G164" s="31"/>
      <c r="H164" s="29"/>
      <c r="I164" s="30"/>
      <c r="J164" s="34" t="str">
        <f aca="false">IF($I164="","",IF(OR($I164&gt;150,$H164="R4 Hoàn 100%"),"CEO",IF($I164&gt;50,"OPS","CX")))</f>
        <v/>
      </c>
      <c r="K164" s="29"/>
      <c r="L164" s="34" t="str">
        <f aca="false">IF(OR($J164="",$K164=""),"",IF(MATCH($K164,DS!$H$2:$H$4,0)&gt;=MATCH($J164,DS!$H$2:$H$4,0),"✓","✗"))</f>
        <v/>
      </c>
      <c r="M164" s="31"/>
      <c r="N164" s="31"/>
      <c r="O164" s="31"/>
      <c r="P164" s="29"/>
      <c r="Q164" s="29"/>
      <c r="R164" s="30"/>
      <c r="S164" s="37" t="str">
        <f aca="false">IF($A164="","",N($I164)-N($R164))</f>
        <v/>
      </c>
      <c r="T164" s="34" t="str">
        <f aca="false">IF(OR($E164="",$F164=""),"",ROUND(($F164-$E164)*24,1))</f>
        <v/>
      </c>
      <c r="U164" s="34" t="str">
        <f aca="true">IF($E164="","",INT(IF($O164="",NOW(),$O164)-$E164))</f>
        <v/>
      </c>
      <c r="V164" s="34" t="str">
        <f aca="true">IF($E164="","",IF($F164="",IF((NOW()-$E164)*24&gt;24,"⚑",""),IF(($F164-$E164)*24&gt;24,"⚑","")))</f>
        <v/>
      </c>
      <c r="W164" s="34" t="str">
        <f aca="true">IF(OR($E164="",$O164&lt;&gt;""),"",IF(NOW()-$E164&gt;7,"⚑",""))</f>
        <v/>
      </c>
      <c r="X164" s="34" t="str">
        <f aca="false">IF($L164="✗","⚑","")</f>
        <v/>
      </c>
      <c r="Y164" s="29"/>
    </row>
    <row r="165" customFormat="false" ht="15" hidden="false" customHeight="false" outlineLevel="0" collapsed="false">
      <c r="A165" s="29"/>
      <c r="B165" s="29"/>
      <c r="C165" s="29"/>
      <c r="D165" s="29"/>
      <c r="E165" s="36"/>
      <c r="F165" s="36"/>
      <c r="G165" s="31"/>
      <c r="H165" s="29"/>
      <c r="I165" s="30"/>
      <c r="J165" s="34" t="str">
        <f aca="false">IF($I165="","",IF(OR($I165&gt;150,$H165="R4 Hoàn 100%"),"CEO",IF($I165&gt;50,"OPS","CX")))</f>
        <v/>
      </c>
      <c r="K165" s="29"/>
      <c r="L165" s="34" t="str">
        <f aca="false">IF(OR($J165="",$K165=""),"",IF(MATCH($K165,DS!$H$2:$H$4,0)&gt;=MATCH($J165,DS!$H$2:$H$4,0),"✓","✗"))</f>
        <v/>
      </c>
      <c r="M165" s="31"/>
      <c r="N165" s="31"/>
      <c r="O165" s="31"/>
      <c r="P165" s="29"/>
      <c r="Q165" s="29"/>
      <c r="R165" s="30"/>
      <c r="S165" s="37" t="str">
        <f aca="false">IF($A165="","",N($I165)-N($R165))</f>
        <v/>
      </c>
      <c r="T165" s="34" t="str">
        <f aca="false">IF(OR($E165="",$F165=""),"",ROUND(($F165-$E165)*24,1))</f>
        <v/>
      </c>
      <c r="U165" s="34" t="str">
        <f aca="true">IF($E165="","",INT(IF($O165="",NOW(),$O165)-$E165))</f>
        <v/>
      </c>
      <c r="V165" s="34" t="str">
        <f aca="true">IF($E165="","",IF($F165="",IF((NOW()-$E165)*24&gt;24,"⚑",""),IF(($F165-$E165)*24&gt;24,"⚑","")))</f>
        <v/>
      </c>
      <c r="W165" s="34" t="str">
        <f aca="true">IF(OR($E165="",$O165&lt;&gt;""),"",IF(NOW()-$E165&gt;7,"⚑",""))</f>
        <v/>
      </c>
      <c r="X165" s="34" t="str">
        <f aca="false">IF($L165="✗","⚑","")</f>
        <v/>
      </c>
      <c r="Y165" s="29"/>
    </row>
    <row r="166" customFormat="false" ht="15" hidden="false" customHeight="false" outlineLevel="0" collapsed="false">
      <c r="A166" s="29"/>
      <c r="B166" s="29"/>
      <c r="C166" s="29"/>
      <c r="D166" s="29"/>
      <c r="E166" s="36"/>
      <c r="F166" s="36"/>
      <c r="G166" s="31"/>
      <c r="H166" s="29"/>
      <c r="I166" s="30"/>
      <c r="J166" s="34" t="str">
        <f aca="false">IF($I166="","",IF(OR($I166&gt;150,$H166="R4 Hoàn 100%"),"CEO",IF($I166&gt;50,"OPS","CX")))</f>
        <v/>
      </c>
      <c r="K166" s="29"/>
      <c r="L166" s="34" t="str">
        <f aca="false">IF(OR($J166="",$K166=""),"",IF(MATCH($K166,DS!$H$2:$H$4,0)&gt;=MATCH($J166,DS!$H$2:$H$4,0),"✓","✗"))</f>
        <v/>
      </c>
      <c r="M166" s="31"/>
      <c r="N166" s="31"/>
      <c r="O166" s="31"/>
      <c r="P166" s="29"/>
      <c r="Q166" s="29"/>
      <c r="R166" s="30"/>
      <c r="S166" s="37" t="str">
        <f aca="false">IF($A166="","",N($I166)-N($R166))</f>
        <v/>
      </c>
      <c r="T166" s="34" t="str">
        <f aca="false">IF(OR($E166="",$F166=""),"",ROUND(($F166-$E166)*24,1))</f>
        <v/>
      </c>
      <c r="U166" s="34" t="str">
        <f aca="true">IF($E166="","",INT(IF($O166="",NOW(),$O166)-$E166))</f>
        <v/>
      </c>
      <c r="V166" s="34" t="str">
        <f aca="true">IF($E166="","",IF($F166="",IF((NOW()-$E166)*24&gt;24,"⚑",""),IF(($F166-$E166)*24&gt;24,"⚑","")))</f>
        <v/>
      </c>
      <c r="W166" s="34" t="str">
        <f aca="true">IF(OR($E166="",$O166&lt;&gt;""),"",IF(NOW()-$E166&gt;7,"⚑",""))</f>
        <v/>
      </c>
      <c r="X166" s="34" t="str">
        <f aca="false">IF($L166="✗","⚑","")</f>
        <v/>
      </c>
      <c r="Y166" s="29"/>
    </row>
    <row r="167" customFormat="false" ht="15" hidden="false" customHeight="false" outlineLevel="0" collapsed="false">
      <c r="A167" s="29"/>
      <c r="B167" s="29"/>
      <c r="C167" s="29"/>
      <c r="D167" s="29"/>
      <c r="E167" s="36"/>
      <c r="F167" s="36"/>
      <c r="G167" s="31"/>
      <c r="H167" s="29"/>
      <c r="I167" s="30"/>
      <c r="J167" s="34" t="str">
        <f aca="false">IF($I167="","",IF(OR($I167&gt;150,$H167="R4 Hoàn 100%"),"CEO",IF($I167&gt;50,"OPS","CX")))</f>
        <v/>
      </c>
      <c r="K167" s="29"/>
      <c r="L167" s="34" t="str">
        <f aca="false">IF(OR($J167="",$K167=""),"",IF(MATCH($K167,DS!$H$2:$H$4,0)&gt;=MATCH($J167,DS!$H$2:$H$4,0),"✓","✗"))</f>
        <v/>
      </c>
      <c r="M167" s="31"/>
      <c r="N167" s="31"/>
      <c r="O167" s="31"/>
      <c r="P167" s="29"/>
      <c r="Q167" s="29"/>
      <c r="R167" s="30"/>
      <c r="S167" s="37" t="str">
        <f aca="false">IF($A167="","",N($I167)-N($R167))</f>
        <v/>
      </c>
      <c r="T167" s="34" t="str">
        <f aca="false">IF(OR($E167="",$F167=""),"",ROUND(($F167-$E167)*24,1))</f>
        <v/>
      </c>
      <c r="U167" s="34" t="str">
        <f aca="true">IF($E167="","",INT(IF($O167="",NOW(),$O167)-$E167))</f>
        <v/>
      </c>
      <c r="V167" s="34" t="str">
        <f aca="true">IF($E167="","",IF($F167="",IF((NOW()-$E167)*24&gt;24,"⚑",""),IF(($F167-$E167)*24&gt;24,"⚑","")))</f>
        <v/>
      </c>
      <c r="W167" s="34" t="str">
        <f aca="true">IF(OR($E167="",$O167&lt;&gt;""),"",IF(NOW()-$E167&gt;7,"⚑",""))</f>
        <v/>
      </c>
      <c r="X167" s="34" t="str">
        <f aca="false">IF($L167="✗","⚑","")</f>
        <v/>
      </c>
      <c r="Y167" s="29"/>
    </row>
    <row r="168" customFormat="false" ht="15" hidden="false" customHeight="false" outlineLevel="0" collapsed="false">
      <c r="A168" s="29"/>
      <c r="B168" s="29"/>
      <c r="C168" s="29"/>
      <c r="D168" s="29"/>
      <c r="E168" s="36"/>
      <c r="F168" s="36"/>
      <c r="G168" s="31"/>
      <c r="H168" s="29"/>
      <c r="I168" s="30"/>
      <c r="J168" s="34" t="str">
        <f aca="false">IF($I168="","",IF(OR($I168&gt;150,$H168="R4 Hoàn 100%"),"CEO",IF($I168&gt;50,"OPS","CX")))</f>
        <v/>
      </c>
      <c r="K168" s="29"/>
      <c r="L168" s="34" t="str">
        <f aca="false">IF(OR($J168="",$K168=""),"",IF(MATCH($K168,DS!$H$2:$H$4,0)&gt;=MATCH($J168,DS!$H$2:$H$4,0),"✓","✗"))</f>
        <v/>
      </c>
      <c r="M168" s="31"/>
      <c r="N168" s="31"/>
      <c r="O168" s="31"/>
      <c r="P168" s="29"/>
      <c r="Q168" s="29"/>
      <c r="R168" s="30"/>
      <c r="S168" s="37" t="str">
        <f aca="false">IF($A168="","",N($I168)-N($R168))</f>
        <v/>
      </c>
      <c r="T168" s="34" t="str">
        <f aca="false">IF(OR($E168="",$F168=""),"",ROUND(($F168-$E168)*24,1))</f>
        <v/>
      </c>
      <c r="U168" s="34" t="str">
        <f aca="true">IF($E168="","",INT(IF($O168="",NOW(),$O168)-$E168))</f>
        <v/>
      </c>
      <c r="V168" s="34" t="str">
        <f aca="true">IF($E168="","",IF($F168="",IF((NOW()-$E168)*24&gt;24,"⚑",""),IF(($F168-$E168)*24&gt;24,"⚑","")))</f>
        <v/>
      </c>
      <c r="W168" s="34" t="str">
        <f aca="true">IF(OR($E168="",$O168&lt;&gt;""),"",IF(NOW()-$E168&gt;7,"⚑",""))</f>
        <v/>
      </c>
      <c r="X168" s="34" t="str">
        <f aca="false">IF($L168="✗","⚑","")</f>
        <v/>
      </c>
      <c r="Y168" s="29"/>
    </row>
    <row r="169" customFormat="false" ht="15" hidden="false" customHeight="false" outlineLevel="0" collapsed="false">
      <c r="A169" s="29"/>
      <c r="B169" s="29"/>
      <c r="C169" s="29"/>
      <c r="D169" s="29"/>
      <c r="E169" s="36"/>
      <c r="F169" s="36"/>
      <c r="G169" s="31"/>
      <c r="H169" s="29"/>
      <c r="I169" s="30"/>
      <c r="J169" s="34" t="str">
        <f aca="false">IF($I169="","",IF(OR($I169&gt;150,$H169="R4 Hoàn 100%"),"CEO",IF($I169&gt;50,"OPS","CX")))</f>
        <v/>
      </c>
      <c r="K169" s="29"/>
      <c r="L169" s="34" t="str">
        <f aca="false">IF(OR($J169="",$K169=""),"",IF(MATCH($K169,DS!$H$2:$H$4,0)&gt;=MATCH($J169,DS!$H$2:$H$4,0),"✓","✗"))</f>
        <v/>
      </c>
      <c r="M169" s="31"/>
      <c r="N169" s="31"/>
      <c r="O169" s="31"/>
      <c r="P169" s="29"/>
      <c r="Q169" s="29"/>
      <c r="R169" s="30"/>
      <c r="S169" s="37" t="str">
        <f aca="false">IF($A169="","",N($I169)-N($R169))</f>
        <v/>
      </c>
      <c r="T169" s="34" t="str">
        <f aca="false">IF(OR($E169="",$F169=""),"",ROUND(($F169-$E169)*24,1))</f>
        <v/>
      </c>
      <c r="U169" s="34" t="str">
        <f aca="true">IF($E169="","",INT(IF($O169="",NOW(),$O169)-$E169))</f>
        <v/>
      </c>
      <c r="V169" s="34" t="str">
        <f aca="true">IF($E169="","",IF($F169="",IF((NOW()-$E169)*24&gt;24,"⚑",""),IF(($F169-$E169)*24&gt;24,"⚑","")))</f>
        <v/>
      </c>
      <c r="W169" s="34" t="str">
        <f aca="true">IF(OR($E169="",$O169&lt;&gt;""),"",IF(NOW()-$E169&gt;7,"⚑",""))</f>
        <v/>
      </c>
      <c r="X169" s="34" t="str">
        <f aca="false">IF($L169="✗","⚑","")</f>
        <v/>
      </c>
      <c r="Y169" s="29"/>
    </row>
    <row r="170" customFormat="false" ht="15" hidden="false" customHeight="false" outlineLevel="0" collapsed="false">
      <c r="A170" s="29"/>
      <c r="B170" s="29"/>
      <c r="C170" s="29"/>
      <c r="D170" s="29"/>
      <c r="E170" s="36"/>
      <c r="F170" s="36"/>
      <c r="G170" s="31"/>
      <c r="H170" s="29"/>
      <c r="I170" s="30"/>
      <c r="J170" s="34" t="str">
        <f aca="false">IF($I170="","",IF(OR($I170&gt;150,$H170="R4 Hoàn 100%"),"CEO",IF($I170&gt;50,"OPS","CX")))</f>
        <v/>
      </c>
      <c r="K170" s="29"/>
      <c r="L170" s="34" t="str">
        <f aca="false">IF(OR($J170="",$K170=""),"",IF(MATCH($K170,DS!$H$2:$H$4,0)&gt;=MATCH($J170,DS!$H$2:$H$4,0),"✓","✗"))</f>
        <v/>
      </c>
      <c r="M170" s="31"/>
      <c r="N170" s="31"/>
      <c r="O170" s="31"/>
      <c r="P170" s="29"/>
      <c r="Q170" s="29"/>
      <c r="R170" s="30"/>
      <c r="S170" s="37" t="str">
        <f aca="false">IF($A170="","",N($I170)-N($R170))</f>
        <v/>
      </c>
      <c r="T170" s="34" t="str">
        <f aca="false">IF(OR($E170="",$F170=""),"",ROUND(($F170-$E170)*24,1))</f>
        <v/>
      </c>
      <c r="U170" s="34" t="str">
        <f aca="true">IF($E170="","",INT(IF($O170="",NOW(),$O170)-$E170))</f>
        <v/>
      </c>
      <c r="V170" s="34" t="str">
        <f aca="true">IF($E170="","",IF($F170="",IF((NOW()-$E170)*24&gt;24,"⚑",""),IF(($F170-$E170)*24&gt;24,"⚑","")))</f>
        <v/>
      </c>
      <c r="W170" s="34" t="str">
        <f aca="true">IF(OR($E170="",$O170&lt;&gt;""),"",IF(NOW()-$E170&gt;7,"⚑",""))</f>
        <v/>
      </c>
      <c r="X170" s="34" t="str">
        <f aca="false">IF($L170="✗","⚑","")</f>
        <v/>
      </c>
      <c r="Y170" s="29"/>
    </row>
    <row r="171" customFormat="false" ht="15" hidden="false" customHeight="false" outlineLevel="0" collapsed="false">
      <c r="A171" s="29"/>
      <c r="B171" s="29"/>
      <c r="C171" s="29"/>
      <c r="D171" s="29"/>
      <c r="E171" s="36"/>
      <c r="F171" s="36"/>
      <c r="G171" s="31"/>
      <c r="H171" s="29"/>
      <c r="I171" s="30"/>
      <c r="J171" s="34" t="str">
        <f aca="false">IF($I171="","",IF(OR($I171&gt;150,$H171="R4 Hoàn 100%"),"CEO",IF($I171&gt;50,"OPS","CX")))</f>
        <v/>
      </c>
      <c r="K171" s="29"/>
      <c r="L171" s="34" t="str">
        <f aca="false">IF(OR($J171="",$K171=""),"",IF(MATCH($K171,DS!$H$2:$H$4,0)&gt;=MATCH($J171,DS!$H$2:$H$4,0),"✓","✗"))</f>
        <v/>
      </c>
      <c r="M171" s="31"/>
      <c r="N171" s="31"/>
      <c r="O171" s="31"/>
      <c r="P171" s="29"/>
      <c r="Q171" s="29"/>
      <c r="R171" s="30"/>
      <c r="S171" s="37" t="str">
        <f aca="false">IF($A171="","",N($I171)-N($R171))</f>
        <v/>
      </c>
      <c r="T171" s="34" t="str">
        <f aca="false">IF(OR($E171="",$F171=""),"",ROUND(($F171-$E171)*24,1))</f>
        <v/>
      </c>
      <c r="U171" s="34" t="str">
        <f aca="true">IF($E171="","",INT(IF($O171="",NOW(),$O171)-$E171))</f>
        <v/>
      </c>
      <c r="V171" s="34" t="str">
        <f aca="true">IF($E171="","",IF($F171="",IF((NOW()-$E171)*24&gt;24,"⚑",""),IF(($F171-$E171)*24&gt;24,"⚑","")))</f>
        <v/>
      </c>
      <c r="W171" s="34" t="str">
        <f aca="true">IF(OR($E171="",$O171&lt;&gt;""),"",IF(NOW()-$E171&gt;7,"⚑",""))</f>
        <v/>
      </c>
      <c r="X171" s="34" t="str">
        <f aca="false">IF($L171="✗","⚑","")</f>
        <v/>
      </c>
      <c r="Y171" s="29"/>
    </row>
    <row r="172" customFormat="false" ht="15" hidden="false" customHeight="false" outlineLevel="0" collapsed="false">
      <c r="A172" s="29"/>
      <c r="B172" s="29"/>
      <c r="C172" s="29"/>
      <c r="D172" s="29"/>
      <c r="E172" s="36"/>
      <c r="F172" s="36"/>
      <c r="G172" s="31"/>
      <c r="H172" s="29"/>
      <c r="I172" s="30"/>
      <c r="J172" s="34" t="str">
        <f aca="false">IF($I172="","",IF(OR($I172&gt;150,$H172="R4 Hoàn 100%"),"CEO",IF($I172&gt;50,"OPS","CX")))</f>
        <v/>
      </c>
      <c r="K172" s="29"/>
      <c r="L172" s="34" t="str">
        <f aca="false">IF(OR($J172="",$K172=""),"",IF(MATCH($K172,DS!$H$2:$H$4,0)&gt;=MATCH($J172,DS!$H$2:$H$4,0),"✓","✗"))</f>
        <v/>
      </c>
      <c r="M172" s="31"/>
      <c r="N172" s="31"/>
      <c r="O172" s="31"/>
      <c r="P172" s="29"/>
      <c r="Q172" s="29"/>
      <c r="R172" s="30"/>
      <c r="S172" s="37" t="str">
        <f aca="false">IF($A172="","",N($I172)-N($R172))</f>
        <v/>
      </c>
      <c r="T172" s="34" t="str">
        <f aca="false">IF(OR($E172="",$F172=""),"",ROUND(($F172-$E172)*24,1))</f>
        <v/>
      </c>
      <c r="U172" s="34" t="str">
        <f aca="true">IF($E172="","",INT(IF($O172="",NOW(),$O172)-$E172))</f>
        <v/>
      </c>
      <c r="V172" s="34" t="str">
        <f aca="true">IF($E172="","",IF($F172="",IF((NOW()-$E172)*24&gt;24,"⚑",""),IF(($F172-$E172)*24&gt;24,"⚑","")))</f>
        <v/>
      </c>
      <c r="W172" s="34" t="str">
        <f aca="true">IF(OR($E172="",$O172&lt;&gt;""),"",IF(NOW()-$E172&gt;7,"⚑",""))</f>
        <v/>
      </c>
      <c r="X172" s="34" t="str">
        <f aca="false">IF($L172="✗","⚑","")</f>
        <v/>
      </c>
      <c r="Y172" s="29"/>
    </row>
    <row r="173" customFormat="false" ht="15" hidden="false" customHeight="false" outlineLevel="0" collapsed="false">
      <c r="A173" s="29"/>
      <c r="B173" s="29"/>
      <c r="C173" s="29"/>
      <c r="D173" s="29"/>
      <c r="E173" s="36"/>
      <c r="F173" s="36"/>
      <c r="G173" s="31"/>
      <c r="H173" s="29"/>
      <c r="I173" s="30"/>
      <c r="J173" s="34" t="str">
        <f aca="false">IF($I173="","",IF(OR($I173&gt;150,$H173="R4 Hoàn 100%"),"CEO",IF($I173&gt;50,"OPS","CX")))</f>
        <v/>
      </c>
      <c r="K173" s="29"/>
      <c r="L173" s="34" t="str">
        <f aca="false">IF(OR($J173="",$K173=""),"",IF(MATCH($K173,DS!$H$2:$H$4,0)&gt;=MATCH($J173,DS!$H$2:$H$4,0),"✓","✗"))</f>
        <v/>
      </c>
      <c r="M173" s="31"/>
      <c r="N173" s="31"/>
      <c r="O173" s="31"/>
      <c r="P173" s="29"/>
      <c r="Q173" s="29"/>
      <c r="R173" s="30"/>
      <c r="S173" s="37" t="str">
        <f aca="false">IF($A173="","",N($I173)-N($R173))</f>
        <v/>
      </c>
      <c r="T173" s="34" t="str">
        <f aca="false">IF(OR($E173="",$F173=""),"",ROUND(($F173-$E173)*24,1))</f>
        <v/>
      </c>
      <c r="U173" s="34" t="str">
        <f aca="true">IF($E173="","",INT(IF($O173="",NOW(),$O173)-$E173))</f>
        <v/>
      </c>
      <c r="V173" s="34" t="str">
        <f aca="true">IF($E173="","",IF($F173="",IF((NOW()-$E173)*24&gt;24,"⚑",""),IF(($F173-$E173)*24&gt;24,"⚑","")))</f>
        <v/>
      </c>
      <c r="W173" s="34" t="str">
        <f aca="true">IF(OR($E173="",$O173&lt;&gt;""),"",IF(NOW()-$E173&gt;7,"⚑",""))</f>
        <v/>
      </c>
      <c r="X173" s="34" t="str">
        <f aca="false">IF($L173="✗","⚑","")</f>
        <v/>
      </c>
      <c r="Y173" s="29"/>
    </row>
    <row r="174" customFormat="false" ht="15" hidden="false" customHeight="false" outlineLevel="0" collapsed="false">
      <c r="A174" s="29"/>
      <c r="B174" s="29"/>
      <c r="C174" s="29"/>
      <c r="D174" s="29"/>
      <c r="E174" s="36"/>
      <c r="F174" s="36"/>
      <c r="G174" s="31"/>
      <c r="H174" s="29"/>
      <c r="I174" s="30"/>
      <c r="J174" s="34" t="str">
        <f aca="false">IF($I174="","",IF(OR($I174&gt;150,$H174="R4 Hoàn 100%"),"CEO",IF($I174&gt;50,"OPS","CX")))</f>
        <v/>
      </c>
      <c r="K174" s="29"/>
      <c r="L174" s="34" t="str">
        <f aca="false">IF(OR($J174="",$K174=""),"",IF(MATCH($K174,DS!$H$2:$H$4,0)&gt;=MATCH($J174,DS!$H$2:$H$4,0),"✓","✗"))</f>
        <v/>
      </c>
      <c r="M174" s="31"/>
      <c r="N174" s="31"/>
      <c r="O174" s="31"/>
      <c r="P174" s="29"/>
      <c r="Q174" s="29"/>
      <c r="R174" s="30"/>
      <c r="S174" s="37" t="str">
        <f aca="false">IF($A174="","",N($I174)-N($R174))</f>
        <v/>
      </c>
      <c r="T174" s="34" t="str">
        <f aca="false">IF(OR($E174="",$F174=""),"",ROUND(($F174-$E174)*24,1))</f>
        <v/>
      </c>
      <c r="U174" s="34" t="str">
        <f aca="true">IF($E174="","",INT(IF($O174="",NOW(),$O174)-$E174))</f>
        <v/>
      </c>
      <c r="V174" s="34" t="str">
        <f aca="true">IF($E174="","",IF($F174="",IF((NOW()-$E174)*24&gt;24,"⚑",""),IF(($F174-$E174)*24&gt;24,"⚑","")))</f>
        <v/>
      </c>
      <c r="W174" s="34" t="str">
        <f aca="true">IF(OR($E174="",$O174&lt;&gt;""),"",IF(NOW()-$E174&gt;7,"⚑",""))</f>
        <v/>
      </c>
      <c r="X174" s="34" t="str">
        <f aca="false">IF($L174="✗","⚑","")</f>
        <v/>
      </c>
      <c r="Y174" s="29"/>
    </row>
    <row r="175" customFormat="false" ht="15" hidden="false" customHeight="false" outlineLevel="0" collapsed="false">
      <c r="A175" s="29"/>
      <c r="B175" s="29"/>
      <c r="C175" s="29"/>
      <c r="D175" s="29"/>
      <c r="E175" s="36"/>
      <c r="F175" s="36"/>
      <c r="G175" s="31"/>
      <c r="H175" s="29"/>
      <c r="I175" s="30"/>
      <c r="J175" s="34" t="str">
        <f aca="false">IF($I175="","",IF(OR($I175&gt;150,$H175="R4 Hoàn 100%"),"CEO",IF($I175&gt;50,"OPS","CX")))</f>
        <v/>
      </c>
      <c r="K175" s="29"/>
      <c r="L175" s="34" t="str">
        <f aca="false">IF(OR($J175="",$K175=""),"",IF(MATCH($K175,DS!$H$2:$H$4,0)&gt;=MATCH($J175,DS!$H$2:$H$4,0),"✓","✗"))</f>
        <v/>
      </c>
      <c r="M175" s="31"/>
      <c r="N175" s="31"/>
      <c r="O175" s="31"/>
      <c r="P175" s="29"/>
      <c r="Q175" s="29"/>
      <c r="R175" s="30"/>
      <c r="S175" s="37" t="str">
        <f aca="false">IF($A175="","",N($I175)-N($R175))</f>
        <v/>
      </c>
      <c r="T175" s="34" t="str">
        <f aca="false">IF(OR($E175="",$F175=""),"",ROUND(($F175-$E175)*24,1))</f>
        <v/>
      </c>
      <c r="U175" s="34" t="str">
        <f aca="true">IF($E175="","",INT(IF($O175="",NOW(),$O175)-$E175))</f>
        <v/>
      </c>
      <c r="V175" s="34" t="str">
        <f aca="true">IF($E175="","",IF($F175="",IF((NOW()-$E175)*24&gt;24,"⚑",""),IF(($F175-$E175)*24&gt;24,"⚑","")))</f>
        <v/>
      </c>
      <c r="W175" s="34" t="str">
        <f aca="true">IF(OR($E175="",$O175&lt;&gt;""),"",IF(NOW()-$E175&gt;7,"⚑",""))</f>
        <v/>
      </c>
      <c r="X175" s="34" t="str">
        <f aca="false">IF($L175="✗","⚑","")</f>
        <v/>
      </c>
      <c r="Y175" s="29"/>
    </row>
    <row r="176" customFormat="false" ht="15" hidden="false" customHeight="false" outlineLevel="0" collapsed="false">
      <c r="A176" s="29"/>
      <c r="B176" s="29"/>
      <c r="C176" s="29"/>
      <c r="D176" s="29"/>
      <c r="E176" s="36"/>
      <c r="F176" s="36"/>
      <c r="G176" s="31"/>
      <c r="H176" s="29"/>
      <c r="I176" s="30"/>
      <c r="J176" s="34" t="str">
        <f aca="false">IF($I176="","",IF(OR($I176&gt;150,$H176="R4 Hoàn 100%"),"CEO",IF($I176&gt;50,"OPS","CX")))</f>
        <v/>
      </c>
      <c r="K176" s="29"/>
      <c r="L176" s="34" t="str">
        <f aca="false">IF(OR($J176="",$K176=""),"",IF(MATCH($K176,DS!$H$2:$H$4,0)&gt;=MATCH($J176,DS!$H$2:$H$4,0),"✓","✗"))</f>
        <v/>
      </c>
      <c r="M176" s="31"/>
      <c r="N176" s="31"/>
      <c r="O176" s="31"/>
      <c r="P176" s="29"/>
      <c r="Q176" s="29"/>
      <c r="R176" s="30"/>
      <c r="S176" s="37" t="str">
        <f aca="false">IF($A176="","",N($I176)-N($R176))</f>
        <v/>
      </c>
      <c r="T176" s="34" t="str">
        <f aca="false">IF(OR($E176="",$F176=""),"",ROUND(($F176-$E176)*24,1))</f>
        <v/>
      </c>
      <c r="U176" s="34" t="str">
        <f aca="true">IF($E176="","",INT(IF($O176="",NOW(),$O176)-$E176))</f>
        <v/>
      </c>
      <c r="V176" s="34" t="str">
        <f aca="true">IF($E176="","",IF($F176="",IF((NOW()-$E176)*24&gt;24,"⚑",""),IF(($F176-$E176)*24&gt;24,"⚑","")))</f>
        <v/>
      </c>
      <c r="W176" s="34" t="str">
        <f aca="true">IF(OR($E176="",$O176&lt;&gt;""),"",IF(NOW()-$E176&gt;7,"⚑",""))</f>
        <v/>
      </c>
      <c r="X176" s="34" t="str">
        <f aca="false">IF($L176="✗","⚑","")</f>
        <v/>
      </c>
      <c r="Y176" s="29"/>
    </row>
    <row r="177" customFormat="false" ht="15" hidden="false" customHeight="false" outlineLevel="0" collapsed="false">
      <c r="A177" s="29"/>
      <c r="B177" s="29"/>
      <c r="C177" s="29"/>
      <c r="D177" s="29"/>
      <c r="E177" s="36"/>
      <c r="F177" s="36"/>
      <c r="G177" s="31"/>
      <c r="H177" s="29"/>
      <c r="I177" s="30"/>
      <c r="J177" s="34" t="str">
        <f aca="false">IF($I177="","",IF(OR($I177&gt;150,$H177="R4 Hoàn 100%"),"CEO",IF($I177&gt;50,"OPS","CX")))</f>
        <v/>
      </c>
      <c r="K177" s="29"/>
      <c r="L177" s="34" t="str">
        <f aca="false">IF(OR($J177="",$K177=""),"",IF(MATCH($K177,DS!$H$2:$H$4,0)&gt;=MATCH($J177,DS!$H$2:$H$4,0),"✓","✗"))</f>
        <v/>
      </c>
      <c r="M177" s="31"/>
      <c r="N177" s="31"/>
      <c r="O177" s="31"/>
      <c r="P177" s="29"/>
      <c r="Q177" s="29"/>
      <c r="R177" s="30"/>
      <c r="S177" s="37" t="str">
        <f aca="false">IF($A177="","",N($I177)-N($R177))</f>
        <v/>
      </c>
      <c r="T177" s="34" t="str">
        <f aca="false">IF(OR($E177="",$F177=""),"",ROUND(($F177-$E177)*24,1))</f>
        <v/>
      </c>
      <c r="U177" s="34" t="str">
        <f aca="true">IF($E177="","",INT(IF($O177="",NOW(),$O177)-$E177))</f>
        <v/>
      </c>
      <c r="V177" s="34" t="str">
        <f aca="true">IF($E177="","",IF($F177="",IF((NOW()-$E177)*24&gt;24,"⚑",""),IF(($F177-$E177)*24&gt;24,"⚑","")))</f>
        <v/>
      </c>
      <c r="W177" s="34" t="str">
        <f aca="true">IF(OR($E177="",$O177&lt;&gt;""),"",IF(NOW()-$E177&gt;7,"⚑",""))</f>
        <v/>
      </c>
      <c r="X177" s="34" t="str">
        <f aca="false">IF($L177="✗","⚑","")</f>
        <v/>
      </c>
      <c r="Y177" s="29"/>
    </row>
    <row r="178" customFormat="false" ht="15" hidden="false" customHeight="false" outlineLevel="0" collapsed="false">
      <c r="A178" s="29"/>
      <c r="B178" s="29"/>
      <c r="C178" s="29"/>
      <c r="D178" s="29"/>
      <c r="E178" s="36"/>
      <c r="F178" s="36"/>
      <c r="G178" s="31"/>
      <c r="H178" s="29"/>
      <c r="I178" s="30"/>
      <c r="J178" s="34" t="str">
        <f aca="false">IF($I178="","",IF(OR($I178&gt;150,$H178="R4 Hoàn 100%"),"CEO",IF($I178&gt;50,"OPS","CX")))</f>
        <v/>
      </c>
      <c r="K178" s="29"/>
      <c r="L178" s="34" t="str">
        <f aca="false">IF(OR($J178="",$K178=""),"",IF(MATCH($K178,DS!$H$2:$H$4,0)&gt;=MATCH($J178,DS!$H$2:$H$4,0),"✓","✗"))</f>
        <v/>
      </c>
      <c r="M178" s="31"/>
      <c r="N178" s="31"/>
      <c r="O178" s="31"/>
      <c r="P178" s="29"/>
      <c r="Q178" s="29"/>
      <c r="R178" s="30"/>
      <c r="S178" s="37" t="str">
        <f aca="false">IF($A178="","",N($I178)-N($R178))</f>
        <v/>
      </c>
      <c r="T178" s="34" t="str">
        <f aca="false">IF(OR($E178="",$F178=""),"",ROUND(($F178-$E178)*24,1))</f>
        <v/>
      </c>
      <c r="U178" s="34" t="str">
        <f aca="true">IF($E178="","",INT(IF($O178="",NOW(),$O178)-$E178))</f>
        <v/>
      </c>
      <c r="V178" s="34" t="str">
        <f aca="true">IF($E178="","",IF($F178="",IF((NOW()-$E178)*24&gt;24,"⚑",""),IF(($F178-$E178)*24&gt;24,"⚑","")))</f>
        <v/>
      </c>
      <c r="W178" s="34" t="str">
        <f aca="true">IF(OR($E178="",$O178&lt;&gt;""),"",IF(NOW()-$E178&gt;7,"⚑",""))</f>
        <v/>
      </c>
      <c r="X178" s="34" t="str">
        <f aca="false">IF($L178="✗","⚑","")</f>
        <v/>
      </c>
      <c r="Y178" s="29"/>
    </row>
    <row r="179" customFormat="false" ht="15" hidden="false" customHeight="false" outlineLevel="0" collapsed="false">
      <c r="A179" s="29"/>
      <c r="B179" s="29"/>
      <c r="C179" s="29"/>
      <c r="D179" s="29"/>
      <c r="E179" s="36"/>
      <c r="F179" s="36"/>
      <c r="G179" s="31"/>
      <c r="H179" s="29"/>
      <c r="I179" s="30"/>
      <c r="J179" s="34" t="str">
        <f aca="false">IF($I179="","",IF(OR($I179&gt;150,$H179="R4 Hoàn 100%"),"CEO",IF($I179&gt;50,"OPS","CX")))</f>
        <v/>
      </c>
      <c r="K179" s="29"/>
      <c r="L179" s="34" t="str">
        <f aca="false">IF(OR($J179="",$K179=""),"",IF(MATCH($K179,DS!$H$2:$H$4,0)&gt;=MATCH($J179,DS!$H$2:$H$4,0),"✓","✗"))</f>
        <v/>
      </c>
      <c r="M179" s="31"/>
      <c r="N179" s="31"/>
      <c r="O179" s="31"/>
      <c r="P179" s="29"/>
      <c r="Q179" s="29"/>
      <c r="R179" s="30"/>
      <c r="S179" s="37" t="str">
        <f aca="false">IF($A179="","",N($I179)-N($R179))</f>
        <v/>
      </c>
      <c r="T179" s="34" t="str">
        <f aca="false">IF(OR($E179="",$F179=""),"",ROUND(($F179-$E179)*24,1))</f>
        <v/>
      </c>
      <c r="U179" s="34" t="str">
        <f aca="true">IF($E179="","",INT(IF($O179="",NOW(),$O179)-$E179))</f>
        <v/>
      </c>
      <c r="V179" s="34" t="str">
        <f aca="true">IF($E179="","",IF($F179="",IF((NOW()-$E179)*24&gt;24,"⚑",""),IF(($F179-$E179)*24&gt;24,"⚑","")))</f>
        <v/>
      </c>
      <c r="W179" s="34" t="str">
        <f aca="true">IF(OR($E179="",$O179&lt;&gt;""),"",IF(NOW()-$E179&gt;7,"⚑",""))</f>
        <v/>
      </c>
      <c r="X179" s="34" t="str">
        <f aca="false">IF($L179="✗","⚑","")</f>
        <v/>
      </c>
      <c r="Y179" s="29"/>
    </row>
    <row r="180" customFormat="false" ht="15" hidden="false" customHeight="false" outlineLevel="0" collapsed="false">
      <c r="A180" s="29"/>
      <c r="B180" s="29"/>
      <c r="C180" s="29"/>
      <c r="D180" s="29"/>
      <c r="E180" s="36"/>
      <c r="F180" s="36"/>
      <c r="G180" s="31"/>
      <c r="H180" s="29"/>
      <c r="I180" s="30"/>
      <c r="J180" s="34" t="str">
        <f aca="false">IF($I180="","",IF(OR($I180&gt;150,$H180="R4 Hoàn 100%"),"CEO",IF($I180&gt;50,"OPS","CX")))</f>
        <v/>
      </c>
      <c r="K180" s="29"/>
      <c r="L180" s="34" t="str">
        <f aca="false">IF(OR($J180="",$K180=""),"",IF(MATCH($K180,DS!$H$2:$H$4,0)&gt;=MATCH($J180,DS!$H$2:$H$4,0),"✓","✗"))</f>
        <v/>
      </c>
      <c r="M180" s="31"/>
      <c r="N180" s="31"/>
      <c r="O180" s="31"/>
      <c r="P180" s="29"/>
      <c r="Q180" s="29"/>
      <c r="R180" s="30"/>
      <c r="S180" s="37" t="str">
        <f aca="false">IF($A180="","",N($I180)-N($R180))</f>
        <v/>
      </c>
      <c r="T180" s="34" t="str">
        <f aca="false">IF(OR($E180="",$F180=""),"",ROUND(($F180-$E180)*24,1))</f>
        <v/>
      </c>
      <c r="U180" s="34" t="str">
        <f aca="true">IF($E180="","",INT(IF($O180="",NOW(),$O180)-$E180))</f>
        <v/>
      </c>
      <c r="V180" s="34" t="str">
        <f aca="true">IF($E180="","",IF($F180="",IF((NOW()-$E180)*24&gt;24,"⚑",""),IF(($F180-$E180)*24&gt;24,"⚑","")))</f>
        <v/>
      </c>
      <c r="W180" s="34" t="str">
        <f aca="true">IF(OR($E180="",$O180&lt;&gt;""),"",IF(NOW()-$E180&gt;7,"⚑",""))</f>
        <v/>
      </c>
      <c r="X180" s="34" t="str">
        <f aca="false">IF($L180="✗","⚑","")</f>
        <v/>
      </c>
      <c r="Y180" s="29"/>
    </row>
    <row r="181" customFormat="false" ht="15" hidden="false" customHeight="false" outlineLevel="0" collapsed="false">
      <c r="A181" s="29"/>
      <c r="B181" s="29"/>
      <c r="C181" s="29"/>
      <c r="D181" s="29"/>
      <c r="E181" s="36"/>
      <c r="F181" s="36"/>
      <c r="G181" s="31"/>
      <c r="H181" s="29"/>
      <c r="I181" s="30"/>
      <c r="J181" s="34" t="str">
        <f aca="false">IF($I181="","",IF(OR($I181&gt;150,$H181="R4 Hoàn 100%"),"CEO",IF($I181&gt;50,"OPS","CX")))</f>
        <v/>
      </c>
      <c r="K181" s="29"/>
      <c r="L181" s="34" t="str">
        <f aca="false">IF(OR($J181="",$K181=""),"",IF(MATCH($K181,DS!$H$2:$H$4,0)&gt;=MATCH($J181,DS!$H$2:$H$4,0),"✓","✗"))</f>
        <v/>
      </c>
      <c r="M181" s="31"/>
      <c r="N181" s="31"/>
      <c r="O181" s="31"/>
      <c r="P181" s="29"/>
      <c r="Q181" s="29"/>
      <c r="R181" s="30"/>
      <c r="S181" s="37" t="str">
        <f aca="false">IF($A181="","",N($I181)-N($R181))</f>
        <v/>
      </c>
      <c r="T181" s="34" t="str">
        <f aca="false">IF(OR($E181="",$F181=""),"",ROUND(($F181-$E181)*24,1))</f>
        <v/>
      </c>
      <c r="U181" s="34" t="str">
        <f aca="true">IF($E181="","",INT(IF($O181="",NOW(),$O181)-$E181))</f>
        <v/>
      </c>
      <c r="V181" s="34" t="str">
        <f aca="true">IF($E181="","",IF($F181="",IF((NOW()-$E181)*24&gt;24,"⚑",""),IF(($F181-$E181)*24&gt;24,"⚑","")))</f>
        <v/>
      </c>
      <c r="W181" s="34" t="str">
        <f aca="true">IF(OR($E181="",$O181&lt;&gt;""),"",IF(NOW()-$E181&gt;7,"⚑",""))</f>
        <v/>
      </c>
      <c r="X181" s="34" t="str">
        <f aca="false">IF($L181="✗","⚑","")</f>
        <v/>
      </c>
      <c r="Y181" s="29"/>
    </row>
    <row r="182" customFormat="false" ht="15" hidden="false" customHeight="false" outlineLevel="0" collapsed="false">
      <c r="A182" s="29"/>
      <c r="B182" s="29"/>
      <c r="C182" s="29"/>
      <c r="D182" s="29"/>
      <c r="E182" s="36"/>
      <c r="F182" s="36"/>
      <c r="G182" s="31"/>
      <c r="H182" s="29"/>
      <c r="I182" s="30"/>
      <c r="J182" s="34" t="str">
        <f aca="false">IF($I182="","",IF(OR($I182&gt;150,$H182="R4 Hoàn 100%"),"CEO",IF($I182&gt;50,"OPS","CX")))</f>
        <v/>
      </c>
      <c r="K182" s="29"/>
      <c r="L182" s="34" t="str">
        <f aca="false">IF(OR($J182="",$K182=""),"",IF(MATCH($K182,DS!$H$2:$H$4,0)&gt;=MATCH($J182,DS!$H$2:$H$4,0),"✓","✗"))</f>
        <v/>
      </c>
      <c r="M182" s="31"/>
      <c r="N182" s="31"/>
      <c r="O182" s="31"/>
      <c r="P182" s="29"/>
      <c r="Q182" s="29"/>
      <c r="R182" s="30"/>
      <c r="S182" s="37" t="str">
        <f aca="false">IF($A182="","",N($I182)-N($R182))</f>
        <v/>
      </c>
      <c r="T182" s="34" t="str">
        <f aca="false">IF(OR($E182="",$F182=""),"",ROUND(($F182-$E182)*24,1))</f>
        <v/>
      </c>
      <c r="U182" s="34" t="str">
        <f aca="true">IF($E182="","",INT(IF($O182="",NOW(),$O182)-$E182))</f>
        <v/>
      </c>
      <c r="V182" s="34" t="str">
        <f aca="true">IF($E182="","",IF($F182="",IF((NOW()-$E182)*24&gt;24,"⚑",""),IF(($F182-$E182)*24&gt;24,"⚑","")))</f>
        <v/>
      </c>
      <c r="W182" s="34" t="str">
        <f aca="true">IF(OR($E182="",$O182&lt;&gt;""),"",IF(NOW()-$E182&gt;7,"⚑",""))</f>
        <v/>
      </c>
      <c r="X182" s="34" t="str">
        <f aca="false">IF($L182="✗","⚑","")</f>
        <v/>
      </c>
      <c r="Y182" s="29"/>
    </row>
    <row r="183" customFormat="false" ht="15" hidden="false" customHeight="false" outlineLevel="0" collapsed="false">
      <c r="A183" s="29"/>
      <c r="B183" s="29"/>
      <c r="C183" s="29"/>
      <c r="D183" s="29"/>
      <c r="E183" s="36"/>
      <c r="F183" s="36"/>
      <c r="G183" s="31"/>
      <c r="H183" s="29"/>
      <c r="I183" s="30"/>
      <c r="J183" s="34" t="str">
        <f aca="false">IF($I183="","",IF(OR($I183&gt;150,$H183="R4 Hoàn 100%"),"CEO",IF($I183&gt;50,"OPS","CX")))</f>
        <v/>
      </c>
      <c r="K183" s="29"/>
      <c r="L183" s="34" t="str">
        <f aca="false">IF(OR($J183="",$K183=""),"",IF(MATCH($K183,DS!$H$2:$H$4,0)&gt;=MATCH($J183,DS!$H$2:$H$4,0),"✓","✗"))</f>
        <v/>
      </c>
      <c r="M183" s="31"/>
      <c r="N183" s="31"/>
      <c r="O183" s="31"/>
      <c r="P183" s="29"/>
      <c r="Q183" s="29"/>
      <c r="R183" s="30"/>
      <c r="S183" s="37" t="str">
        <f aca="false">IF($A183="","",N($I183)-N($R183))</f>
        <v/>
      </c>
      <c r="T183" s="34" t="str">
        <f aca="false">IF(OR($E183="",$F183=""),"",ROUND(($F183-$E183)*24,1))</f>
        <v/>
      </c>
      <c r="U183" s="34" t="str">
        <f aca="true">IF($E183="","",INT(IF($O183="",NOW(),$O183)-$E183))</f>
        <v/>
      </c>
      <c r="V183" s="34" t="str">
        <f aca="true">IF($E183="","",IF($F183="",IF((NOW()-$E183)*24&gt;24,"⚑",""),IF(($F183-$E183)*24&gt;24,"⚑","")))</f>
        <v/>
      </c>
      <c r="W183" s="34" t="str">
        <f aca="true">IF(OR($E183="",$O183&lt;&gt;""),"",IF(NOW()-$E183&gt;7,"⚑",""))</f>
        <v/>
      </c>
      <c r="X183" s="34" t="str">
        <f aca="false">IF($L183="✗","⚑","")</f>
        <v/>
      </c>
      <c r="Y183" s="29"/>
    </row>
    <row r="184" customFormat="false" ht="15" hidden="false" customHeight="false" outlineLevel="0" collapsed="false">
      <c r="A184" s="29"/>
      <c r="B184" s="29"/>
      <c r="C184" s="29"/>
      <c r="D184" s="29"/>
      <c r="E184" s="36"/>
      <c r="F184" s="36"/>
      <c r="G184" s="31"/>
      <c r="H184" s="29"/>
      <c r="I184" s="30"/>
      <c r="J184" s="34" t="str">
        <f aca="false">IF($I184="","",IF(OR($I184&gt;150,$H184="R4 Hoàn 100%"),"CEO",IF($I184&gt;50,"OPS","CX")))</f>
        <v/>
      </c>
      <c r="K184" s="29"/>
      <c r="L184" s="34" t="str">
        <f aca="false">IF(OR($J184="",$K184=""),"",IF(MATCH($K184,DS!$H$2:$H$4,0)&gt;=MATCH($J184,DS!$H$2:$H$4,0),"✓","✗"))</f>
        <v/>
      </c>
      <c r="M184" s="31"/>
      <c r="N184" s="31"/>
      <c r="O184" s="31"/>
      <c r="P184" s="29"/>
      <c r="Q184" s="29"/>
      <c r="R184" s="30"/>
      <c r="S184" s="37" t="str">
        <f aca="false">IF($A184="","",N($I184)-N($R184))</f>
        <v/>
      </c>
      <c r="T184" s="34" t="str">
        <f aca="false">IF(OR($E184="",$F184=""),"",ROUND(($F184-$E184)*24,1))</f>
        <v/>
      </c>
      <c r="U184" s="34" t="str">
        <f aca="true">IF($E184="","",INT(IF($O184="",NOW(),$O184)-$E184))</f>
        <v/>
      </c>
      <c r="V184" s="34" t="str">
        <f aca="true">IF($E184="","",IF($F184="",IF((NOW()-$E184)*24&gt;24,"⚑",""),IF(($F184-$E184)*24&gt;24,"⚑","")))</f>
        <v/>
      </c>
      <c r="W184" s="34" t="str">
        <f aca="true">IF(OR($E184="",$O184&lt;&gt;""),"",IF(NOW()-$E184&gt;7,"⚑",""))</f>
        <v/>
      </c>
      <c r="X184" s="34" t="str">
        <f aca="false">IF($L184="✗","⚑","")</f>
        <v/>
      </c>
      <c r="Y184" s="29"/>
    </row>
    <row r="185" customFormat="false" ht="15" hidden="false" customHeight="false" outlineLevel="0" collapsed="false">
      <c r="A185" s="29"/>
      <c r="B185" s="29"/>
      <c r="C185" s="29"/>
      <c r="D185" s="29"/>
      <c r="E185" s="36"/>
      <c r="F185" s="36"/>
      <c r="G185" s="31"/>
      <c r="H185" s="29"/>
      <c r="I185" s="30"/>
      <c r="J185" s="34" t="str">
        <f aca="false">IF($I185="","",IF(OR($I185&gt;150,$H185="R4 Hoàn 100%"),"CEO",IF($I185&gt;50,"OPS","CX")))</f>
        <v/>
      </c>
      <c r="K185" s="29"/>
      <c r="L185" s="34" t="str">
        <f aca="false">IF(OR($J185="",$K185=""),"",IF(MATCH($K185,DS!$H$2:$H$4,0)&gt;=MATCH($J185,DS!$H$2:$H$4,0),"✓","✗"))</f>
        <v/>
      </c>
      <c r="M185" s="31"/>
      <c r="N185" s="31"/>
      <c r="O185" s="31"/>
      <c r="P185" s="29"/>
      <c r="Q185" s="29"/>
      <c r="R185" s="30"/>
      <c r="S185" s="37" t="str">
        <f aca="false">IF($A185="","",N($I185)-N($R185))</f>
        <v/>
      </c>
      <c r="T185" s="34" t="str">
        <f aca="false">IF(OR($E185="",$F185=""),"",ROUND(($F185-$E185)*24,1))</f>
        <v/>
      </c>
      <c r="U185" s="34" t="str">
        <f aca="true">IF($E185="","",INT(IF($O185="",NOW(),$O185)-$E185))</f>
        <v/>
      </c>
      <c r="V185" s="34" t="str">
        <f aca="true">IF($E185="","",IF($F185="",IF((NOW()-$E185)*24&gt;24,"⚑",""),IF(($F185-$E185)*24&gt;24,"⚑","")))</f>
        <v/>
      </c>
      <c r="W185" s="34" t="str">
        <f aca="true">IF(OR($E185="",$O185&lt;&gt;""),"",IF(NOW()-$E185&gt;7,"⚑",""))</f>
        <v/>
      </c>
      <c r="X185" s="34" t="str">
        <f aca="false">IF($L185="✗","⚑","")</f>
        <v/>
      </c>
      <c r="Y185" s="29"/>
    </row>
    <row r="186" customFormat="false" ht="15" hidden="false" customHeight="false" outlineLevel="0" collapsed="false">
      <c r="A186" s="29"/>
      <c r="B186" s="29"/>
      <c r="C186" s="29"/>
      <c r="D186" s="29"/>
      <c r="E186" s="36"/>
      <c r="F186" s="36"/>
      <c r="G186" s="31"/>
      <c r="H186" s="29"/>
      <c r="I186" s="30"/>
      <c r="J186" s="34" t="str">
        <f aca="false">IF($I186="","",IF(OR($I186&gt;150,$H186="R4 Hoàn 100%"),"CEO",IF($I186&gt;50,"OPS","CX")))</f>
        <v/>
      </c>
      <c r="K186" s="29"/>
      <c r="L186" s="34" t="str">
        <f aca="false">IF(OR($J186="",$K186=""),"",IF(MATCH($K186,DS!$H$2:$H$4,0)&gt;=MATCH($J186,DS!$H$2:$H$4,0),"✓","✗"))</f>
        <v/>
      </c>
      <c r="M186" s="31"/>
      <c r="N186" s="31"/>
      <c r="O186" s="31"/>
      <c r="P186" s="29"/>
      <c r="Q186" s="29"/>
      <c r="R186" s="30"/>
      <c r="S186" s="37" t="str">
        <f aca="false">IF($A186="","",N($I186)-N($R186))</f>
        <v/>
      </c>
      <c r="T186" s="34" t="str">
        <f aca="false">IF(OR($E186="",$F186=""),"",ROUND(($F186-$E186)*24,1))</f>
        <v/>
      </c>
      <c r="U186" s="34" t="str">
        <f aca="true">IF($E186="","",INT(IF($O186="",NOW(),$O186)-$E186))</f>
        <v/>
      </c>
      <c r="V186" s="34" t="str">
        <f aca="true">IF($E186="","",IF($F186="",IF((NOW()-$E186)*24&gt;24,"⚑",""),IF(($F186-$E186)*24&gt;24,"⚑","")))</f>
        <v/>
      </c>
      <c r="W186" s="34" t="str">
        <f aca="true">IF(OR($E186="",$O186&lt;&gt;""),"",IF(NOW()-$E186&gt;7,"⚑",""))</f>
        <v/>
      </c>
      <c r="X186" s="34" t="str">
        <f aca="false">IF($L186="✗","⚑","")</f>
        <v/>
      </c>
      <c r="Y186" s="29"/>
    </row>
    <row r="187" customFormat="false" ht="15" hidden="false" customHeight="false" outlineLevel="0" collapsed="false">
      <c r="A187" s="29"/>
      <c r="B187" s="29"/>
      <c r="C187" s="29"/>
      <c r="D187" s="29"/>
      <c r="E187" s="36"/>
      <c r="F187" s="36"/>
      <c r="G187" s="31"/>
      <c r="H187" s="29"/>
      <c r="I187" s="30"/>
      <c r="J187" s="34" t="str">
        <f aca="false">IF($I187="","",IF(OR($I187&gt;150,$H187="R4 Hoàn 100%"),"CEO",IF($I187&gt;50,"OPS","CX")))</f>
        <v/>
      </c>
      <c r="K187" s="29"/>
      <c r="L187" s="34" t="str">
        <f aca="false">IF(OR($J187="",$K187=""),"",IF(MATCH($K187,DS!$H$2:$H$4,0)&gt;=MATCH($J187,DS!$H$2:$H$4,0),"✓","✗"))</f>
        <v/>
      </c>
      <c r="M187" s="31"/>
      <c r="N187" s="31"/>
      <c r="O187" s="31"/>
      <c r="P187" s="29"/>
      <c r="Q187" s="29"/>
      <c r="R187" s="30"/>
      <c r="S187" s="37" t="str">
        <f aca="false">IF($A187="","",N($I187)-N($R187))</f>
        <v/>
      </c>
      <c r="T187" s="34" t="str">
        <f aca="false">IF(OR($E187="",$F187=""),"",ROUND(($F187-$E187)*24,1))</f>
        <v/>
      </c>
      <c r="U187" s="34" t="str">
        <f aca="true">IF($E187="","",INT(IF($O187="",NOW(),$O187)-$E187))</f>
        <v/>
      </c>
      <c r="V187" s="34" t="str">
        <f aca="true">IF($E187="","",IF($F187="",IF((NOW()-$E187)*24&gt;24,"⚑",""),IF(($F187-$E187)*24&gt;24,"⚑","")))</f>
        <v/>
      </c>
      <c r="W187" s="34" t="str">
        <f aca="true">IF(OR($E187="",$O187&lt;&gt;""),"",IF(NOW()-$E187&gt;7,"⚑",""))</f>
        <v/>
      </c>
      <c r="X187" s="34" t="str">
        <f aca="false">IF($L187="✗","⚑","")</f>
        <v/>
      </c>
      <c r="Y187" s="29"/>
    </row>
    <row r="188" customFormat="false" ht="15" hidden="false" customHeight="false" outlineLevel="0" collapsed="false">
      <c r="A188" s="29"/>
      <c r="B188" s="29"/>
      <c r="C188" s="29"/>
      <c r="D188" s="29"/>
      <c r="E188" s="36"/>
      <c r="F188" s="36"/>
      <c r="G188" s="31"/>
      <c r="H188" s="29"/>
      <c r="I188" s="30"/>
      <c r="J188" s="34" t="str">
        <f aca="false">IF($I188="","",IF(OR($I188&gt;150,$H188="R4 Hoàn 100%"),"CEO",IF($I188&gt;50,"OPS","CX")))</f>
        <v/>
      </c>
      <c r="K188" s="29"/>
      <c r="L188" s="34" t="str">
        <f aca="false">IF(OR($J188="",$K188=""),"",IF(MATCH($K188,DS!$H$2:$H$4,0)&gt;=MATCH($J188,DS!$H$2:$H$4,0),"✓","✗"))</f>
        <v/>
      </c>
      <c r="M188" s="31"/>
      <c r="N188" s="31"/>
      <c r="O188" s="31"/>
      <c r="P188" s="29"/>
      <c r="Q188" s="29"/>
      <c r="R188" s="30"/>
      <c r="S188" s="37" t="str">
        <f aca="false">IF($A188="","",N($I188)-N($R188))</f>
        <v/>
      </c>
      <c r="T188" s="34" t="str">
        <f aca="false">IF(OR($E188="",$F188=""),"",ROUND(($F188-$E188)*24,1))</f>
        <v/>
      </c>
      <c r="U188" s="34" t="str">
        <f aca="true">IF($E188="","",INT(IF($O188="",NOW(),$O188)-$E188))</f>
        <v/>
      </c>
      <c r="V188" s="34" t="str">
        <f aca="true">IF($E188="","",IF($F188="",IF((NOW()-$E188)*24&gt;24,"⚑",""),IF(($F188-$E188)*24&gt;24,"⚑","")))</f>
        <v/>
      </c>
      <c r="W188" s="34" t="str">
        <f aca="true">IF(OR($E188="",$O188&lt;&gt;""),"",IF(NOW()-$E188&gt;7,"⚑",""))</f>
        <v/>
      </c>
      <c r="X188" s="34" t="str">
        <f aca="false">IF($L188="✗","⚑","")</f>
        <v/>
      </c>
      <c r="Y188" s="29"/>
    </row>
    <row r="189" customFormat="false" ht="15" hidden="false" customHeight="false" outlineLevel="0" collapsed="false">
      <c r="A189" s="29"/>
      <c r="B189" s="29"/>
      <c r="C189" s="29"/>
      <c r="D189" s="29"/>
      <c r="E189" s="36"/>
      <c r="F189" s="36"/>
      <c r="G189" s="31"/>
      <c r="H189" s="29"/>
      <c r="I189" s="30"/>
      <c r="J189" s="34" t="str">
        <f aca="false">IF($I189="","",IF(OR($I189&gt;150,$H189="R4 Hoàn 100%"),"CEO",IF($I189&gt;50,"OPS","CX")))</f>
        <v/>
      </c>
      <c r="K189" s="29"/>
      <c r="L189" s="34" t="str">
        <f aca="false">IF(OR($J189="",$K189=""),"",IF(MATCH($K189,DS!$H$2:$H$4,0)&gt;=MATCH($J189,DS!$H$2:$H$4,0),"✓","✗"))</f>
        <v/>
      </c>
      <c r="M189" s="31"/>
      <c r="N189" s="31"/>
      <c r="O189" s="31"/>
      <c r="P189" s="29"/>
      <c r="Q189" s="29"/>
      <c r="R189" s="30"/>
      <c r="S189" s="37" t="str">
        <f aca="false">IF($A189="","",N($I189)-N($R189))</f>
        <v/>
      </c>
      <c r="T189" s="34" t="str">
        <f aca="false">IF(OR($E189="",$F189=""),"",ROUND(($F189-$E189)*24,1))</f>
        <v/>
      </c>
      <c r="U189" s="34" t="str">
        <f aca="true">IF($E189="","",INT(IF($O189="",NOW(),$O189)-$E189))</f>
        <v/>
      </c>
      <c r="V189" s="34" t="str">
        <f aca="true">IF($E189="","",IF($F189="",IF((NOW()-$E189)*24&gt;24,"⚑",""),IF(($F189-$E189)*24&gt;24,"⚑","")))</f>
        <v/>
      </c>
      <c r="W189" s="34" t="str">
        <f aca="true">IF(OR($E189="",$O189&lt;&gt;""),"",IF(NOW()-$E189&gt;7,"⚑",""))</f>
        <v/>
      </c>
      <c r="X189" s="34" t="str">
        <f aca="false">IF($L189="✗","⚑","")</f>
        <v/>
      </c>
      <c r="Y189" s="29"/>
    </row>
    <row r="190" customFormat="false" ht="15" hidden="false" customHeight="false" outlineLevel="0" collapsed="false">
      <c r="A190" s="29"/>
      <c r="B190" s="29"/>
      <c r="C190" s="29"/>
      <c r="D190" s="29"/>
      <c r="E190" s="36"/>
      <c r="F190" s="36"/>
      <c r="G190" s="31"/>
      <c r="H190" s="29"/>
      <c r="I190" s="30"/>
      <c r="J190" s="34" t="str">
        <f aca="false">IF($I190="","",IF(OR($I190&gt;150,$H190="R4 Hoàn 100%"),"CEO",IF($I190&gt;50,"OPS","CX")))</f>
        <v/>
      </c>
      <c r="K190" s="29"/>
      <c r="L190" s="34" t="str">
        <f aca="false">IF(OR($J190="",$K190=""),"",IF(MATCH($K190,DS!$H$2:$H$4,0)&gt;=MATCH($J190,DS!$H$2:$H$4,0),"✓","✗"))</f>
        <v/>
      </c>
      <c r="M190" s="31"/>
      <c r="N190" s="31"/>
      <c r="O190" s="31"/>
      <c r="P190" s="29"/>
      <c r="Q190" s="29"/>
      <c r="R190" s="30"/>
      <c r="S190" s="37" t="str">
        <f aca="false">IF($A190="","",N($I190)-N($R190))</f>
        <v/>
      </c>
      <c r="T190" s="34" t="str">
        <f aca="false">IF(OR($E190="",$F190=""),"",ROUND(($F190-$E190)*24,1))</f>
        <v/>
      </c>
      <c r="U190" s="34" t="str">
        <f aca="true">IF($E190="","",INT(IF($O190="",NOW(),$O190)-$E190))</f>
        <v/>
      </c>
      <c r="V190" s="34" t="str">
        <f aca="true">IF($E190="","",IF($F190="",IF((NOW()-$E190)*24&gt;24,"⚑",""),IF(($F190-$E190)*24&gt;24,"⚑","")))</f>
        <v/>
      </c>
      <c r="W190" s="34" t="str">
        <f aca="true">IF(OR($E190="",$O190&lt;&gt;""),"",IF(NOW()-$E190&gt;7,"⚑",""))</f>
        <v/>
      </c>
      <c r="X190" s="34" t="str">
        <f aca="false">IF($L190="✗","⚑","")</f>
        <v/>
      </c>
      <c r="Y190" s="29"/>
    </row>
    <row r="191" customFormat="false" ht="15" hidden="false" customHeight="false" outlineLevel="0" collapsed="false">
      <c r="A191" s="29"/>
      <c r="B191" s="29"/>
      <c r="C191" s="29"/>
      <c r="D191" s="29"/>
      <c r="E191" s="36"/>
      <c r="F191" s="36"/>
      <c r="G191" s="31"/>
      <c r="H191" s="29"/>
      <c r="I191" s="30"/>
      <c r="J191" s="34" t="str">
        <f aca="false">IF($I191="","",IF(OR($I191&gt;150,$H191="R4 Hoàn 100%"),"CEO",IF($I191&gt;50,"OPS","CX")))</f>
        <v/>
      </c>
      <c r="K191" s="29"/>
      <c r="L191" s="34" t="str">
        <f aca="false">IF(OR($J191="",$K191=""),"",IF(MATCH($K191,DS!$H$2:$H$4,0)&gt;=MATCH($J191,DS!$H$2:$H$4,0),"✓","✗"))</f>
        <v/>
      </c>
      <c r="M191" s="31"/>
      <c r="N191" s="31"/>
      <c r="O191" s="31"/>
      <c r="P191" s="29"/>
      <c r="Q191" s="29"/>
      <c r="R191" s="30"/>
      <c r="S191" s="37" t="str">
        <f aca="false">IF($A191="","",N($I191)-N($R191))</f>
        <v/>
      </c>
      <c r="T191" s="34" t="str">
        <f aca="false">IF(OR($E191="",$F191=""),"",ROUND(($F191-$E191)*24,1))</f>
        <v/>
      </c>
      <c r="U191" s="34" t="str">
        <f aca="true">IF($E191="","",INT(IF($O191="",NOW(),$O191)-$E191))</f>
        <v/>
      </c>
      <c r="V191" s="34" t="str">
        <f aca="true">IF($E191="","",IF($F191="",IF((NOW()-$E191)*24&gt;24,"⚑",""),IF(($F191-$E191)*24&gt;24,"⚑","")))</f>
        <v/>
      </c>
      <c r="W191" s="34" t="str">
        <f aca="true">IF(OR($E191="",$O191&lt;&gt;""),"",IF(NOW()-$E191&gt;7,"⚑",""))</f>
        <v/>
      </c>
      <c r="X191" s="34" t="str">
        <f aca="false">IF($L191="✗","⚑","")</f>
        <v/>
      </c>
      <c r="Y191" s="29"/>
    </row>
    <row r="192" customFormat="false" ht="15" hidden="false" customHeight="false" outlineLevel="0" collapsed="false">
      <c r="A192" s="29"/>
      <c r="B192" s="29"/>
      <c r="C192" s="29"/>
      <c r="D192" s="29"/>
      <c r="E192" s="36"/>
      <c r="F192" s="36"/>
      <c r="G192" s="31"/>
      <c r="H192" s="29"/>
      <c r="I192" s="30"/>
      <c r="J192" s="34" t="str">
        <f aca="false">IF($I192="","",IF(OR($I192&gt;150,$H192="R4 Hoàn 100%"),"CEO",IF($I192&gt;50,"OPS","CX")))</f>
        <v/>
      </c>
      <c r="K192" s="29"/>
      <c r="L192" s="34" t="str">
        <f aca="false">IF(OR($J192="",$K192=""),"",IF(MATCH($K192,DS!$H$2:$H$4,0)&gt;=MATCH($J192,DS!$H$2:$H$4,0),"✓","✗"))</f>
        <v/>
      </c>
      <c r="M192" s="31"/>
      <c r="N192" s="31"/>
      <c r="O192" s="31"/>
      <c r="P192" s="29"/>
      <c r="Q192" s="29"/>
      <c r="R192" s="30"/>
      <c r="S192" s="37" t="str">
        <f aca="false">IF($A192="","",N($I192)-N($R192))</f>
        <v/>
      </c>
      <c r="T192" s="34" t="str">
        <f aca="false">IF(OR($E192="",$F192=""),"",ROUND(($F192-$E192)*24,1))</f>
        <v/>
      </c>
      <c r="U192" s="34" t="str">
        <f aca="true">IF($E192="","",INT(IF($O192="",NOW(),$O192)-$E192))</f>
        <v/>
      </c>
      <c r="V192" s="34" t="str">
        <f aca="true">IF($E192="","",IF($F192="",IF((NOW()-$E192)*24&gt;24,"⚑",""),IF(($F192-$E192)*24&gt;24,"⚑","")))</f>
        <v/>
      </c>
      <c r="W192" s="34" t="str">
        <f aca="true">IF(OR($E192="",$O192&lt;&gt;""),"",IF(NOW()-$E192&gt;7,"⚑",""))</f>
        <v/>
      </c>
      <c r="X192" s="34" t="str">
        <f aca="false">IF($L192="✗","⚑","")</f>
        <v/>
      </c>
      <c r="Y192" s="29"/>
    </row>
    <row r="193" customFormat="false" ht="15" hidden="false" customHeight="false" outlineLevel="0" collapsed="false">
      <c r="A193" s="29"/>
      <c r="B193" s="29"/>
      <c r="C193" s="29"/>
      <c r="D193" s="29"/>
      <c r="E193" s="36"/>
      <c r="F193" s="36"/>
      <c r="G193" s="31"/>
      <c r="H193" s="29"/>
      <c r="I193" s="30"/>
      <c r="J193" s="34" t="str">
        <f aca="false">IF($I193="","",IF(OR($I193&gt;150,$H193="R4 Hoàn 100%"),"CEO",IF($I193&gt;50,"OPS","CX")))</f>
        <v/>
      </c>
      <c r="K193" s="29"/>
      <c r="L193" s="34" t="str">
        <f aca="false">IF(OR($J193="",$K193=""),"",IF(MATCH($K193,DS!$H$2:$H$4,0)&gt;=MATCH($J193,DS!$H$2:$H$4,0),"✓","✗"))</f>
        <v/>
      </c>
      <c r="M193" s="31"/>
      <c r="N193" s="31"/>
      <c r="O193" s="31"/>
      <c r="P193" s="29"/>
      <c r="Q193" s="29"/>
      <c r="R193" s="30"/>
      <c r="S193" s="37" t="str">
        <f aca="false">IF($A193="","",N($I193)-N($R193))</f>
        <v/>
      </c>
      <c r="T193" s="34" t="str">
        <f aca="false">IF(OR($E193="",$F193=""),"",ROUND(($F193-$E193)*24,1))</f>
        <v/>
      </c>
      <c r="U193" s="34" t="str">
        <f aca="true">IF($E193="","",INT(IF($O193="",NOW(),$O193)-$E193))</f>
        <v/>
      </c>
      <c r="V193" s="34" t="str">
        <f aca="true">IF($E193="","",IF($F193="",IF((NOW()-$E193)*24&gt;24,"⚑",""),IF(($F193-$E193)*24&gt;24,"⚑","")))</f>
        <v/>
      </c>
      <c r="W193" s="34" t="str">
        <f aca="true">IF(OR($E193="",$O193&lt;&gt;""),"",IF(NOW()-$E193&gt;7,"⚑",""))</f>
        <v/>
      </c>
      <c r="X193" s="34" t="str">
        <f aca="false">IF($L193="✗","⚑","")</f>
        <v/>
      </c>
      <c r="Y193" s="29"/>
    </row>
    <row r="194" customFormat="false" ht="15" hidden="false" customHeight="false" outlineLevel="0" collapsed="false">
      <c r="A194" s="29"/>
      <c r="B194" s="29"/>
      <c r="C194" s="29"/>
      <c r="D194" s="29"/>
      <c r="E194" s="36"/>
      <c r="F194" s="36"/>
      <c r="G194" s="31"/>
      <c r="H194" s="29"/>
      <c r="I194" s="30"/>
      <c r="J194" s="34" t="str">
        <f aca="false">IF($I194="","",IF(OR($I194&gt;150,$H194="R4 Hoàn 100%"),"CEO",IF($I194&gt;50,"OPS","CX")))</f>
        <v/>
      </c>
      <c r="K194" s="29"/>
      <c r="L194" s="34" t="str">
        <f aca="false">IF(OR($J194="",$K194=""),"",IF(MATCH($K194,DS!$H$2:$H$4,0)&gt;=MATCH($J194,DS!$H$2:$H$4,0),"✓","✗"))</f>
        <v/>
      </c>
      <c r="M194" s="31"/>
      <c r="N194" s="31"/>
      <c r="O194" s="31"/>
      <c r="P194" s="29"/>
      <c r="Q194" s="29"/>
      <c r="R194" s="30"/>
      <c r="S194" s="37" t="str">
        <f aca="false">IF($A194="","",N($I194)-N($R194))</f>
        <v/>
      </c>
      <c r="T194" s="34" t="str">
        <f aca="false">IF(OR($E194="",$F194=""),"",ROUND(($F194-$E194)*24,1))</f>
        <v/>
      </c>
      <c r="U194" s="34" t="str">
        <f aca="true">IF($E194="","",INT(IF($O194="",NOW(),$O194)-$E194))</f>
        <v/>
      </c>
      <c r="V194" s="34" t="str">
        <f aca="true">IF($E194="","",IF($F194="",IF((NOW()-$E194)*24&gt;24,"⚑",""),IF(($F194-$E194)*24&gt;24,"⚑","")))</f>
        <v/>
      </c>
      <c r="W194" s="34" t="str">
        <f aca="true">IF(OR($E194="",$O194&lt;&gt;""),"",IF(NOW()-$E194&gt;7,"⚑",""))</f>
        <v/>
      </c>
      <c r="X194" s="34" t="str">
        <f aca="false">IF($L194="✗","⚑","")</f>
        <v/>
      </c>
      <c r="Y194" s="29"/>
    </row>
    <row r="195" customFormat="false" ht="15" hidden="false" customHeight="false" outlineLevel="0" collapsed="false">
      <c r="A195" s="29"/>
      <c r="B195" s="29"/>
      <c r="C195" s="29"/>
      <c r="D195" s="29"/>
      <c r="E195" s="36"/>
      <c r="F195" s="36"/>
      <c r="G195" s="31"/>
      <c r="H195" s="29"/>
      <c r="I195" s="30"/>
      <c r="J195" s="34" t="str">
        <f aca="false">IF($I195="","",IF(OR($I195&gt;150,$H195="R4 Hoàn 100%"),"CEO",IF($I195&gt;50,"OPS","CX")))</f>
        <v/>
      </c>
      <c r="K195" s="29"/>
      <c r="L195" s="34" t="str">
        <f aca="false">IF(OR($J195="",$K195=""),"",IF(MATCH($K195,DS!$H$2:$H$4,0)&gt;=MATCH($J195,DS!$H$2:$H$4,0),"✓","✗"))</f>
        <v/>
      </c>
      <c r="M195" s="31"/>
      <c r="N195" s="31"/>
      <c r="O195" s="31"/>
      <c r="P195" s="29"/>
      <c r="Q195" s="29"/>
      <c r="R195" s="30"/>
      <c r="S195" s="37" t="str">
        <f aca="false">IF($A195="","",N($I195)-N($R195))</f>
        <v/>
      </c>
      <c r="T195" s="34" t="str">
        <f aca="false">IF(OR($E195="",$F195=""),"",ROUND(($F195-$E195)*24,1))</f>
        <v/>
      </c>
      <c r="U195" s="34" t="str">
        <f aca="true">IF($E195="","",INT(IF($O195="",NOW(),$O195)-$E195))</f>
        <v/>
      </c>
      <c r="V195" s="34" t="str">
        <f aca="true">IF($E195="","",IF($F195="",IF((NOW()-$E195)*24&gt;24,"⚑",""),IF(($F195-$E195)*24&gt;24,"⚑","")))</f>
        <v/>
      </c>
      <c r="W195" s="34" t="str">
        <f aca="true">IF(OR($E195="",$O195&lt;&gt;""),"",IF(NOW()-$E195&gt;7,"⚑",""))</f>
        <v/>
      </c>
      <c r="X195" s="34" t="str">
        <f aca="false">IF($L195="✗","⚑","")</f>
        <v/>
      </c>
      <c r="Y195" s="29"/>
    </row>
    <row r="196" customFormat="false" ht="15" hidden="false" customHeight="false" outlineLevel="0" collapsed="false">
      <c r="A196" s="29"/>
      <c r="B196" s="29"/>
      <c r="C196" s="29"/>
      <c r="D196" s="29"/>
      <c r="E196" s="36"/>
      <c r="F196" s="36"/>
      <c r="G196" s="31"/>
      <c r="H196" s="29"/>
      <c r="I196" s="30"/>
      <c r="J196" s="34" t="str">
        <f aca="false">IF($I196="","",IF(OR($I196&gt;150,$H196="R4 Hoàn 100%"),"CEO",IF($I196&gt;50,"OPS","CX")))</f>
        <v/>
      </c>
      <c r="K196" s="29"/>
      <c r="L196" s="34" t="str">
        <f aca="false">IF(OR($J196="",$K196=""),"",IF(MATCH($K196,DS!$H$2:$H$4,0)&gt;=MATCH($J196,DS!$H$2:$H$4,0),"✓","✗"))</f>
        <v/>
      </c>
      <c r="M196" s="31"/>
      <c r="N196" s="31"/>
      <c r="O196" s="31"/>
      <c r="P196" s="29"/>
      <c r="Q196" s="29"/>
      <c r="R196" s="30"/>
      <c r="S196" s="37" t="str">
        <f aca="false">IF($A196="","",N($I196)-N($R196))</f>
        <v/>
      </c>
      <c r="T196" s="34" t="str">
        <f aca="false">IF(OR($E196="",$F196=""),"",ROUND(($F196-$E196)*24,1))</f>
        <v/>
      </c>
      <c r="U196" s="34" t="str">
        <f aca="true">IF($E196="","",INT(IF($O196="",NOW(),$O196)-$E196))</f>
        <v/>
      </c>
      <c r="V196" s="34" t="str">
        <f aca="true">IF($E196="","",IF($F196="",IF((NOW()-$E196)*24&gt;24,"⚑",""),IF(($F196-$E196)*24&gt;24,"⚑","")))</f>
        <v/>
      </c>
      <c r="W196" s="34" t="str">
        <f aca="true">IF(OR($E196="",$O196&lt;&gt;""),"",IF(NOW()-$E196&gt;7,"⚑",""))</f>
        <v/>
      </c>
      <c r="X196" s="34" t="str">
        <f aca="false">IF($L196="✗","⚑","")</f>
        <v/>
      </c>
      <c r="Y196" s="29"/>
    </row>
    <row r="197" customFormat="false" ht="15" hidden="false" customHeight="false" outlineLevel="0" collapsed="false">
      <c r="A197" s="29"/>
      <c r="B197" s="29"/>
      <c r="C197" s="29"/>
      <c r="D197" s="29"/>
      <c r="E197" s="36"/>
      <c r="F197" s="36"/>
      <c r="G197" s="31"/>
      <c r="H197" s="29"/>
      <c r="I197" s="30"/>
      <c r="J197" s="34" t="str">
        <f aca="false">IF($I197="","",IF(OR($I197&gt;150,$H197="R4 Hoàn 100%"),"CEO",IF($I197&gt;50,"OPS","CX")))</f>
        <v/>
      </c>
      <c r="K197" s="29"/>
      <c r="L197" s="34" t="str">
        <f aca="false">IF(OR($J197="",$K197=""),"",IF(MATCH($K197,DS!$H$2:$H$4,0)&gt;=MATCH($J197,DS!$H$2:$H$4,0),"✓","✗"))</f>
        <v/>
      </c>
      <c r="M197" s="31"/>
      <c r="N197" s="31"/>
      <c r="O197" s="31"/>
      <c r="P197" s="29"/>
      <c r="Q197" s="29"/>
      <c r="R197" s="30"/>
      <c r="S197" s="37" t="str">
        <f aca="false">IF($A197="","",N($I197)-N($R197))</f>
        <v/>
      </c>
      <c r="T197" s="34" t="str">
        <f aca="false">IF(OR($E197="",$F197=""),"",ROUND(($F197-$E197)*24,1))</f>
        <v/>
      </c>
      <c r="U197" s="34" t="str">
        <f aca="true">IF($E197="","",INT(IF($O197="",NOW(),$O197)-$E197))</f>
        <v/>
      </c>
      <c r="V197" s="34" t="str">
        <f aca="true">IF($E197="","",IF($F197="",IF((NOW()-$E197)*24&gt;24,"⚑",""),IF(($F197-$E197)*24&gt;24,"⚑","")))</f>
        <v/>
      </c>
      <c r="W197" s="34" t="str">
        <f aca="true">IF(OR($E197="",$O197&lt;&gt;""),"",IF(NOW()-$E197&gt;7,"⚑",""))</f>
        <v/>
      </c>
      <c r="X197" s="34" t="str">
        <f aca="false">IF($L197="✗","⚑","")</f>
        <v/>
      </c>
      <c r="Y197" s="29"/>
    </row>
    <row r="198" customFormat="false" ht="15" hidden="false" customHeight="false" outlineLevel="0" collapsed="false">
      <c r="A198" s="29"/>
      <c r="B198" s="29"/>
      <c r="C198" s="29"/>
      <c r="D198" s="29"/>
      <c r="E198" s="36"/>
      <c r="F198" s="36"/>
      <c r="G198" s="31"/>
      <c r="H198" s="29"/>
      <c r="I198" s="30"/>
      <c r="J198" s="34" t="str">
        <f aca="false">IF($I198="","",IF(OR($I198&gt;150,$H198="R4 Hoàn 100%"),"CEO",IF($I198&gt;50,"OPS","CX")))</f>
        <v/>
      </c>
      <c r="K198" s="29"/>
      <c r="L198" s="34" t="str">
        <f aca="false">IF(OR($J198="",$K198=""),"",IF(MATCH($K198,DS!$H$2:$H$4,0)&gt;=MATCH($J198,DS!$H$2:$H$4,0),"✓","✗"))</f>
        <v/>
      </c>
      <c r="M198" s="31"/>
      <c r="N198" s="31"/>
      <c r="O198" s="31"/>
      <c r="P198" s="29"/>
      <c r="Q198" s="29"/>
      <c r="R198" s="30"/>
      <c r="S198" s="37" t="str">
        <f aca="false">IF($A198="","",N($I198)-N($R198))</f>
        <v/>
      </c>
      <c r="T198" s="34" t="str">
        <f aca="false">IF(OR($E198="",$F198=""),"",ROUND(($F198-$E198)*24,1))</f>
        <v/>
      </c>
      <c r="U198" s="34" t="str">
        <f aca="true">IF($E198="","",INT(IF($O198="",NOW(),$O198)-$E198))</f>
        <v/>
      </c>
      <c r="V198" s="34" t="str">
        <f aca="true">IF($E198="","",IF($F198="",IF((NOW()-$E198)*24&gt;24,"⚑",""),IF(($F198-$E198)*24&gt;24,"⚑","")))</f>
        <v/>
      </c>
      <c r="W198" s="34" t="str">
        <f aca="true">IF(OR($E198="",$O198&lt;&gt;""),"",IF(NOW()-$E198&gt;7,"⚑",""))</f>
        <v/>
      </c>
      <c r="X198" s="34" t="str">
        <f aca="false">IF($L198="✗","⚑","")</f>
        <v/>
      </c>
      <c r="Y198" s="29"/>
    </row>
    <row r="199" customFormat="false" ht="15" hidden="false" customHeight="false" outlineLevel="0" collapsed="false">
      <c r="A199" s="29"/>
      <c r="B199" s="29"/>
      <c r="C199" s="29"/>
      <c r="D199" s="29"/>
      <c r="E199" s="36"/>
      <c r="F199" s="36"/>
      <c r="G199" s="31"/>
      <c r="H199" s="29"/>
      <c r="I199" s="30"/>
      <c r="J199" s="34" t="str">
        <f aca="false">IF($I199="","",IF(OR($I199&gt;150,$H199="R4 Hoàn 100%"),"CEO",IF($I199&gt;50,"OPS","CX")))</f>
        <v/>
      </c>
      <c r="K199" s="29"/>
      <c r="L199" s="34" t="str">
        <f aca="false">IF(OR($J199="",$K199=""),"",IF(MATCH($K199,DS!$H$2:$H$4,0)&gt;=MATCH($J199,DS!$H$2:$H$4,0),"✓","✗"))</f>
        <v/>
      </c>
      <c r="M199" s="31"/>
      <c r="N199" s="31"/>
      <c r="O199" s="31"/>
      <c r="P199" s="29"/>
      <c r="Q199" s="29"/>
      <c r="R199" s="30"/>
      <c r="S199" s="37" t="str">
        <f aca="false">IF($A199="","",N($I199)-N($R199))</f>
        <v/>
      </c>
      <c r="T199" s="34" t="str">
        <f aca="false">IF(OR($E199="",$F199=""),"",ROUND(($F199-$E199)*24,1))</f>
        <v/>
      </c>
      <c r="U199" s="34" t="str">
        <f aca="true">IF($E199="","",INT(IF($O199="",NOW(),$O199)-$E199))</f>
        <v/>
      </c>
      <c r="V199" s="34" t="str">
        <f aca="true">IF($E199="","",IF($F199="",IF((NOW()-$E199)*24&gt;24,"⚑",""),IF(($F199-$E199)*24&gt;24,"⚑","")))</f>
        <v/>
      </c>
      <c r="W199" s="34" t="str">
        <f aca="true">IF(OR($E199="",$O199&lt;&gt;""),"",IF(NOW()-$E199&gt;7,"⚑",""))</f>
        <v/>
      </c>
      <c r="X199" s="34" t="str">
        <f aca="false">IF($L199="✗","⚑","")</f>
        <v/>
      </c>
      <c r="Y199" s="29"/>
    </row>
    <row r="200" customFormat="false" ht="15" hidden="false" customHeight="false" outlineLevel="0" collapsed="false">
      <c r="A200" s="29"/>
      <c r="B200" s="29"/>
      <c r="C200" s="29"/>
      <c r="D200" s="29"/>
      <c r="E200" s="36"/>
      <c r="F200" s="36"/>
      <c r="G200" s="31"/>
      <c r="H200" s="29"/>
      <c r="I200" s="30"/>
      <c r="J200" s="34" t="str">
        <f aca="false">IF($I200="","",IF(OR($I200&gt;150,$H200="R4 Hoàn 100%"),"CEO",IF($I200&gt;50,"OPS","CX")))</f>
        <v/>
      </c>
      <c r="K200" s="29"/>
      <c r="L200" s="34" t="str">
        <f aca="false">IF(OR($J200="",$K200=""),"",IF(MATCH($K200,DS!$H$2:$H$4,0)&gt;=MATCH($J200,DS!$H$2:$H$4,0),"✓","✗"))</f>
        <v/>
      </c>
      <c r="M200" s="31"/>
      <c r="N200" s="31"/>
      <c r="O200" s="31"/>
      <c r="P200" s="29"/>
      <c r="Q200" s="29"/>
      <c r="R200" s="30"/>
      <c r="S200" s="37" t="str">
        <f aca="false">IF($A200="","",N($I200)-N($R200))</f>
        <v/>
      </c>
      <c r="T200" s="34" t="str">
        <f aca="false">IF(OR($E200="",$F200=""),"",ROUND(($F200-$E200)*24,1))</f>
        <v/>
      </c>
      <c r="U200" s="34" t="str">
        <f aca="true">IF($E200="","",INT(IF($O200="",NOW(),$O200)-$E200))</f>
        <v/>
      </c>
      <c r="V200" s="34" t="str">
        <f aca="true">IF($E200="","",IF($F200="",IF((NOW()-$E200)*24&gt;24,"⚑",""),IF(($F200-$E200)*24&gt;24,"⚑","")))</f>
        <v/>
      </c>
      <c r="W200" s="34" t="str">
        <f aca="true">IF(OR($E200="",$O200&lt;&gt;""),"",IF(NOW()-$E200&gt;7,"⚑",""))</f>
        <v/>
      </c>
      <c r="X200" s="34" t="str">
        <f aca="false">IF($L200="✗","⚑","")</f>
        <v/>
      </c>
      <c r="Y200" s="29"/>
    </row>
    <row r="201" customFormat="false" ht="15" hidden="false" customHeight="false" outlineLevel="0" collapsed="false">
      <c r="A201" s="29"/>
      <c r="B201" s="29"/>
      <c r="C201" s="29"/>
      <c r="D201" s="29"/>
      <c r="E201" s="36"/>
      <c r="F201" s="36"/>
      <c r="G201" s="31"/>
      <c r="H201" s="29"/>
      <c r="I201" s="30"/>
      <c r="J201" s="34" t="str">
        <f aca="false">IF($I201="","",IF(OR($I201&gt;150,$H201="R4 Hoàn 100%"),"CEO",IF($I201&gt;50,"OPS","CX")))</f>
        <v/>
      </c>
      <c r="K201" s="29"/>
      <c r="L201" s="34" t="str">
        <f aca="false">IF(OR($J201="",$K201=""),"",IF(MATCH($K201,DS!$H$2:$H$4,0)&gt;=MATCH($J201,DS!$H$2:$H$4,0),"✓","✗"))</f>
        <v/>
      </c>
      <c r="M201" s="31"/>
      <c r="N201" s="31"/>
      <c r="O201" s="31"/>
      <c r="P201" s="29"/>
      <c r="Q201" s="29"/>
      <c r="R201" s="30"/>
      <c r="S201" s="37" t="str">
        <f aca="false">IF($A201="","",N($I201)-N($R201))</f>
        <v/>
      </c>
      <c r="T201" s="34" t="str">
        <f aca="false">IF(OR($E201="",$F201=""),"",ROUND(($F201-$E201)*24,1))</f>
        <v/>
      </c>
      <c r="U201" s="34" t="str">
        <f aca="true">IF($E201="","",INT(IF($O201="",NOW(),$O201)-$E201))</f>
        <v/>
      </c>
      <c r="V201" s="34" t="str">
        <f aca="true">IF($E201="","",IF($F201="",IF((NOW()-$E201)*24&gt;24,"⚑",""),IF(($F201-$E201)*24&gt;24,"⚑","")))</f>
        <v/>
      </c>
      <c r="W201" s="34" t="str">
        <f aca="true">IF(OR($E201="",$O201&lt;&gt;""),"",IF(NOW()-$E201&gt;7,"⚑",""))</f>
        <v/>
      </c>
      <c r="X201" s="34" t="str">
        <f aca="false">IF($L201="✗","⚑","")</f>
        <v/>
      </c>
      <c r="Y201" s="29"/>
    </row>
    <row r="202" customFormat="false" ht="15" hidden="false" customHeight="false" outlineLevel="0" collapsed="false">
      <c r="A202" s="29"/>
      <c r="B202" s="29"/>
      <c r="C202" s="29"/>
      <c r="D202" s="29"/>
      <c r="E202" s="36"/>
      <c r="F202" s="36"/>
      <c r="G202" s="31"/>
      <c r="H202" s="29"/>
      <c r="I202" s="30"/>
      <c r="J202" s="34" t="str">
        <f aca="false">IF($I202="","",IF(OR($I202&gt;150,$H202="R4 Hoàn 100%"),"CEO",IF($I202&gt;50,"OPS","CX")))</f>
        <v/>
      </c>
      <c r="K202" s="29"/>
      <c r="L202" s="34" t="str">
        <f aca="false">IF(OR($J202="",$K202=""),"",IF(MATCH($K202,DS!$H$2:$H$4,0)&gt;=MATCH($J202,DS!$H$2:$H$4,0),"✓","✗"))</f>
        <v/>
      </c>
      <c r="M202" s="31"/>
      <c r="N202" s="31"/>
      <c r="O202" s="31"/>
      <c r="P202" s="29"/>
      <c r="Q202" s="29"/>
      <c r="R202" s="30"/>
      <c r="S202" s="37" t="str">
        <f aca="false">IF($A202="","",N($I202)-N($R202))</f>
        <v/>
      </c>
      <c r="T202" s="34" t="str">
        <f aca="false">IF(OR($E202="",$F202=""),"",ROUND(($F202-$E202)*24,1))</f>
        <v/>
      </c>
      <c r="U202" s="34" t="str">
        <f aca="true">IF($E202="","",INT(IF($O202="",NOW(),$O202)-$E202))</f>
        <v/>
      </c>
      <c r="V202" s="34" t="str">
        <f aca="true">IF($E202="","",IF($F202="",IF((NOW()-$E202)*24&gt;24,"⚑",""),IF(($F202-$E202)*24&gt;24,"⚑","")))</f>
        <v/>
      </c>
      <c r="W202" s="34" t="str">
        <f aca="true">IF(OR($E202="",$O202&lt;&gt;""),"",IF(NOW()-$E202&gt;7,"⚑",""))</f>
        <v/>
      </c>
      <c r="X202" s="34" t="str">
        <f aca="false">IF($L202="✗","⚑","")</f>
        <v/>
      </c>
      <c r="Y202" s="29"/>
    </row>
  </sheetData>
  <autoFilter ref="A2:Y202"/>
  <conditionalFormatting sqref="V3:V202">
    <cfRule type="cellIs" priority="2" operator="equal" aboveAverage="0" equalAverage="0" bottom="0" percent="0" rank="0" text="" dxfId="14">
      <formula>"⚑"</formula>
    </cfRule>
  </conditionalFormatting>
  <conditionalFormatting sqref="W3:W202">
    <cfRule type="cellIs" priority="3" operator="equal" aboveAverage="0" equalAverage="0" bottom="0" percent="0" rank="0" text="" dxfId="14">
      <formula>"⚑"</formula>
    </cfRule>
  </conditionalFormatting>
  <conditionalFormatting sqref="X3:X202">
    <cfRule type="cellIs" priority="4" operator="equal" aboveAverage="0" equalAverage="0" bottom="0" percent="0" rank="0" text="" dxfId="14">
      <formula>"⚑"</formula>
    </cfRule>
  </conditionalFormatting>
  <conditionalFormatting sqref="L3:L202">
    <cfRule type="cellIs" priority="5" operator="equal" aboveAverage="0" equalAverage="0" bottom="0" percent="0" rank="0" text="" dxfId="16">
      <formula>"✗"</formula>
    </cfRule>
    <cfRule type="cellIs" priority="6" operator="equal" aboveAverage="0" equalAverage="0" bottom="0" percent="0" rank="0" text="" dxfId="15">
      <formula>"✓"</formula>
    </cfRule>
  </conditionalFormatting>
  <dataValidations count="5">
    <dataValidation allowBlank="true" errorStyle="stop" operator="between" showDropDown="false" showErrorMessage="false" showInputMessage="false" sqref="C3:C202" type="list">
      <formula1>DS!$E$2:$E$9</formula1>
      <formula2>0</formula2>
    </dataValidation>
    <dataValidation allowBlank="true" errorStyle="stop" operator="between" showDropDown="false" showErrorMessage="false" showInputMessage="false" sqref="D3:D202" type="list">
      <formula1>DS!$O$2:$O$8</formula1>
      <formula2>0</formula2>
    </dataValidation>
    <dataValidation allowBlank="true" errorStyle="stop" operator="between" showDropDown="false" showErrorMessage="false" showInputMessage="false" sqref="H3:H202" type="list">
      <formula1>DS!$G$2:$G$9</formula1>
      <formula2>0</formula2>
    </dataValidation>
    <dataValidation allowBlank="true" errorStyle="stop" operator="between" showDropDown="false" showErrorMessage="false" showInputMessage="false" sqref="K3:K202" type="list">
      <formula1>DS!$H$2:$H$4</formula1>
      <formula2>0</formula2>
    </dataValidation>
    <dataValidation allowBlank="true" errorStyle="stop" operator="between" showDropDown="false" showErrorMessage="false" showInputMessage="false" sqref="P3:P202" type="list">
      <formula1>DS!$I$2:$I$9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9" min="5" style="0" width="24"/>
    <col collapsed="false" customWidth="true" hidden="false" outlineLevel="0" max="13" min="11" style="0" width="24"/>
    <col collapsed="false" customWidth="true" hidden="false" outlineLevel="0" max="15" min="15" style="0" width="24"/>
  </cols>
  <sheetData>
    <row r="1" customFormat="false" ht="15" hidden="false" customHeight="false" outlineLevel="0" collapsed="false">
      <c r="A1" s="38" t="s">
        <v>116</v>
      </c>
      <c r="B1" s="38" t="s">
        <v>191</v>
      </c>
      <c r="C1" s="38" t="s">
        <v>192</v>
      </c>
      <c r="E1" s="38" t="s">
        <v>193</v>
      </c>
      <c r="F1" s="38" t="s">
        <v>194</v>
      </c>
      <c r="G1" s="38" t="s">
        <v>155</v>
      </c>
      <c r="H1" s="38" t="s">
        <v>195</v>
      </c>
      <c r="I1" s="38" t="s">
        <v>163</v>
      </c>
      <c r="K1" s="38" t="s">
        <v>102</v>
      </c>
      <c r="L1" s="38" t="s">
        <v>196</v>
      </c>
      <c r="M1" s="38" t="s">
        <v>197</v>
      </c>
      <c r="O1" s="38" t="s">
        <v>151</v>
      </c>
    </row>
    <row r="2" customFormat="false" ht="15" hidden="false" customHeight="false" outlineLevel="0" collapsed="false">
      <c r="A2" s="39" t="s">
        <v>44</v>
      </c>
      <c r="B2" s="39" t="s">
        <v>175</v>
      </c>
      <c r="C2" s="39" t="s">
        <v>198</v>
      </c>
      <c r="E2" s="39" t="s">
        <v>83</v>
      </c>
      <c r="F2" s="39" t="s">
        <v>199</v>
      </c>
      <c r="G2" s="39" t="s">
        <v>190</v>
      </c>
      <c r="H2" s="39" t="s">
        <v>175</v>
      </c>
      <c r="I2" s="39" t="s">
        <v>92</v>
      </c>
      <c r="K2" s="39" t="s">
        <v>123</v>
      </c>
      <c r="L2" s="39" t="n">
        <v>8</v>
      </c>
      <c r="M2" s="39" t="n">
        <v>12</v>
      </c>
      <c r="O2" s="39" t="s">
        <v>173</v>
      </c>
    </row>
    <row r="3" customFormat="false" ht="15" hidden="false" customHeight="false" outlineLevel="0" collapsed="false">
      <c r="A3" s="39" t="s">
        <v>48</v>
      </c>
      <c r="B3" s="39" t="s">
        <v>200</v>
      </c>
      <c r="C3" s="39" t="s">
        <v>201</v>
      </c>
      <c r="E3" s="39" t="s">
        <v>84</v>
      </c>
      <c r="F3" s="39" t="s">
        <v>199</v>
      </c>
      <c r="G3" s="39" t="s">
        <v>174</v>
      </c>
      <c r="H3" s="39" t="s">
        <v>180</v>
      </c>
      <c r="I3" s="39" t="s">
        <v>93</v>
      </c>
      <c r="K3" s="39" t="s">
        <v>128</v>
      </c>
      <c r="L3" s="39" t="n">
        <v>5</v>
      </c>
      <c r="M3" s="39" t="n">
        <v>8</v>
      </c>
      <c r="O3" s="39" t="s">
        <v>178</v>
      </c>
    </row>
    <row r="4" customFormat="false" ht="15" hidden="false" customHeight="false" outlineLevel="0" collapsed="false">
      <c r="A4" s="39" t="s">
        <v>49</v>
      </c>
      <c r="B4" s="39" t="s">
        <v>200</v>
      </c>
      <c r="C4" s="39" t="s">
        <v>202</v>
      </c>
      <c r="E4" s="39" t="s">
        <v>85</v>
      </c>
      <c r="F4" s="39" t="s">
        <v>203</v>
      </c>
      <c r="G4" s="39" t="s">
        <v>204</v>
      </c>
      <c r="H4" s="39" t="s">
        <v>184</v>
      </c>
      <c r="I4" s="39" t="s">
        <v>94</v>
      </c>
      <c r="K4" s="39" t="s">
        <v>205</v>
      </c>
      <c r="L4" s="39" t="n">
        <v>10</v>
      </c>
      <c r="M4" s="39" t="n">
        <v>14</v>
      </c>
      <c r="O4" s="39" t="s">
        <v>186</v>
      </c>
    </row>
    <row r="5" customFormat="false" ht="15" hidden="false" customHeight="false" outlineLevel="0" collapsed="false">
      <c r="A5" s="39" t="s">
        <v>54</v>
      </c>
      <c r="B5" s="39" t="s">
        <v>200</v>
      </c>
      <c r="C5" s="39" t="s">
        <v>206</v>
      </c>
      <c r="E5" s="39" t="s">
        <v>86</v>
      </c>
      <c r="F5" s="39" t="s">
        <v>199</v>
      </c>
      <c r="G5" s="39" t="s">
        <v>179</v>
      </c>
      <c r="I5" s="39" t="s">
        <v>95</v>
      </c>
      <c r="O5" s="39" t="s">
        <v>207</v>
      </c>
    </row>
    <row r="6" customFormat="false" ht="15" hidden="false" customHeight="false" outlineLevel="0" collapsed="false">
      <c r="A6" s="39" t="s">
        <v>55</v>
      </c>
      <c r="B6" s="39" t="s">
        <v>208</v>
      </c>
      <c r="C6" s="39" t="s">
        <v>209</v>
      </c>
      <c r="E6" s="39" t="s">
        <v>87</v>
      </c>
      <c r="F6" s="39" t="s">
        <v>203</v>
      </c>
      <c r="G6" s="39" t="s">
        <v>183</v>
      </c>
      <c r="H6" s="40" t="s">
        <v>210</v>
      </c>
      <c r="I6" s="39" t="s">
        <v>96</v>
      </c>
      <c r="K6" s="40" t="s">
        <v>211</v>
      </c>
      <c r="O6" s="39" t="s">
        <v>189</v>
      </c>
    </row>
    <row r="7" customFormat="false" ht="15" hidden="false" customHeight="false" outlineLevel="0" collapsed="false">
      <c r="A7" s="39" t="s">
        <v>56</v>
      </c>
      <c r="B7" s="39" t="s">
        <v>208</v>
      </c>
      <c r="C7" s="39" t="s">
        <v>212</v>
      </c>
      <c r="E7" s="39" t="s">
        <v>88</v>
      </c>
      <c r="F7" s="39" t="s">
        <v>213</v>
      </c>
      <c r="G7" s="39" t="s">
        <v>187</v>
      </c>
      <c r="I7" s="39" t="s">
        <v>97</v>
      </c>
      <c r="O7" s="39" t="s">
        <v>214</v>
      </c>
    </row>
    <row r="8" customFormat="false" ht="15" hidden="false" customHeight="false" outlineLevel="0" collapsed="false">
      <c r="A8" s="39" t="s">
        <v>60</v>
      </c>
      <c r="B8" s="39" t="s">
        <v>208</v>
      </c>
      <c r="C8" s="39" t="s">
        <v>215</v>
      </c>
      <c r="E8" s="39" t="s">
        <v>89</v>
      </c>
      <c r="F8" s="39" t="s">
        <v>216</v>
      </c>
      <c r="G8" s="39" t="s">
        <v>217</v>
      </c>
      <c r="I8" s="39" t="s">
        <v>98</v>
      </c>
      <c r="O8" s="39" t="s">
        <v>218</v>
      </c>
    </row>
    <row r="9" customFormat="false" ht="15" hidden="false" customHeight="false" outlineLevel="0" collapsed="false">
      <c r="A9" s="39" t="s">
        <v>61</v>
      </c>
      <c r="B9" s="39" t="s">
        <v>208</v>
      </c>
      <c r="C9" s="39" t="s">
        <v>219</v>
      </c>
      <c r="E9" s="39" t="s">
        <v>90</v>
      </c>
      <c r="F9" s="39" t="s">
        <v>199</v>
      </c>
      <c r="G9" s="39" t="s">
        <v>220</v>
      </c>
      <c r="I9" s="39" t="s">
        <v>99</v>
      </c>
    </row>
    <row r="10" customFormat="false" ht="15" hidden="false" customHeight="false" outlineLevel="0" collapsed="false">
      <c r="A10" s="39" t="s">
        <v>62</v>
      </c>
      <c r="B10" s="39" t="s">
        <v>175</v>
      </c>
      <c r="C10" s="39" t="s">
        <v>221</v>
      </c>
    </row>
    <row r="11" customFormat="false" ht="15" hidden="false" customHeight="false" outlineLevel="0" collapsed="false">
      <c r="A11" s="39" t="s">
        <v>63</v>
      </c>
      <c r="B11" s="39" t="s">
        <v>222</v>
      </c>
      <c r="C11" s="39" t="s">
        <v>223</v>
      </c>
    </row>
    <row r="12" customFormat="false" ht="15" hidden="false" customHeight="false" outlineLevel="0" collapsed="false">
      <c r="A12" s="39" t="s">
        <v>64</v>
      </c>
      <c r="B12" s="39" t="s">
        <v>222</v>
      </c>
      <c r="C12" s="39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2026-10-03T19:23:17Z</dcterms:created>
  <dc:creator>openpyxl</dc:creator>
  <dc:description/>
  <dc:language>en-US</dc:language>
  <cp:lastModifiedBy/>
  <dcterms:modified xsi:type="dcterms:W3CDTF">2026-10-04T02:23:20Z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