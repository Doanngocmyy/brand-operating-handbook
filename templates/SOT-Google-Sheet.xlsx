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SOURCE_OF_TRUTH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DON" sheetId="4" state="visible" r:id="rId4"/>
    <sheet xmlns:r="http://schemas.openxmlformats.org/officeDocument/2006/relationships" name="CASE" sheetId="5" state="visible" r:id="rId5"/>
    <sheet xmlns:r="http://schemas.openxmlformats.org/officeDocument/2006/relationships" name="MASTER_SKU" sheetId="6" state="visible" r:id="rId6"/>
    <sheet xmlns:r="http://schemas.openxmlformats.org/officeDocument/2006/relationships" name="LAUNCH_BLOCKERS" sheetId="7" state="visible" r:id="rId7"/>
    <sheet xmlns:r="http://schemas.openxmlformats.org/officeDocument/2006/relationships" name="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8"/>
    </font>
    <font>
      <name val="Arial"/>
      <color rgb="006E6E73"/>
      <sz val="10"/>
    </font>
    <font>
      <name val="Arial"/>
      <b val="1"/>
      <sz val="20"/>
    </font>
    <font>
      <name val="Arial"/>
      <color rgb="006E6E73"/>
      <sz val="9"/>
    </font>
    <font>
      <name val="Arial"/>
      <b val="1"/>
      <sz val="16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F6FB0"/>
      </patternFill>
    </fill>
    <fill>
      <patternFill patternType="solid">
        <fgColor rgb="008E8E93"/>
      </patternFill>
    </fill>
    <fill>
      <patternFill patternType="solid">
        <fgColor rgb="002E7D4F"/>
      </patternFill>
    </fill>
    <fill>
      <patternFill patternType="solid">
        <fgColor rgb="000F7C80"/>
      </patternFill>
    </fill>
    <fill>
      <patternFill patternType="solid">
        <fgColor rgb="006B5A45"/>
      </patternFill>
    </fill>
    <fill>
      <patternFill patternType="solid">
        <fgColor rgb="007A4FA3"/>
      </patternFill>
    </fill>
    <fill>
      <patternFill patternType="solid">
        <fgColor rgb="001D1D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2" fillId="0" borderId="0" pivotButton="0" quotePrefix="0" xfId="0"/>
    <xf numFmtId="0" fontId="3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1" fontId="6" fillId="0" borderId="0" pivotButton="0" quotePrefix="0" xfId="0"/>
    <xf numFmtId="9" fontId="6" fillId="0" borderId="0" pivotButton="0" quotePrefix="0" xfId="0"/>
    <xf numFmtId="0" fontId="7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3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DECEA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Đơn theo trạng thái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6B5A45"/>
            </a:solidFill>
            <a:ln xmlns:a="http://schemas.openxmlformats.org/drawingml/2006/main">
              <a:prstDash val="solid"/>
            </a:ln>
          </spPr>
          <cat>
            <numRef>
              <f>'DASHBOARD'!$P$6:$P$16</f>
            </numRef>
          </cat>
          <val>
            <numRef>
              <f>'DASHBOARD'!$Q$6:$Q$16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Lead time TB theo giai đoạn (ngày)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0F7C80"/>
            </a:solidFill>
            <a:ln xmlns:a="http://schemas.openxmlformats.org/drawingml/2006/main">
              <a:prstDash val="solid"/>
            </a:ln>
          </spPr>
          <cat>
            <numRef>
              <f>'DASHBOARD'!$P$19:$P$23</f>
            </numRef>
          </cat>
          <val>
            <numRef>
              <f>'DASHBOARD'!$Q$19:$Q$23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Cờ SLA đang bật → họp 09:00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'DASHBOARD'!$P$26:$P$33</f>
            </numRef>
          </cat>
          <val>
            <numRef>
              <f>'DASHBOARD'!$Q$26:$Q$33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 theo loại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F6FB0"/>
            </a:solidFill>
            <a:ln xmlns:a="http://schemas.openxmlformats.org/drawingml/2006/main">
              <a:prstDash val="solid"/>
            </a:ln>
          </spPr>
          <cat>
            <numRef>
              <f>'DASHBOARD'!$P$36:$P$43</f>
            </numRef>
          </cat>
          <val>
            <numRef>
              <f>'DASHBOARD'!$Q$36:$Q$43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Nguyên nhân gốc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E7D4F"/>
            </a:solidFill>
            <a:ln xmlns:a="http://schemas.openxmlformats.org/drawingml/2006/main">
              <a:prstDash val="solid"/>
            </a:ln>
          </spPr>
          <cat>
            <numRef>
              <f>'DASHBOARD'!$P$46:$P$53</f>
            </numRef>
          </cat>
          <val>
            <numRef>
              <f>'DASHBOARD'!$Q$46:$Q$53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13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28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28</row>
      <rowOff>0</rowOff>
    </from>
    <ext cx="468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43</row>
      <rowOff>0</rowOff>
    </from>
    <ext cx="468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cols>
    <col width="26" customWidth="1" min="2" max="2"/>
    <col width="100" customWidth="1" min="3" max="3"/>
  </cols>
  <sheetData>
    <row r="2">
      <c r="B2" s="1" t="inlineStr">
        <is>
          <t>[BRAND] Source of Truth</t>
        </is>
      </c>
      <c r="C2" s="2" t="inlineStr"/>
    </row>
    <row r="3">
      <c r="B3" s="3" t="inlineStr">
        <is>
          <t>Sổ tay</t>
        </is>
      </c>
      <c r="C3" s="2" t="inlineStr">
        <is>
          <t>https://doanngocmyy.github.io/brand-operating-handbook/docs/index.html</t>
        </is>
      </c>
    </row>
    <row r="4">
      <c r="B4" s="3" t="inlineStr">
        <is>
          <t>Ô trắng</t>
        </is>
      </c>
      <c r="C4" s="2" t="inlineStr">
        <is>
          <t>Nhập tay. Chỉ nhập ngày khi đã có BẰNG CHỨNG (mã PO, ảnh QC, lượt quét thật, POD).</t>
        </is>
      </c>
    </row>
    <row r="5">
      <c r="B5" s="3" t="inlineStr">
        <is>
          <t>Cột tiêu đề xám</t>
        </is>
      </c>
      <c r="C5" s="2" t="inlineStr">
        <is>
          <t>Tự tính bằng một công thức ở dòng 3 (ARRAYFORMULA). Không gõ vào các cột này.</t>
        </is>
      </c>
    </row>
    <row r="6">
      <c r="B6" s="3" t="inlineStr">
        <is>
          <t>Màu tiêu đề</t>
        </is>
      </c>
      <c r="C6" s="2" t="inlineStr">
        <is>
          <t>Vị trí nhập: xanh dương CX · xanh lá SRC · xanh ngọc LOG · nâu OPS · tím FIN · xám tự tính.</t>
        </is>
      </c>
    </row>
    <row r="7">
      <c r="B7" s="3" t="inlineStr">
        <is>
          <t>Họp 09:00</t>
        </is>
      </c>
      <c r="C7" s="2" t="inlineStr">
        <is>
          <t>DASHBOARD → “Cờ SLA đang bật”. Lọc từng cột ⚑ ở DON/CASE, giao người xử lý trong ngày.</t>
        </is>
      </c>
    </row>
    <row r="8">
      <c r="B8" s="3" t="inlineStr">
        <is>
          <t>Thứ Sáu</t>
        </is>
      </c>
      <c r="C8" s="2" t="inlineStr">
        <is>
          <t>OPS chụp DASHBOARD vào báo cáo tuần. Đếm case theo nguyên nhân gốc.</t>
        </is>
      </c>
    </row>
    <row r="9">
      <c r="B9" s="3" t="inlineStr">
        <is>
          <t>Dữ liệu</t>
        </is>
      </c>
      <c r="C9" s="2" t="inlineStr">
        <is>
          <t>KHÔNG ghi tên, email, SĐT, địa chỉ khách. Mã đơn là khóa nối. Chi phí FIN và danh tính NCC để file riêng.</t>
        </is>
      </c>
    </row>
    <row r="10">
      <c r="B10" s="3" t="inlineStr">
        <is>
          <t>Phân quyền</t>
        </is>
      </c>
      <c r="C10" s="2" t="inlineStr">
        <is>
          <t>Khi có nhiều người: chia sẻ theo vị trí, khóa (Protect) các cột xám và tab 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44" customWidth="1" min="3" max="3"/>
    <col width="34" customWidth="1" min="4" max="4"/>
    <col width="34" customWidth="1" min="5" max="5"/>
  </cols>
  <sheetData>
    <row r="1">
      <c r="A1" s="4" t="inlineStr">
        <is>
          <t>Source of truth: mỗi loại thông tin có MỘT bản ghi gốc. Sổ tay mô tả cách làm; số liệu sống nằm ở đây.</t>
        </is>
      </c>
    </row>
    <row r="2" ht="42" customHeight="1">
      <c r="A2" s="5" t="inlineStr">
        <is>
          <t>Thông tin</t>
        </is>
      </c>
      <c r="B2" s="5" t="inlineStr">
        <is>
          <t>Bản ghi gốc</t>
        </is>
      </c>
      <c r="C2" s="5" t="inlineStr">
        <is>
          <t>Ở đâu</t>
        </is>
      </c>
      <c r="D2" s="5" t="inlineStr">
        <is>
          <t>Ai cập nhật</t>
        </is>
      </c>
      <c r="E2" s="5" t="inlineStr">
        <is>
          <t>Ai được xem</t>
        </is>
      </c>
    </row>
    <row r="3">
      <c r="A3" s="6" t="inlineStr">
        <is>
          <t>Trạng thái đơn, cờ SLA, ETA</t>
        </is>
      </c>
      <c r="B3" s="6" t="inlineStr">
        <is>
          <t>SOP Tracker · tab DON</t>
        </is>
      </c>
      <c r="C3" s="6" t="inlineStr">
        <is>
          <t>Tab DON</t>
        </is>
      </c>
      <c r="D3" s="6" t="inlineStr">
        <is>
          <t>Chủ trì từng giai đoạn (CX, SRC, LOG)</t>
        </is>
      </c>
      <c r="E3" s="6" t="inlineStr">
        <is>
          <t>Mọi vị trí (mã đơn, không dữ liệu cá nhân)</t>
        </is>
      </c>
    </row>
    <row r="4">
      <c r="A4" s="6" t="inlineStr">
        <is>
          <t>Case khách và người duyệt</t>
        </is>
      </c>
      <c r="B4" s="6" t="inlineStr">
        <is>
          <t>SOP Tracker · tab CASE</t>
        </is>
      </c>
      <c r="C4" s="6" t="inlineStr">
        <is>
          <t>Tab CASE</t>
        </is>
      </c>
      <c r="D4" s="6" t="inlineStr">
        <is>
          <t>CX mở/đóng · người duyệt ghi tên · FIN ghi ngày hoàn</t>
        </is>
      </c>
      <c r="E4" s="6" t="inlineStr">
        <is>
          <t>CX, OPS, FIN, CEO</t>
        </is>
      </c>
    </row>
    <row r="5">
      <c r="A5" s="6" t="inlineStr">
        <is>
          <t>Thông số, kích thước, màu, chất liệu</t>
        </is>
      </c>
      <c r="B5" s="6" t="inlineStr">
        <is>
          <t>Master SKU</t>
        </is>
      </c>
      <c r="C5" s="6" t="inlineStr">
        <is>
          <t>Tab MASTER_SKU</t>
        </is>
      </c>
      <c r="D5" s="6" t="inlineStr">
        <is>
          <t>SRC chốt thông số · MKT dùng để đăng</t>
        </is>
      </c>
      <c r="E5" s="6" t="inlineStr">
        <is>
          <t>Mọi vị trí (không có danh tính NCC)</t>
        </is>
      </c>
    </row>
    <row r="6">
      <c r="A6" s="6" t="inlineStr">
        <is>
          <t>Bằng chứng NCC, PO, ảnh QC</t>
        </is>
      </c>
      <c r="B6" s="6" t="inlineStr">
        <is>
          <t>Thư mục NCC / PO / QC trên Drive</t>
        </is>
      </c>
      <c r="C6" s="6" t="inlineStr">
        <is>
          <t>Drive: thư mục NCC / PO / QC (hạn chế quyền)</t>
        </is>
      </c>
      <c r="D6" s="6" t="inlineStr">
        <is>
          <t>SRC</t>
        </is>
      </c>
      <c r="E6" s="6" t="inlineStr">
        <is>
          <t>SRC, OPS, CEO, FIN</t>
        </is>
      </c>
    </row>
    <row r="7">
      <c r="A7" s="6" t="inlineStr">
        <is>
          <t>Chứng từ lô hàng</t>
        </is>
      </c>
      <c r="B7" s="6" t="inlineStr">
        <is>
          <t>Thư mục lô hàng theo container</t>
        </is>
      </c>
      <c r="C7" s="6" t="inlineStr">
        <is>
          <t>Drive: thư mục lô hàng theo container</t>
        </is>
      </c>
      <c r="D7" s="6" t="inlineStr">
        <is>
          <t>LOG</t>
        </is>
      </c>
      <c r="E7" s="6" t="inlineStr">
        <is>
          <t>LOG, OPS, CEO, FIN</t>
        </is>
      </c>
    </row>
    <row r="8">
      <c r="A8" s="6" t="inlineStr">
        <is>
          <t>Landed cost thực, biên lãi</t>
        </is>
      </c>
      <c r="B8" s="6" t="inlineStr">
        <is>
          <t>File chi phí FIN · hạn chế quyền</t>
        </is>
      </c>
      <c r="C8" s="6" t="inlineStr">
        <is>
          <t>File chi phí FIN riêng · KHÔNG đặt trong sheet này</t>
        </is>
      </c>
      <c r="D8" s="6" t="inlineStr">
        <is>
          <t>FIN</t>
        </is>
      </c>
      <c r="E8" s="6" t="inlineStr">
        <is>
          <t>FIN, CEO (OPS xem phần cần)</t>
        </is>
      </c>
    </row>
    <row r="9">
      <c r="A9" s="6" t="inlineStr">
        <is>
          <t>Lời hứa với khách</t>
        </is>
      </c>
      <c r="B9" s="6" t="inlineStr">
        <is>
          <t>Customer-facing Policy + email xác nhận đơn</t>
        </is>
      </c>
      <c r="C9" s="6" t="inlineStr">
        <is>
          <t>Sổ tay: Customer-facing Policy + mẫu email xác nhận</t>
        </is>
      </c>
      <c r="D9" s="6" t="inlineStr">
        <is>
          <t>CEO duyệt · OPS sửa</t>
        </is>
      </c>
      <c r="E9" s="6" t="inlineStr">
        <is>
          <t>Công khai</t>
        </is>
      </c>
    </row>
    <row r="10">
      <c r="A10" s="6" t="inlineStr">
        <is>
          <t>Nội dung trang sản phẩm</t>
        </is>
      </c>
      <c r="B10" s="6" t="inlineStr">
        <is>
          <t>Listing đã duyệt từ Master SKU</t>
        </is>
      </c>
      <c r="C10" s="6" t="inlineStr">
        <is>
          <t>Shopify, đăng từ MASTER_SKU</t>
        </is>
      </c>
      <c r="D10" s="6" t="inlineStr">
        <is>
          <t>MKT</t>
        </is>
      </c>
      <c r="E10" s="6" t="inlineStr">
        <is>
          <t>Công khai sau khi duyệt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Q53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4" customWidth="1" min="16" max="16"/>
  </cols>
  <sheetData>
    <row r="2">
      <c r="B2" s="7" t="inlineStr">
        <is>
          <t>Bảng điều khiển vận hành</t>
        </is>
      </c>
    </row>
    <row r="3">
      <c r="B3">
        <f>"Hôm nay: "&amp;TEXT(TODAY(),"dd/mm/yyyy")&amp;" · từ tab DON và CASE"</f>
        <v/>
      </c>
    </row>
    <row r="5">
      <c r="B5" s="8" t="inlineStr">
        <is>
          <t>Đơn đang chạy</t>
        </is>
      </c>
      <c r="E5" s="8" t="inlineStr">
        <is>
          <t>Giao trong khung</t>
        </is>
      </c>
      <c r="H5" s="8" t="inlineStr">
        <is>
          <t>Đặt NCC ≤ 24h</t>
        </is>
      </c>
      <c r="K5" s="8" t="inlineStr">
        <is>
          <t>Cờ đỏ đơn đang mở</t>
        </is>
      </c>
      <c r="P5" s="9" t="inlineStr">
        <is>
          <t>Đơn theo trạng thái</t>
        </is>
      </c>
    </row>
    <row r="6">
      <c r="B6" s="10">
        <f>COUNTA(DON!A3:A)-COUNTIF(DON!T3:T,"99*")-COUNTIF(DON!T3:T,"95*")</f>
        <v/>
      </c>
      <c r="E6" s="11">
        <f>IFERROR(COUNTIF(DON!AB3:AB,"Có")/(COUNTIF(DON!AB3:AB,"Có")+COUNTIF(DON!AB3:AB,"Không")),"–")</f>
        <v/>
      </c>
      <c r="H6" s="11">
        <f>IFERROR(COUNTIF(DON!AE3:AE,"&lt;=1")/COUNT(DON!AE3:AE),"–")</f>
        <v/>
      </c>
      <c r="K6" s="10">
        <f>COUNTIF(DON!W3:AA,"⚑")</f>
        <v/>
      </c>
      <c r="P6" t="inlineStr">
        <is>
          <t>10 Mới</t>
        </is>
      </c>
      <c r="Q6">
        <f>COUNTIF(DON!T3:T,"10 Mới")</f>
        <v/>
      </c>
    </row>
    <row r="7">
      <c r="E7" s="12" t="inlineStr">
        <is>
          <t>Mục tiêu ≥ 90%</t>
        </is>
      </c>
      <c r="H7" s="12" t="inlineStr">
        <is>
          <t>Mục tiêu ≥ 95%</t>
        </is>
      </c>
      <c r="K7" s="12" t="inlineStr">
        <is>
          <t>Mục tiêu 0</t>
        </is>
      </c>
      <c r="P7" t="inlineStr">
        <is>
          <t>20 Đã xác nhận</t>
        </is>
      </c>
      <c r="Q7">
        <f>COUNTIF(DON!T3:T,"20 Đã xác nhận")</f>
        <v/>
      </c>
    </row>
    <row r="8">
      <c r="P8" t="inlineStr">
        <is>
          <t>30 Đã đặt NCC</t>
        </is>
      </c>
      <c r="Q8">
        <f>COUNTIF(DON!T3:T,"30 Đã đặt NCC")</f>
        <v/>
      </c>
    </row>
    <row r="9">
      <c r="B9" s="8" t="inlineStr">
        <is>
          <t>Case / đơn</t>
        </is>
      </c>
      <c r="E9" s="8" t="inlineStr">
        <is>
          <t>Phản hồi đầu (giờ, trung vị)</t>
        </is>
      </c>
      <c r="H9" s="8" t="inlineStr">
        <is>
          <t>Chargeback / đơn</t>
        </is>
      </c>
      <c r="K9" s="8" t="inlineStr">
        <is>
          <t>Chi phí case ròng (A$)</t>
        </is>
      </c>
      <c r="P9" t="inlineStr">
        <is>
          <t>40 NCC đã gửi</t>
        </is>
      </c>
      <c r="Q9">
        <f>COUNTIF(DON!T3:T,"40 NCC đã gửi")</f>
        <v/>
      </c>
    </row>
    <row r="10">
      <c r="B10" s="13">
        <f>IFERROR(COUNTA(CASE!A3:A)/COUNTA(DON!A3:A),"–")</f>
        <v/>
      </c>
      <c r="E10" s="14">
        <f>IFERROR(MEDIAN(CASE!T3:T),"–")</f>
        <v/>
      </c>
      <c r="H10" s="13">
        <f>IFERROR(COUNTIF(CASE!C3:C,"C7*")/COUNTA(DON!A3:A),"–")</f>
        <v/>
      </c>
      <c r="K10" s="15">
        <f>SUM(CASE!S3:S)</f>
        <v/>
      </c>
      <c r="P10" t="inlineStr">
        <is>
          <t>50 QC đạt</t>
        </is>
      </c>
      <c r="Q10">
        <f>COUNTIF(DON!T3:T,"50 QC đạt")</f>
        <v/>
      </c>
    </row>
    <row r="11">
      <c r="B11" s="12" t="inlineStr">
        <is>
          <t>Mục tiêu ≤ 3%</t>
        </is>
      </c>
      <c r="E11" s="12" t="inlineStr">
        <is>
          <t>Mục tiêu ≤ 4</t>
        </is>
      </c>
      <c r="H11" s="12" t="inlineStr">
        <is>
          <t>Mục tiêu ≤ 0,5%</t>
        </is>
      </c>
      <c r="P11" t="inlineStr">
        <is>
          <t>60 Đã xuất</t>
        </is>
      </c>
      <c r="Q11">
        <f>COUNTIF(DON!T3:T,"60 Đã xuất")</f>
        <v/>
      </c>
    </row>
    <row r="12">
      <c r="P12" t="inlineStr">
        <is>
          <t>70 Thông quan</t>
        </is>
      </c>
      <c r="Q12">
        <f>COUNTIF(DON!T3:T,"70 Thông quan")</f>
        <v/>
      </c>
    </row>
    <row r="13">
      <c r="P13" t="inlineStr">
        <is>
          <t>80 Đang giao</t>
        </is>
      </c>
      <c r="Q13">
        <f>COUNTIF(DON!T3:T,"80 Đang giao")</f>
        <v/>
      </c>
    </row>
    <row r="14">
      <c r="P14" t="inlineStr">
        <is>
          <t>90 Đã giao</t>
        </is>
      </c>
      <c r="Q14">
        <f>COUNTIF(DON!T3:T,"90 Đã giao")</f>
        <v/>
      </c>
    </row>
    <row r="15">
      <c r="P15" t="inlineStr">
        <is>
          <t>95 Hủy/hoàn</t>
        </is>
      </c>
      <c r="Q15">
        <f>COUNTIF(DON!T3:T,"95 Hủy/hoàn")</f>
        <v/>
      </c>
    </row>
    <row r="16">
      <c r="P16" t="inlineStr">
        <is>
          <t>99 Đóng</t>
        </is>
      </c>
      <c r="Q16">
        <f>COUNTIF(DON!T3:T,"99 Đóng")</f>
        <v/>
      </c>
    </row>
    <row r="18">
      <c r="P18" s="9" t="inlineStr">
        <is>
          <t>Lead time TB (ngày)</t>
        </is>
      </c>
    </row>
    <row r="19">
      <c r="P19" t="inlineStr">
        <is>
          <t>S1–S2 TT→Đặt NCC</t>
        </is>
      </c>
      <c r="Q19">
        <f>IFERROR(AVERAGE(DON!AE3:AE),0)</f>
        <v/>
      </c>
    </row>
    <row r="20">
      <c r="P20" t="inlineStr">
        <is>
          <t>S3 Đặt→NCC gửi</t>
        </is>
      </c>
      <c r="Q20">
        <f>IFERROR(AVERAGE(DON!AF3:AF),0)</f>
        <v/>
      </c>
    </row>
    <row r="21">
      <c r="P21" t="inlineStr">
        <is>
          <t>S4 Gửi→QC đạt</t>
        </is>
      </c>
      <c r="Q21">
        <f>IFERROR(AVERAGE(DON!AG3:AG),0)</f>
        <v/>
      </c>
    </row>
    <row r="22">
      <c r="P22" t="inlineStr">
        <is>
          <t>S5 QC→Xuất</t>
        </is>
      </c>
      <c r="Q22">
        <f>IFERROR(AVERAGE(DON!AH3:AH),0)</f>
        <v/>
      </c>
    </row>
    <row r="23">
      <c r="P23" t="inlineStr">
        <is>
          <t>S6–S7 Xuất→Giao</t>
        </is>
      </c>
      <c r="Q23">
        <f>IFERROR(AVERAGE(DON!AI3:AI),0)</f>
        <v/>
      </c>
    </row>
    <row r="25">
      <c r="P25" s="9" t="inlineStr">
        <is>
          <t>Cờ SLA đang bật</t>
        </is>
      </c>
    </row>
    <row r="26">
      <c r="P26" t="inlineStr">
        <is>
          <t>Chưa đặt NCC &gt;24h</t>
        </is>
      </c>
      <c r="Q26">
        <f>COUNTIF(DON!W3:W,"⚑")</f>
        <v/>
      </c>
    </row>
    <row r="27">
      <c r="P27" t="inlineStr">
        <is>
          <t>NCC quá hẹn &gt;2d</t>
        </is>
      </c>
      <c r="Q27">
        <f>COUNTIF(DON!X3:X,"⚑")</f>
        <v/>
      </c>
    </row>
    <row r="28">
      <c r="P28" t="inlineStr">
        <is>
          <t>Sắp vượt ETA</t>
        </is>
      </c>
      <c r="Q28">
        <f>COUNTIF(DON!Y3:Y,"⚑")</f>
        <v/>
      </c>
    </row>
    <row r="29">
      <c r="P29" t="inlineStr">
        <is>
          <t>Vượt ETA</t>
        </is>
      </c>
      <c r="Q29">
        <f>COUNTIF(DON!Z3:Z,"⚑")</f>
        <v/>
      </c>
    </row>
    <row r="30">
      <c r="P30" t="inlineStr">
        <is>
          <t>&gt;7d chưa cập nhật KH</t>
        </is>
      </c>
      <c r="Q30">
        <f>COUNTIF(DON!AA3:AA,"⚑")</f>
        <v/>
      </c>
    </row>
    <row r="31">
      <c r="P31" t="inlineStr">
        <is>
          <t>Case phản hồi &gt;24h</t>
        </is>
      </c>
      <c r="Q31">
        <f>COUNTIF(CASE!V3:V,"⚑")</f>
        <v/>
      </c>
    </row>
    <row r="32">
      <c r="P32" t="inlineStr">
        <is>
          <t>Case mở &gt;7 ngày</t>
        </is>
      </c>
      <c r="Q32">
        <f>COUNTIF(CASE!W3:W,"⚑")</f>
        <v/>
      </c>
    </row>
    <row r="33">
      <c r="P33" t="inlineStr">
        <is>
          <t>Case duyệt sai cấp</t>
        </is>
      </c>
      <c r="Q33">
        <f>COUNTIF(CASE!X3:X,"⚑")</f>
        <v/>
      </c>
    </row>
    <row r="35">
      <c r="P35" s="9" t="inlineStr">
        <is>
          <t>Case theo loại</t>
        </is>
      </c>
    </row>
    <row r="36">
      <c r="P36" t="inlineStr">
        <is>
          <t>C1 Hủy đơn</t>
        </is>
      </c>
      <c r="Q36">
        <f>COUNTIF(CASE!C3:C,"C1 Hủy đơn")</f>
        <v/>
      </c>
    </row>
    <row r="37">
      <c r="P37" t="inlineStr">
        <is>
          <t>C2 Trễ hạn</t>
        </is>
      </c>
      <c r="Q37">
        <f>COUNTIF(CASE!C3:C,"C2 Trễ hạn")</f>
        <v/>
      </c>
    </row>
    <row r="38">
      <c r="P38" t="inlineStr">
        <is>
          <t>C3 Hư hỏng</t>
        </is>
      </c>
      <c r="Q38">
        <f>COUNTIF(CASE!C3:C,"C3 Hư hỏng")</f>
        <v/>
      </c>
    </row>
    <row r="39">
      <c r="P39" t="inlineStr">
        <is>
          <t>C4 Thiếu kiện/phụ kiện</t>
        </is>
      </c>
      <c r="Q39">
        <f>COUNTIF(CASE!C3:C,"C4 Thiếu kiện/phụ kiện")</f>
        <v/>
      </c>
    </row>
    <row r="40">
      <c r="P40" t="inlineStr">
        <is>
          <t>C5 Sai hàng/khác mô tả</t>
        </is>
      </c>
      <c r="Q40">
        <f>COUNTIF(CASE!C3:C,"C5 Sai hàng/khác mô tả")</f>
        <v/>
      </c>
    </row>
    <row r="41">
      <c r="P41" t="inlineStr">
        <is>
          <t>C6 Đổi ý</t>
        </is>
      </c>
      <c r="Q41">
        <f>COUNTIF(CASE!C3:C,"C6 Đổi ý")</f>
        <v/>
      </c>
    </row>
    <row r="42">
      <c r="P42" t="inlineStr">
        <is>
          <t>C7 Chargeback</t>
        </is>
      </c>
      <c r="Q42">
        <f>COUNTIF(CASE!C3:C,"C7 Chargeback")</f>
        <v/>
      </c>
    </row>
    <row r="43">
      <c r="P43" t="inlineStr">
        <is>
          <t>C8 Bảo hành</t>
        </is>
      </c>
      <c r="Q43">
        <f>COUNTIF(CASE!C3:C,"C8 Bảo hành")</f>
        <v/>
      </c>
    </row>
    <row r="45">
      <c r="P45" s="9" t="inlineStr">
        <is>
          <t>Case theo nguyên nhân gốc</t>
        </is>
      </c>
    </row>
    <row r="46">
      <c r="P46" t="inlineStr">
        <is>
          <t>RC-NCC</t>
        </is>
      </c>
      <c r="Q46">
        <f>COUNTIF(CASE!P3:P,"RC-NCC")</f>
        <v/>
      </c>
    </row>
    <row r="47">
      <c r="P47" t="inlineStr">
        <is>
          <t>RC-PACK</t>
        </is>
      </c>
      <c r="Q47">
        <f>COUNTIF(CASE!P3:P,"RC-PACK")</f>
        <v/>
      </c>
    </row>
    <row r="48">
      <c r="P48" t="inlineStr">
        <is>
          <t>RC-QC</t>
        </is>
      </c>
      <c r="Q48">
        <f>COUNTIF(CASE!P3:P,"RC-QC")</f>
        <v/>
      </c>
    </row>
    <row r="49">
      <c r="P49" t="inlineStr">
        <is>
          <t>RC-FWD</t>
        </is>
      </c>
      <c r="Q49">
        <f>COUNTIF(CASE!P3:P,"RC-FWD")</f>
        <v/>
      </c>
    </row>
    <row r="50">
      <c r="P50" t="inlineStr">
        <is>
          <t>RC-LAST</t>
        </is>
      </c>
      <c r="Q50">
        <f>COUNTIF(CASE!P3:P,"RC-LAST")</f>
        <v/>
      </c>
    </row>
    <row r="51">
      <c r="P51" t="inlineStr">
        <is>
          <t>RC-LIST</t>
        </is>
      </c>
      <c r="Q51">
        <f>COUNTIF(CASE!P3:P,"RC-LIST")</f>
        <v/>
      </c>
    </row>
    <row r="52">
      <c r="P52" t="inlineStr">
        <is>
          <t>RC-CX</t>
        </is>
      </c>
      <c r="Q52">
        <f>COUNTIF(CASE!P3:P,"RC-CX")</f>
        <v/>
      </c>
    </row>
    <row r="53">
      <c r="P53" t="inlineStr">
        <is>
          <t>RC-CUST</t>
        </is>
      </c>
      <c r="Q53">
        <f>COUNTIF(CASE!P3:P,"RC-CUST")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11" customWidth="1" min="16" max="16"/>
    <col width="10" customWidth="1" min="17" max="17"/>
    <col width="10" customWidth="1" min="18" max="18"/>
    <col width="11" customWidth="1" min="19" max="19"/>
    <col width="15" customWidth="1" min="20" max="20"/>
    <col width="9" customWidth="1" min="21" max="21"/>
    <col width="9" customWidth="1" min="22" max="22"/>
    <col width="10" customWidth="1" min="23" max="23"/>
    <col width="10" customWidth="1" min="24" max="24"/>
    <col width="10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1">
      <c r="A1" s="4" t="inlineStr">
        <is>
          <t>SOP-A · Theo dõi đơn — nhập ngày khi có BẰNG CHỨNG · cột xám tự tính (không gõ đè) · màu tiêu đề = vị trí nhập</t>
        </is>
      </c>
    </row>
    <row r="2" ht="42" customHeight="1">
      <c r="A2" s="16" t="inlineStr">
        <is>
          <t>Mã đơn</t>
        </is>
      </c>
      <c r="B2" s="16" t="inlineStr">
        <is>
          <t>Thị trường</t>
        </is>
      </c>
      <c r="C2" s="16" t="inlineStr">
        <is>
          <t>SKU</t>
        </is>
      </c>
      <c r="D2" s="16" t="inlineStr">
        <is>
          <t>Giá trị (A$)</t>
        </is>
      </c>
      <c r="E2" s="16" t="inlineStr">
        <is>
          <t>Ngày thanh toán</t>
        </is>
      </c>
      <c r="F2" s="17" t="inlineStr">
        <is>
          <t>ETA min</t>
        </is>
      </c>
      <c r="G2" s="17" t="inlineStr">
        <is>
          <t>ETA max (đã hứa)</t>
        </is>
      </c>
      <c r="H2" s="16" t="inlineStr">
        <is>
          <t>20 Xác nhận</t>
        </is>
      </c>
      <c r="I2" s="18" t="inlineStr">
        <is>
          <t>30 Đặt NCC</t>
        </is>
      </c>
      <c r="J2" s="18" t="inlineStr">
        <is>
          <t>Hẹn NCC gửi</t>
        </is>
      </c>
      <c r="K2" s="18" t="inlineStr">
        <is>
          <t>40 NCC gửi</t>
        </is>
      </c>
      <c r="L2" s="18" t="inlineStr">
        <is>
          <t>50 QC đạt</t>
        </is>
      </c>
      <c r="M2" s="19" t="inlineStr">
        <is>
          <t>60 Xuất (quét thật)</t>
        </is>
      </c>
      <c r="N2" s="19" t="inlineStr">
        <is>
          <t>70 Thông quan</t>
        </is>
      </c>
      <c r="O2" s="19" t="inlineStr">
        <is>
          <t>80 Bàn giao giao cuối</t>
        </is>
      </c>
      <c r="P2" s="19" t="inlineStr">
        <is>
          <t>90 Đã giao (POD)</t>
        </is>
      </c>
      <c r="Q2" s="20" t="inlineStr">
        <is>
          <t>99 Đóng</t>
        </is>
      </c>
      <c r="R2" s="21" t="inlineStr">
        <is>
          <t>95 Hủy/hoàn</t>
        </is>
      </c>
      <c r="S2" s="16" t="inlineStr">
        <is>
          <t>Cập nhật KH gần nhất</t>
        </is>
      </c>
      <c r="T2" s="17" t="inlineStr">
        <is>
          <t>Trạng thái</t>
        </is>
      </c>
      <c r="U2" s="17" t="inlineStr">
        <is>
          <t>Chủ trì hiện tại</t>
        </is>
      </c>
      <c r="V2" s="17" t="inlineStr">
        <is>
          <t>Ngày ở trạng thái</t>
        </is>
      </c>
      <c r="W2" s="17" t="inlineStr">
        <is>
          <t>⚑ Chưa đặt NCC &gt;24h</t>
        </is>
      </c>
      <c r="X2" s="17" t="inlineStr">
        <is>
          <t>⚑ NCC quá hẹn &gt;2d</t>
        </is>
      </c>
      <c r="Y2" s="17" t="inlineStr">
        <is>
          <t>⚑ Sắp vượt ETA (≤14d)</t>
        </is>
      </c>
      <c r="Z2" s="17" t="inlineStr">
        <is>
          <t>⚑ Vượt ETA</t>
        </is>
      </c>
      <c r="AA2" s="17" t="inlineStr">
        <is>
          <t>⚑ &gt;7d chưa cập nhật KH</t>
        </is>
      </c>
      <c r="AB2" s="17" t="inlineStr">
        <is>
          <t>Giao trong khung</t>
        </is>
      </c>
      <c r="AC2" s="17" t="inlineStr">
        <is>
          <t>Lead time tổng (ngày)</t>
        </is>
      </c>
      <c r="AD2" s="17" t="inlineStr">
        <is>
          <t>Số case</t>
        </is>
      </c>
      <c r="AE2" s="17" t="inlineStr">
        <is>
          <t>S1–S2 TT→Đặt NCC</t>
        </is>
      </c>
      <c r="AF2" s="17" t="inlineStr">
        <is>
          <t>S3 Đặt→NCC gửi</t>
        </is>
      </c>
      <c r="AG2" s="17" t="inlineStr">
        <is>
          <t>S4 Gửi→QC đạt</t>
        </is>
      </c>
      <c r="AH2" s="17" t="inlineStr">
        <is>
          <t>S5 QC→Xuất</t>
        </is>
      </c>
      <c r="AI2" s="17" t="inlineStr">
        <is>
          <t>S6–S7 Xuất→Giao</t>
        </is>
      </c>
    </row>
    <row r="3">
      <c r="F3">
        <f>ARRAYFORMULA(IF(E3:E="","",E3:E+7*IFERROR(VLOOKUP(B3:B,DS!$K$2:$M$4,2,FALSE),12)))</f>
        <v/>
      </c>
      <c r="G3">
        <f>ARRAYFORMULA(IF(E3:E="","",E3:E+7*IFERROR(VLOOKUP(B3:B,DS!$K$2:$M$4,3,FALSE),12)))</f>
        <v/>
      </c>
      <c r="T3">
        <f>ARRAYFORMULA(IF(A3:A="","",IF(R3:R&lt;&gt;"","95 Hủy/hoàn",IF(Q3:Q&lt;&gt;"","99 Đóng",IF(P3:P&lt;&gt;"","90 Đã giao",IF(O3:O&lt;&gt;"","80 Đang giao",IF(N3:N&lt;&gt;"","70 Thông quan",IF(M3:M&lt;&gt;"","60 Đã xuất",IF(L3:L&lt;&gt;"","50 QC đạt",IF(K3:K&lt;&gt;"","40 NCC đã gửi",IF(I3:I&lt;&gt;"","30 Đã đặt NCC",IF(H3:H&lt;&gt;"","20 Đã xác nhận","10 Mới"))))))))))))</f>
        <v/>
      </c>
      <c r="U3">
        <f>ARRAYFORMULA(IF(T3:T="","",IFERROR(VLOOKUP(T3:T,DS!$A$2:$B$12,2,FALSE),"")))</f>
        <v/>
      </c>
      <c r="V3">
        <f>ARRAYFORMULA(IF((T3:T="")+(LEFT(T3:T,2)="99")+(LEFT(T3:T,2)="95"),"",TODAY()-IF(R3:R&lt;&gt;"",R3:R,IF(Q3:Q&lt;&gt;"",Q3:Q,IF(P3:P&lt;&gt;"",P3:P,IF(O3:O&lt;&gt;"",O3:O,IF(N3:N&lt;&gt;"",N3:N,IF(M3:M&lt;&gt;"",M3:M,IF(L3:L&lt;&gt;"",L3:L,IF(K3:K&lt;&gt;"",K3:K,IF(I3:I&lt;&gt;"",I3:I,IF(H3:H&lt;&gt;"",H3:H,E3:E))))))))))))</f>
        <v/>
      </c>
      <c r="W3">
        <f>ARRAYFORMULA(IF((E3:E&lt;&gt;"")*(I3:I="")*(R3:R=""),IF(TODAY()-E3:E&gt;1,"⚑",""),""))</f>
        <v/>
      </c>
      <c r="X3">
        <f>ARRAYFORMULA(IF((J3:J&lt;&gt;"")*(K3:K="")*(R3:R=""),IF(TODAY()-J3:J&gt;2,"⚑",""),""))</f>
        <v/>
      </c>
      <c r="Y3">
        <f>ARRAYFORMULA(IF((G3:G&lt;&gt;"")*(M3:M="")*(R3:R=""),IF((G3:G-TODAY()&lt;=14)*(G3:G&gt;=TODAY()),"⚑",""),""))</f>
        <v/>
      </c>
      <c r="Z3">
        <f>ARRAYFORMULA(IF((G3:G&lt;&gt;"")*(P3:P="")*(R3:R=""),IF(TODAY()&gt;G3:G,"⚑",""),""))</f>
        <v/>
      </c>
      <c r="AA3">
        <f>ARRAYFORMULA(IF((E3:E&lt;&gt;"")*(P3:P="")*(R3:R=""),IF(TODAY()-BYROW({E3:E,H3:H,M3:M,S3:S},LAMBDA(r,MAX(r)))&gt;7,"⚑",""),""))</f>
        <v/>
      </c>
      <c r="AB3">
        <f>ARRAYFORMULA(IF((P3:P="")+(G3:G=""),"",IF(P3:P&lt;=G3:G,"Có","Không")))</f>
        <v/>
      </c>
      <c r="AC3">
        <f>ARRAYFORMULA(IF((P3:P="")+(E3:E=""),"",P3:P-E3:E))</f>
        <v/>
      </c>
      <c r="AD3">
        <f>ARRAYFORMULA(IF(A3:A="","",COUNTIF(CASE!B3:B,A3:A)))</f>
        <v/>
      </c>
      <c r="AE3">
        <f>ARRAYFORMULA(IF((I3:I="")+(E3:E=""),"",I3:I-E3:E))</f>
        <v/>
      </c>
      <c r="AF3">
        <f>ARRAYFORMULA(IF((K3:K="")+(I3:I=""),"",K3:K-I3:I))</f>
        <v/>
      </c>
      <c r="AG3">
        <f>ARRAYFORMULA(IF((L3:L="")+(K3:K=""),"",L3:L-K3:K))</f>
        <v/>
      </c>
      <c r="AH3">
        <f>ARRAYFORMULA(IF((M3:M="")+(L3:L=""),"",M3:M-L3:L))</f>
        <v/>
      </c>
      <c r="AI3">
        <f>ARRAYFORMULA(IF((P3:P="")+(M3:M=""),"",P3:P-M3:M))</f>
        <v/>
      </c>
    </row>
  </sheetData>
  <conditionalFormatting sqref="W3:W1000">
    <cfRule type="cellIs" priority="1" operator="equal" dxfId="0">
      <formula>"⚑"</formula>
    </cfRule>
  </conditionalFormatting>
  <conditionalFormatting sqref="X3:X1000">
    <cfRule type="cellIs" priority="2" operator="equal" dxfId="0">
      <formula>"⚑"</formula>
    </cfRule>
  </conditionalFormatting>
  <conditionalFormatting sqref="Y3:Y1000">
    <cfRule type="cellIs" priority="3" operator="equal" dxfId="0">
      <formula>"⚑"</formula>
    </cfRule>
  </conditionalFormatting>
  <conditionalFormatting sqref="Z3:Z1000">
    <cfRule type="cellIs" priority="4" operator="equal" dxfId="0">
      <formula>"⚑"</formula>
    </cfRule>
  </conditionalFormatting>
  <conditionalFormatting sqref="AA3:AA1000">
    <cfRule type="cellIs" priority="5" operator="equal" dxfId="0">
      <formula>"⚑"</formula>
    </cfRule>
  </conditionalFormatting>
  <conditionalFormatting sqref="AB3:AB1000">
    <cfRule type="cellIs" priority="6" operator="equal" dxfId="1">
      <formula>"Có"</formula>
    </cfRule>
    <cfRule type="cellIs" priority="7" operator="equal" dxfId="0">
      <formula>"Không"</formula>
    </cfRule>
  </conditionalFormatting>
  <dataValidations count="1">
    <dataValidation sqref="B3:B1000" showDropDown="0" showInputMessage="0" showErrorMessage="0" allowBlank="1" type="list">
      <formula1>=DS!$K$2:$K$4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2" customWidth="1" min="4" max="4"/>
    <col width="14" customWidth="1" min="5" max="5"/>
    <col width="14" customWidth="1" min="6" max="6"/>
    <col width="11" customWidth="1" min="7" max="7"/>
    <col width="16" customWidth="1" min="8" max="8"/>
    <col width="10" customWidth="1" min="9" max="9"/>
    <col width="9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  <col width="10" customWidth="1" min="18" max="18"/>
    <col width="10" customWidth="1" min="19" max="19"/>
    <col width="9" customWidth="1" min="20" max="20"/>
    <col width="9" customWidth="1" min="21" max="21"/>
    <col width="10" customWidth="1" min="22" max="22"/>
    <col width="10" customWidth="1" min="23" max="23"/>
    <col width="10" customWidth="1" min="24" max="24"/>
    <col width="36" customWidth="1" min="25" max="25"/>
  </cols>
  <sheetData>
    <row r="1">
      <c r="A1" s="4" t="inlineStr">
        <is>
          <t>SOP-B · Case hậu mãi — mỗi case một dòng · đóng case phải có nguyên nhân gốc</t>
        </is>
      </c>
    </row>
    <row r="2" ht="42" customHeight="1">
      <c r="A2" s="16" t="inlineStr">
        <is>
          <t>Mã case</t>
        </is>
      </c>
      <c r="B2" s="16" t="inlineStr">
        <is>
          <t>Mã đơn</t>
        </is>
      </c>
      <c r="C2" s="16" t="inlineStr">
        <is>
          <t>Loại</t>
        </is>
      </c>
      <c r="D2" s="16" t="inlineStr">
        <is>
          <t>Kênh</t>
        </is>
      </c>
      <c r="E2" s="16" t="inlineStr">
        <is>
          <t>Mở lúc</t>
        </is>
      </c>
      <c r="F2" s="16" t="inlineStr">
        <is>
          <t>Phản hồi đầu lúc</t>
        </is>
      </c>
      <c r="G2" s="16" t="inlineStr">
        <is>
          <t>Đủ bằng chứng</t>
        </is>
      </c>
      <c r="H2" s="16" t="inlineStr">
        <is>
          <t>Giải pháp</t>
        </is>
      </c>
      <c r="I2" s="16" t="inlineStr">
        <is>
          <t>Đền bù / hoàn (A$)</t>
        </is>
      </c>
      <c r="J2" s="17" t="inlineStr">
        <is>
          <t>Cấp duyệt cần</t>
        </is>
      </c>
      <c r="K2" s="20" t="inlineStr">
        <is>
          <t>Người duyệt</t>
        </is>
      </c>
      <c r="L2" s="17" t="inlineStr">
        <is>
          <t>Đúng cấp?</t>
        </is>
      </c>
      <c r="M2" s="18" t="inlineStr">
        <is>
          <t>Thực thi xong</t>
        </is>
      </c>
      <c r="N2" s="21" t="inlineStr">
        <is>
          <t>Ngày hoàn tiền</t>
        </is>
      </c>
      <c r="O2" s="16" t="inlineStr">
        <is>
          <t>Đóng case</t>
        </is>
      </c>
      <c r="P2" s="20" t="inlineStr">
        <is>
          <t>Nguyên nhân gốc</t>
        </is>
      </c>
      <c r="Q2" s="18" t="inlineStr">
        <is>
          <t>Thu hồi từ</t>
        </is>
      </c>
      <c r="R2" s="21" t="inlineStr">
        <is>
          <t>Số thu hồi (A$)</t>
        </is>
      </c>
      <c r="S2" s="17" t="inlineStr">
        <is>
          <t>Chi phí ròng (A$)</t>
        </is>
      </c>
      <c r="T2" s="17" t="inlineStr">
        <is>
          <t>Giờ phản hồi</t>
        </is>
      </c>
      <c r="U2" s="17" t="inlineStr">
        <is>
          <t>Số ngày mở</t>
        </is>
      </c>
      <c r="V2" s="17" t="inlineStr">
        <is>
          <t>⚑ Phản hồi &gt;24h</t>
        </is>
      </c>
      <c r="W2" s="17" t="inlineStr">
        <is>
          <t>⚑ Mở &gt;7 ngày</t>
        </is>
      </c>
      <c r="X2" s="17" t="inlineStr">
        <is>
          <t>⚑ Duyệt sai cấp</t>
        </is>
      </c>
      <c r="Y2" s="16" t="inlineStr">
        <is>
          <t>Ghi chú (không ghi dữ liệu cá nhân)</t>
        </is>
      </c>
    </row>
    <row r="3">
      <c r="J3">
        <f>ARRAYFORMULA(IF(I3:I="","",IF((I3:I&gt;150)+(H3:H="R4 Hoàn 100%"),"CEO",IF(I3:I&gt;50,"OPS","CX"))))</f>
        <v/>
      </c>
      <c r="L3">
        <f>ARRAYFORMULA(IF((J3:J="")+(K3:K=""),"",IF(IFERROR(MATCH(K3:K,DS!$H$2:$H$4,0),0)&gt;=IFERROR(MATCH(J3:J,DS!$H$2:$H$4,0),9),"✓","✗")))</f>
        <v/>
      </c>
      <c r="S3">
        <f>ARRAYFORMULA(IF(A3:A="","",IFERROR(I3:I*1,0)-IFERROR(R3:R*1,0)))</f>
        <v/>
      </c>
      <c r="T3">
        <f>ARRAYFORMULA(IF((E3:E="")+(F3:F=""),"",ROUND((F3:F-E3:E)*24,1)))</f>
        <v/>
      </c>
      <c r="U3">
        <f>ARRAYFORMULA(IF(E3:E="","",INT(IF(O3:O="",NOW(),O3:O)-E3:E)))</f>
        <v/>
      </c>
      <c r="V3">
        <f>ARRAYFORMULA(IF(E3:E="","",IF(F3:F="",IF((NOW()-E3:E)*24&gt;24,"⚑",""),IF((F3:F-E3:E)*24&gt;24,"⚑",""))))</f>
        <v/>
      </c>
      <c r="W3">
        <f>ARRAYFORMULA(IF((E3:E="")+(O3:O&lt;&gt;""),"",IF(NOW()-E3:E&gt;7,"⚑","")))</f>
        <v/>
      </c>
      <c r="X3">
        <f>ARRAYFORMULA(IF(L3:L="✗","⚑",""))</f>
        <v/>
      </c>
    </row>
  </sheetData>
  <conditionalFormatting sqref="V3:V1000">
    <cfRule type="cellIs" priority="1" operator="equal" dxfId="0">
      <formula>"⚑"</formula>
    </cfRule>
  </conditionalFormatting>
  <conditionalFormatting sqref="W3:W1000">
    <cfRule type="cellIs" priority="2" operator="equal" dxfId="0">
      <formula>"⚑"</formula>
    </cfRule>
  </conditionalFormatting>
  <conditionalFormatting sqref="X3:X1000">
    <cfRule type="cellIs" priority="3" operator="equal" dxfId="0">
      <formula>"⚑"</formula>
    </cfRule>
  </conditionalFormatting>
  <dataValidations count="5">
    <dataValidation sqref="C3:C1000" showDropDown="0" showInputMessage="0" showErrorMessage="0" allowBlank="1" type="list">
      <formula1>=DS!$E$2:$E$9</formula1>
    </dataValidation>
    <dataValidation sqref="D3:D1000" showDropDown="0" showInputMessage="0" showErrorMessage="0" allowBlank="1" type="list">
      <formula1>=DS!$O$2:$O$8</formula1>
    </dataValidation>
    <dataValidation sqref="H3:H1000" showDropDown="0" showInputMessage="0" showErrorMessage="0" allowBlank="1" type="list">
      <formula1>=DS!$G$2:$G$9</formula1>
    </dataValidation>
    <dataValidation sqref="K3:K1000" showDropDown="0" showInputMessage="0" showErrorMessage="0" allowBlank="1" type="list">
      <formula1>=DS!$H$2:$H$4</formula1>
    </dataValidation>
    <dataValidation sqref="P3:P1000" showDropDown="0" showInputMessage="0" showErrorMessage="0" allowBlank="1" type="list">
      <formula1>=DS!$I$2:$I$9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2" topLeftCell="A3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4" t="inlineStr">
        <is>
          <t>Master SKU: nguồn duy nhất cho thông số đăng web, nhãn, chứng từ. Chỉ ghi mã NCC nội bộ, không ghi tên/link NCC.</t>
        </is>
      </c>
    </row>
    <row r="2" ht="42" customHeight="1">
      <c r="A2" s="5" t="inlineStr">
        <is>
          <t>Mã SP</t>
        </is>
      </c>
      <c r="B2" s="5" t="inlineStr">
        <is>
          <t>SKU biến thể</t>
        </is>
      </c>
      <c r="C2" s="5" t="inlineStr">
        <is>
          <t>Nhóm chính</t>
        </is>
      </c>
      <c r="D2" s="5" t="inlineStr">
        <is>
          <t>Nhóm con</t>
        </is>
      </c>
      <c r="E2" s="5" t="inlineStr">
        <is>
          <t>Tên tiếng Anh</t>
        </is>
      </c>
      <c r="F2" s="5" t="inlineStr">
        <is>
          <t>Màu chuẩn (mã)</t>
        </is>
      </c>
      <c r="G2" s="5" t="inlineStr">
        <is>
          <t>Chất liệu từng bộ phận</t>
        </is>
      </c>
      <c r="H2" s="5" t="inlineStr">
        <is>
          <t>Lớp phủ</t>
        </is>
      </c>
      <c r="I2" s="5" t="inlineStr">
        <is>
          <t>W (cm)</t>
        </is>
      </c>
      <c r="J2" s="5" t="inlineStr">
        <is>
          <t>D (cm)</t>
        </is>
      </c>
      <c r="K2" s="5" t="inlineStr">
        <is>
          <t>H (cm)</t>
        </is>
      </c>
      <c r="L2" s="5" t="inlineStr">
        <is>
          <t>Dung sai đăng web</t>
        </is>
      </c>
      <c r="M2" s="5" t="inlineStr">
        <is>
          <t>Số kiện</t>
        </is>
      </c>
      <c r="N2" s="5" t="inlineStr">
        <is>
          <t>KT + cân nặng từng kiện</t>
        </is>
      </c>
      <c r="O2" s="5" t="inlineStr">
        <is>
          <t>Lắp (phút)</t>
        </is>
      </c>
      <c r="P2" s="5" t="inlineStr">
        <is>
          <t>Cảnh báo đổ ngã (Y/N)</t>
        </is>
      </c>
      <c r="Q2" s="5" t="inlineStr">
        <is>
          <t>Gỗ / tre / mây (Y/N)</t>
        </is>
      </c>
      <c r="R2" s="5" t="inlineStr">
        <is>
          <t>Hướng dẫn lắp EN (link)</t>
        </is>
      </c>
      <c r="S2" s="5" t="inlineStr">
        <is>
          <t>Quyền dùng ảnh (bằng chứng)</t>
        </is>
      </c>
      <c r="T2" s="5" t="inlineStr">
        <is>
          <t>Hạng A/B/C</t>
        </is>
      </c>
      <c r="U2" s="5" t="inlineStr">
        <is>
          <t>Đạt 7 tiêu chí (Y/N)</t>
        </is>
      </c>
      <c r="V2" s="5" t="inlineStr">
        <is>
          <t>Mã NCC chính (nội bộ)</t>
        </is>
      </c>
      <c r="W2" s="5" t="inlineStr">
        <is>
          <t>Mã NCC dự phòng (nội bộ)</t>
        </is>
      </c>
      <c r="X2" s="5" t="inlineStr">
        <is>
          <t>Hàng mẫu đã kiểm (ngày)</t>
        </is>
      </c>
      <c r="Y2" s="5" t="inlineStr">
        <is>
          <t>Trạng thái listing</t>
        </is>
      </c>
      <c r="Z2" s="5" t="inlineStr">
        <is>
          <t>Người duyệt</t>
        </is>
      </c>
    </row>
  </sheetData>
  <dataValidations count="5">
    <dataValidation sqref="T3:T1000" showDropDown="0" showInputMessage="0" showErrorMessage="0" allowBlank="1" type="list">
      <formula1>"A,B,C"</formula1>
    </dataValidation>
    <dataValidation sqref="U3:U1000" showDropDown="0" showInputMessage="0" showErrorMessage="0" allowBlank="1" type="list">
      <formula1>"Y,N"</formula1>
    </dataValidation>
    <dataValidation sqref="P3:P1000" showDropDown="0" showInputMessage="0" showErrorMessage="0" allowBlank="1" type="list">
      <formula1>"Y,N"</formula1>
    </dataValidation>
    <dataValidation sqref="Q3:Q1000" showDropDown="0" showInputMessage="0" showErrorMessage="0" allowBlank="1" type="list">
      <formula1>"Y,N"</formula1>
    </dataValidation>
    <dataValidation sqref="Y3:Y1000" showDropDown="0" showInputMessage="0" showErrorMessage="0" allowBlank="1" type="list">
      <formula1>"Nháp,Duyệt,Đăng,Tạm ngừng"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60" customWidth="1" min="3" max="3"/>
    <col width="12" customWidth="1" min="4" max="4"/>
    <col width="12" customWidth="1" min="5" max="5"/>
    <col width="30" customWidth="1" min="6" max="6"/>
  </cols>
  <sheetData>
    <row r="1">
      <c r="A1" s="4" t="inlineStr">
        <is>
          <t>Launch blockers: phải đóng trước khi đăng chính sách hoặc chạy quảng cáo.</t>
        </is>
      </c>
    </row>
    <row r="2" ht="42" customHeight="1">
      <c r="A2" s="5" t="inlineStr">
        <is>
          <t>Mã</t>
        </is>
      </c>
      <c r="B2" s="5" t="inlineStr">
        <is>
          <t>Việc chưa xong</t>
        </is>
      </c>
      <c r="C2" s="5" t="inlineStr">
        <is>
          <t>Mô tả</t>
        </is>
      </c>
      <c r="D2" s="5" t="inlineStr">
        <is>
          <t>Chủ</t>
        </is>
      </c>
      <c r="E2" s="5" t="inlineStr">
        <is>
          <t>Trạng thái</t>
        </is>
      </c>
      <c r="F2" s="5" t="inlineStr">
        <is>
          <t>Ngày đóng · bằng chứng</t>
        </is>
      </c>
    </row>
    <row r="3">
      <c r="A3" s="6" t="inlineStr">
        <is>
          <t>GST</t>
        </is>
      </c>
      <c r="B3" s="6" t="inlineStr">
        <is>
          <t>GST / thuế nhập khẩu</t>
        </is>
      </c>
      <c r="C3" s="6" t="inlineStr">
        <is>
          <t>Giá niêm yết đã gồm hay chưa gồm GST và thuế nhập khẩu: chờ chốt pháp nhân bán hàng và đăng ký GST.</t>
        </is>
      </c>
      <c r="D3" s="6" t="inlineStr">
        <is>
          <t>CEO</t>
        </is>
      </c>
      <c r="E3" s="6" t="inlineStr">
        <is>
          <t>Mở</t>
        </is>
      </c>
      <c r="F3" s="6" t="inlineStr"/>
    </row>
    <row r="4">
      <c r="A4" s="6" t="inlineStr">
        <is>
          <t>EMAIL</t>
        </is>
      </c>
      <c r="B4" s="6" t="inlineStr">
        <is>
          <t>Email hỗ trợ</t>
        </is>
      </c>
      <c r="C4" s="6" t="inlineStr">
        <is>
          <t>Chưa có email hỗ trợ chính thức cho chính sách và website.</t>
        </is>
      </c>
      <c r="D4" s="6" t="inlineStr">
        <is>
          <t>CEO</t>
        </is>
      </c>
      <c r="E4" s="6" t="inlineStr">
        <is>
          <t>Mở</t>
        </is>
      </c>
      <c r="F4" s="6" t="inlineStr"/>
    </row>
    <row r="5">
      <c r="A5" s="6" t="inlineStr">
        <is>
          <t>HOURS</t>
        </is>
      </c>
      <c r="B5" s="6" t="inlineStr">
        <is>
          <t>Giờ chăm sóc khách</t>
        </is>
      </c>
      <c r="C5" s="6" t="inlineStr">
        <is>
          <t>Chưa chốt giờ làm việc (AEST) công bố cho khách.</t>
        </is>
      </c>
      <c r="D5" s="6" t="inlineStr">
        <is>
          <t>CEO · OPS</t>
        </is>
      </c>
      <c r="E5" s="6" t="inlineStr">
        <is>
          <t>Mở</t>
        </is>
      </c>
      <c r="F5" s="6" t="inlineStr"/>
    </row>
    <row r="6">
      <c r="A6" s="6" t="inlineStr">
        <is>
          <t>LEGAL</t>
        </is>
      </c>
      <c r="B6" s="6" t="inlineStr">
        <is>
          <t>Luật sư Úc rà chính sách</t>
        </is>
      </c>
      <c r="C6" s="6" t="inlineStr">
        <is>
          <t>Chính sách giao hàng, đổi trả, hoàn tiền chưa được luật sư tại Úc (và Singapore) rà.</t>
        </is>
      </c>
      <c r="D6" s="6" t="inlineStr">
        <is>
          <t>CEO</t>
        </is>
      </c>
      <c r="E6" s="6" t="inlineStr">
        <is>
          <t>Mở</t>
        </is>
      </c>
      <c r="F6" s="6" t="inlineStr"/>
    </row>
    <row r="7">
      <c r="A7" s="6" t="inlineStr">
        <is>
          <t>BROKER</t>
        </is>
      </c>
      <c r="B7" s="6" t="inlineStr">
        <is>
          <t>Đại lý hải quan Úc</t>
        </is>
      </c>
      <c r="C7" s="6" t="inlineStr">
        <is>
          <t>Chưa có đại lý hải quan xác nhận mã HS và điều kiện nhập khẩu cho từng mã trước lô đầu tiên.</t>
        </is>
      </c>
      <c r="D7" s="6" t="inlineStr">
        <is>
          <t>CEO · LOG</t>
        </is>
      </c>
      <c r="E7" s="6" t="inlineStr">
        <is>
          <t>Mở</t>
        </is>
      </c>
      <c r="F7" s="6" t="inlineStr"/>
    </row>
  </sheetData>
  <conditionalFormatting sqref="E3:E50">
    <cfRule type="cellIs" priority="1" operator="equal" dxfId="0">
      <formula>"Mở"</formula>
    </cfRule>
    <cfRule type="cellIs" priority="2" operator="equal" dxfId="1">
      <formula>"Đã đóng"</formula>
    </cfRule>
  </conditionalFormatting>
  <dataValidations count="1">
    <dataValidation sqref="E3:E50" showDropDown="0" showInputMessage="0" showErrorMessage="0" allowBlank="1" type="list">
      <formula1>"Mở,Đang xử lý,Đã đóng"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5" max="5"/>
    <col width="22" customWidth="1" min="7" max="7"/>
    <col width="22" customWidth="1" min="8" max="8"/>
    <col width="22" customWidth="1" min="9" max="9"/>
    <col width="22" customWidth="1" min="11" max="11"/>
    <col width="22" customWidth="1" min="12" max="12"/>
    <col width="22" customWidth="1" min="13" max="13"/>
    <col width="22" customWidth="1" min="15" max="15"/>
  </cols>
  <sheetData>
    <row r="1">
      <c r="A1" s="9" t="inlineStr">
        <is>
          <t>Trạng thái</t>
        </is>
      </c>
      <c r="B1" s="9" t="inlineStr">
        <is>
          <t>Chủ trì</t>
        </is>
      </c>
      <c r="E1" s="9" t="inlineStr">
        <is>
          <t>Loại case</t>
        </is>
      </c>
      <c r="G1" s="9" t="inlineStr">
        <is>
          <t>Giải pháp</t>
        </is>
      </c>
      <c r="H1" s="9" t="inlineStr">
        <is>
          <t>Cấp duyệt</t>
        </is>
      </c>
      <c r="I1" s="9" t="inlineStr">
        <is>
          <t>Nguyên nhân gốc</t>
        </is>
      </c>
      <c r="K1" s="9" t="inlineStr">
        <is>
          <t>Thị trường</t>
        </is>
      </c>
      <c r="L1" s="9" t="inlineStr">
        <is>
          <t>ETA min (tuần)</t>
        </is>
      </c>
      <c r="M1" s="9" t="inlineStr">
        <is>
          <t>ETA max (tuần)</t>
        </is>
      </c>
      <c r="O1" s="9" t="inlineStr">
        <is>
          <t>Kênh</t>
        </is>
      </c>
    </row>
    <row r="2">
      <c r="A2" t="inlineStr">
        <is>
          <t>10 Mới</t>
        </is>
      </c>
      <c r="B2" t="inlineStr">
        <is>
          <t>CX</t>
        </is>
      </c>
      <c r="E2" t="inlineStr">
        <is>
          <t>C1 Hủy đơn</t>
        </is>
      </c>
      <c r="G2" t="inlineStr">
        <is>
          <t>R1 Sửa</t>
        </is>
      </c>
      <c r="H2" t="inlineStr">
        <is>
          <t>CX</t>
        </is>
      </c>
      <c r="I2" t="inlineStr">
        <is>
          <t>RC-NCC</t>
        </is>
      </c>
      <c r="K2" t="inlineStr">
        <is>
          <t>AU</t>
        </is>
      </c>
      <c r="L2" t="n">
        <v>8</v>
      </c>
      <c r="M2" t="n">
        <v>12</v>
      </c>
      <c r="O2" t="inlineStr">
        <is>
          <t>Email</t>
        </is>
      </c>
    </row>
    <row r="3">
      <c r="A3" t="inlineStr">
        <is>
          <t>20 Đã xác nhận</t>
        </is>
      </c>
      <c r="B3" t="inlineStr">
        <is>
          <t>SRC</t>
        </is>
      </c>
      <c r="E3" t="inlineStr">
        <is>
          <t>C2 Trễ hạn</t>
        </is>
      </c>
      <c r="G3" t="inlineStr">
        <is>
          <t>R2 Gửi bù</t>
        </is>
      </c>
      <c r="H3" t="inlineStr">
        <is>
          <t>OPS</t>
        </is>
      </c>
      <c r="I3" t="inlineStr">
        <is>
          <t>RC-PACK</t>
        </is>
      </c>
      <c r="K3" t="inlineStr">
        <is>
          <t>SG</t>
        </is>
      </c>
      <c r="L3" t="n">
        <v>5</v>
      </c>
      <c r="M3" t="n">
        <v>8</v>
      </c>
      <c r="O3" t="inlineStr">
        <is>
          <t>Form web</t>
        </is>
      </c>
    </row>
    <row r="4">
      <c r="A4" t="inlineStr">
        <is>
          <t>30 Đã đặt NCC</t>
        </is>
      </c>
      <c r="B4" t="inlineStr">
        <is>
          <t>SRC</t>
        </is>
      </c>
      <c r="E4" t="inlineStr">
        <is>
          <t>C3 Hư hỏng</t>
        </is>
      </c>
      <c r="G4" t="inlineStr">
        <is>
          <t>R3 Đổi mới</t>
        </is>
      </c>
      <c r="H4" t="inlineStr">
        <is>
          <t>CEO</t>
        </is>
      </c>
      <c r="I4" t="inlineStr">
        <is>
          <t>RC-QC</t>
        </is>
      </c>
      <c r="K4" t="inlineStr">
        <is>
          <t>NZ</t>
        </is>
      </c>
      <c r="L4" t="n">
        <v>10</v>
      </c>
      <c r="M4" t="n">
        <v>14</v>
      </c>
      <c r="O4" t="inlineStr">
        <is>
          <t>Messenger</t>
        </is>
      </c>
    </row>
    <row r="5">
      <c r="A5" t="inlineStr">
        <is>
          <t>40 NCC đã gửi</t>
        </is>
      </c>
      <c r="B5" t="inlineStr">
        <is>
          <t>SRC</t>
        </is>
      </c>
      <c r="E5" t="inlineStr">
        <is>
          <t>C4 Thiếu kiện/phụ kiện</t>
        </is>
      </c>
      <c r="G5" t="inlineStr">
        <is>
          <t>R4 Hoàn một phần</t>
        </is>
      </c>
      <c r="I5" t="inlineStr">
        <is>
          <t>RC-FWD</t>
        </is>
      </c>
      <c r="O5" t="inlineStr">
        <is>
          <t>Instagram</t>
        </is>
      </c>
    </row>
    <row r="6">
      <c r="A6" t="inlineStr">
        <is>
          <t>50 QC đạt</t>
        </is>
      </c>
      <c r="B6" t="inlineStr">
        <is>
          <t>LOG</t>
        </is>
      </c>
      <c r="E6" t="inlineStr">
        <is>
          <t>C5 Sai hàng/khác mô tả</t>
        </is>
      </c>
      <c r="G6" t="inlineStr">
        <is>
          <t>R4 Hoàn 100%</t>
        </is>
      </c>
      <c r="I6" t="inlineStr">
        <is>
          <t>RC-LAST</t>
        </is>
      </c>
      <c r="K6" t="inlineStr">
        <is>
          <t>Khung ETA = chính sách đã công bố (sửa ở L2:M4).</t>
        </is>
      </c>
      <c r="O6" t="inlineStr">
        <is>
          <t>WhatsApp</t>
        </is>
      </c>
    </row>
    <row r="7">
      <c r="A7" t="inlineStr">
        <is>
          <t>60 Đã xuất</t>
        </is>
      </c>
      <c r="B7" t="inlineStr">
        <is>
          <t>LOG</t>
        </is>
      </c>
      <c r="E7" t="inlineStr">
        <is>
          <t>C6 Đổi ý</t>
        </is>
      </c>
      <c r="G7" t="inlineStr">
        <is>
          <t>R4 Tín dụng</t>
        </is>
      </c>
      <c r="I7" t="inlineStr">
        <is>
          <t>RC-LIST</t>
        </is>
      </c>
      <c r="O7" t="inlineStr">
        <is>
          <t>Điện thoại</t>
        </is>
      </c>
    </row>
    <row r="8">
      <c r="A8" t="inlineStr">
        <is>
          <t>70 Thông quan</t>
        </is>
      </c>
      <c r="B8" t="inlineStr">
        <is>
          <t>LOG</t>
        </is>
      </c>
      <c r="E8" t="inlineStr">
        <is>
          <t>C7 Chargeback</t>
        </is>
      </c>
      <c r="G8" t="inlineStr">
        <is>
          <t>R5 Thu hồi</t>
        </is>
      </c>
      <c r="I8" t="inlineStr">
        <is>
          <t>RC-CX</t>
        </is>
      </c>
      <c r="O8" t="inlineStr">
        <is>
          <t>Cổng thanh toán</t>
        </is>
      </c>
    </row>
    <row r="9">
      <c r="A9" t="inlineStr">
        <is>
          <t>80 Đang giao</t>
        </is>
      </c>
      <c r="B9" t="inlineStr">
        <is>
          <t>LOG</t>
        </is>
      </c>
      <c r="E9" t="inlineStr">
        <is>
          <t>C8 Bảo hành</t>
        </is>
      </c>
      <c r="G9" t="inlineStr">
        <is>
          <t>Không bồi thường</t>
        </is>
      </c>
      <c r="I9" t="inlineStr">
        <is>
          <t>RC-CUST</t>
        </is>
      </c>
    </row>
    <row r="10">
      <c r="A10" t="inlineStr">
        <is>
          <t>90 Đã giao</t>
        </is>
      </c>
      <c r="B10" t="inlineStr">
        <is>
          <t>CX</t>
        </is>
      </c>
    </row>
    <row r="11">
      <c r="A11" t="inlineStr">
        <is>
          <t>95 Hủy/hoàn</t>
        </is>
      </c>
      <c r="B11" t="inlineStr">
        <is>
          <t>–</t>
        </is>
      </c>
    </row>
    <row r="12">
      <c r="A12" t="inlineStr">
        <is>
          <t>99 Đóng</t>
        </is>
      </c>
      <c r="B12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2026-10-03T19:48:30Z</dcterms:created>
  <dcterms:modified xmlns:dcterms="http://purl.org/dc/terms/" xmlns:xsi="http://www.w3.org/2001/XMLSchema-instance" xsi:type="dcterms:W3CDTF">2026-10-03T19:48:30Z</dcterms:modified>
</cp:coreProperties>
</file>