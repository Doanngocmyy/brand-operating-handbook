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SOURCE_OF_TRUTH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DON" sheetId="4" state="visible" r:id="rId4"/>
    <sheet xmlns:r="http://schemas.openxmlformats.org/officeDocument/2006/relationships" name="CASE" sheetId="5" state="visible" r:id="rId5"/>
    <sheet xmlns:r="http://schemas.openxmlformats.org/officeDocument/2006/relationships" name="MASTER_SKU" sheetId="6" state="visible" r:id="rId6"/>
    <sheet xmlns:r="http://schemas.openxmlformats.org/officeDocument/2006/relationships" name="LAUNCH_BLOCKERS" sheetId="7" state="visible" r:id="rId7"/>
    <sheet xmlns:r="http://schemas.openxmlformats.org/officeDocument/2006/relationships" name="D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 hh:mm"/>
    <numFmt numFmtId="166" formatCode="0.0%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18"/>
    </font>
    <font>
      <name val="Arial"/>
      <color rgb="006E6E73"/>
      <sz val="10"/>
    </font>
    <font>
      <name val="Arial"/>
      <b val="1"/>
      <sz val="20"/>
    </font>
    <font>
      <name val="Arial"/>
      <color rgb="006E6E73"/>
      <sz val="9"/>
    </font>
    <font>
      <name val="Arial"/>
      <b val="1"/>
      <sz val="16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2F6FB0"/>
      </patternFill>
    </fill>
    <fill>
      <patternFill patternType="solid">
        <fgColor rgb="008E8E93"/>
      </patternFill>
    </fill>
    <fill>
      <patternFill patternType="solid">
        <fgColor rgb="002E7D4F"/>
      </patternFill>
    </fill>
    <fill>
      <patternFill patternType="solid">
        <fgColor rgb="000F7C80"/>
      </patternFill>
    </fill>
    <fill>
      <patternFill patternType="solid">
        <fgColor rgb="006B5A45"/>
      </patternFill>
    </fill>
    <fill>
      <patternFill patternType="solid">
        <fgColor rgb="007A4FA3"/>
      </patternFill>
    </fill>
    <fill>
      <patternFill patternType="solid">
        <fgColor rgb="001D1D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9" fillId="0" borderId="0" pivotButton="0" quotePrefix="0" xfId="0"/>
    <xf numFmtId="0" fontId="2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" fontId="6" fillId="0" borderId="0" pivotButton="0" quotePrefix="0" xfId="0"/>
    <xf numFmtId="9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3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DECEA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Đơn theo trạng thái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6B5A45"/>
            </a:solidFill>
            <a:ln xmlns:a="http://schemas.openxmlformats.org/drawingml/2006/main">
              <a:prstDash val="solid"/>
            </a:ln>
          </spPr>
          <cat>
            <numRef>
              <f>'DASHBOARD'!$P$6:$P$16</f>
            </numRef>
          </cat>
          <val>
            <numRef>
              <f>'DASHBOARD'!$Q$6:$Q$16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Lead time TB theo giai đoạn (ngày)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F7C80"/>
            </a:solidFill>
            <a:ln xmlns:a="http://schemas.openxmlformats.org/drawingml/2006/main">
              <a:prstDash val="solid"/>
            </a:ln>
          </spPr>
          <cat>
            <numRef>
              <f>'DASHBOARD'!$P$19:$P$23</f>
            </numRef>
          </cat>
          <val>
            <numRef>
              <f>'DASHBOARD'!$Q$19:$Q$23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Cờ SLA đang bật → họp 09:00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'DASHBOARD'!$P$26:$P$33</f>
            </numRef>
          </cat>
          <val>
            <numRef>
              <f>'DASHBOARD'!$Q$26:$Q$33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Case theo loại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2F6FB0"/>
            </a:solidFill>
            <a:ln xmlns:a="http://schemas.openxmlformats.org/drawingml/2006/main">
              <a:prstDash val="solid"/>
            </a:ln>
          </spPr>
          <cat>
            <numRef>
              <f>'DASHBOARD'!$P$36:$P$43</f>
            </numRef>
          </cat>
          <val>
            <numRef>
              <f>'DASHBOARD'!$Q$36:$Q$43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Nguyên nhân gốc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2E7D4F"/>
            </a:solidFill>
            <a:ln xmlns:a="http://schemas.openxmlformats.org/drawingml/2006/main">
              <a:prstDash val="solid"/>
            </a:ln>
          </spPr>
          <cat>
            <numRef>
              <f>'DASHBOARD'!$P$46:$P$53</f>
            </numRef>
          </cat>
          <val>
            <numRef>
              <f>'DASHBOARD'!$Q$46:$Q$53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13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46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28</row>
      <rowOff>0</rowOff>
    </from>
    <ext cx="46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43</row>
      <rowOff>0</rowOff>
    </from>
    <ext cx="46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6" customWidth="1" min="2" max="2"/>
    <col width="100" customWidth="1" min="3" max="3"/>
  </cols>
  <sheetData>
    <row r="1"/>
    <row r="2">
      <c r="B2" s="1" t="inlineStr">
        <is>
          <t>[BRAND] Source of Truth</t>
        </is>
      </c>
      <c r="C2" s="2" t="inlineStr"/>
    </row>
    <row r="3">
      <c r="B3" s="3" t="inlineStr">
        <is>
          <t>Sổ tay</t>
        </is>
      </c>
      <c r="C3" s="2" t="inlineStr">
        <is>
          <t>https://doanngocmyy.github.io/brand-operating-handbook/docs/index.html</t>
        </is>
      </c>
    </row>
    <row r="4">
      <c r="B4" s="3" t="inlineStr">
        <is>
          <t>Ô trắng</t>
        </is>
      </c>
      <c r="C4" s="2" t="inlineStr">
        <is>
          <t>Nhập tay. Chỉ nhập ngày khi đã có BẰNG CHỨNG (mã PO, ảnh QC, lượt quét thật, POD).</t>
        </is>
      </c>
    </row>
    <row r="5">
      <c r="B5" s="3" t="inlineStr">
        <is>
          <t>Cột tiêu đề xám</t>
        </is>
      </c>
      <c r="C5" s="2" t="inlineStr">
        <is>
          <t>Tự tính bằng một công thức ở dòng 3 (ARRAYFORMULA). Không gõ vào các cột này.</t>
        </is>
      </c>
    </row>
    <row r="6">
      <c r="B6" s="3" t="inlineStr">
        <is>
          <t>Màu tiêu đề</t>
        </is>
      </c>
      <c r="C6" s="2" t="inlineStr">
        <is>
          <t>Vị trí nhập: xanh dương CX · xanh lá SRC · xanh ngọc LOG · nâu OPS · tím FIN · xám tự tính.</t>
        </is>
      </c>
    </row>
    <row r="7">
      <c r="B7" s="3" t="inlineStr">
        <is>
          <t>Họp 09:00</t>
        </is>
      </c>
      <c r="C7" s="2" t="inlineStr">
        <is>
          <t>DASHBOARD → “Cờ SLA đang bật”. Lọc từng cột ⚑ ở DON/CASE, giao người xử lý trong ngày.</t>
        </is>
      </c>
    </row>
    <row r="8">
      <c r="B8" s="3" t="inlineStr">
        <is>
          <t>Thứ Sáu</t>
        </is>
      </c>
      <c r="C8" s="2" t="inlineStr">
        <is>
          <t>OPS chụp DASHBOARD vào báo cáo tuần. Đếm case theo nguyên nhân gốc.</t>
        </is>
      </c>
    </row>
    <row r="9">
      <c r="B9" s="3" t="inlineStr">
        <is>
          <t>Dữ liệu</t>
        </is>
      </c>
      <c r="C9" s="2" t="inlineStr">
        <is>
          <t>KHÔNG ghi tên, email, SĐT, địa chỉ khách. Mã đơn là khóa nối. Chi phí FIN và danh tính NCC để file riêng.</t>
        </is>
      </c>
    </row>
    <row r="10">
      <c r="B10" s="3" t="inlineStr">
        <is>
          <t>Phân quyền</t>
        </is>
      </c>
      <c r="C10" s="2" t="inlineStr">
        <is>
          <t>Khi có nhiều người: chia sẻ theo vị trí, khóa (Protect) các cột xám và tab 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44" customWidth="1" min="3" max="3"/>
    <col width="34" customWidth="1" min="4" max="4"/>
    <col width="34" customWidth="1" min="5" max="5"/>
  </cols>
  <sheetData>
    <row r="1">
      <c r="A1" s="4" t="inlineStr">
        <is>
          <t>Source of truth: mỗi loại thông tin có MỘT bản ghi gốc. Sổ tay mô tả cách làm; số liệu sống nằm ở đây.</t>
        </is>
      </c>
    </row>
    <row r="2" ht="42" customHeight="1">
      <c r="A2" s="5" t="inlineStr">
        <is>
          <t>Thông tin</t>
        </is>
      </c>
      <c r="B2" s="5" t="inlineStr">
        <is>
          <t>Bản ghi gốc</t>
        </is>
      </c>
      <c r="C2" s="5" t="inlineStr">
        <is>
          <t>Ở đâu</t>
        </is>
      </c>
      <c r="D2" s="5" t="inlineStr">
        <is>
          <t>Ai cập nhật</t>
        </is>
      </c>
      <c r="E2" s="5" t="inlineStr">
        <is>
          <t>Ai được xem</t>
        </is>
      </c>
    </row>
    <row r="3">
      <c r="A3" s="6" t="inlineStr">
        <is>
          <t>Trạng thái đơn, cờ SLA, ETA</t>
        </is>
      </c>
      <c r="B3" s="6" t="inlineStr">
        <is>
          <t>Source of Truth sheet · tab DON</t>
        </is>
      </c>
      <c r="C3" s="6" t="inlineStr">
        <is>
          <t>Tab DON</t>
        </is>
      </c>
      <c r="D3" s="6" t="inlineStr">
        <is>
          <t>Chủ trì từng giai đoạn (CX, SRC, LOG)</t>
        </is>
      </c>
      <c r="E3" s="6" t="inlineStr">
        <is>
          <t>Mọi vị trí (mã đơn, không dữ liệu cá nhân)</t>
        </is>
      </c>
    </row>
    <row r="4">
      <c r="A4" s="6" t="inlineStr">
        <is>
          <t>Case khách và người duyệt</t>
        </is>
      </c>
      <c r="B4" s="6" t="inlineStr">
        <is>
          <t>Source of Truth sheet · tab CASE</t>
        </is>
      </c>
      <c r="C4" s="6" t="inlineStr">
        <is>
          <t>Tab CASE</t>
        </is>
      </c>
      <c r="D4" s="6" t="inlineStr">
        <is>
          <t>CX mở/đóng · người duyệt ghi tên · FIN ghi ngày hoàn</t>
        </is>
      </c>
      <c r="E4" s="6" t="inlineStr">
        <is>
          <t>CX, OPS, FIN, CEO</t>
        </is>
      </c>
    </row>
    <row r="5">
      <c r="A5" s="6" t="inlineStr">
        <is>
          <t>Thông số, kích thước, màu, chất liệu</t>
        </is>
      </c>
      <c r="B5" s="6" t="inlineStr">
        <is>
          <t>Source of Truth sheet · tab MASTER_SKU</t>
        </is>
      </c>
      <c r="C5" s="6" t="inlineStr">
        <is>
          <t>Tab MASTER_SKU</t>
        </is>
      </c>
      <c r="D5" s="6" t="inlineStr">
        <is>
          <t>SRC chốt thông số · MKT dùng để đăng</t>
        </is>
      </c>
      <c r="E5" s="6" t="inlineStr">
        <is>
          <t>Mọi vị trí (không có danh tính NCC)</t>
        </is>
      </c>
    </row>
    <row r="6">
      <c r="A6" s="6" t="inlineStr">
        <is>
          <t>Bằng chứng NCC, PO, ảnh QC</t>
        </is>
      </c>
      <c r="B6" s="6" t="inlineStr">
        <is>
          <t>Thư mục NCC / PO / QC trên Drive</t>
        </is>
      </c>
      <c r="C6" s="6" t="inlineStr">
        <is>
          <t>Drive: thư mục NCC / PO / QC (hạn chế quyền)</t>
        </is>
      </c>
      <c r="D6" s="6" t="inlineStr">
        <is>
          <t>SRC</t>
        </is>
      </c>
      <c r="E6" s="6" t="inlineStr">
        <is>
          <t>SRC, OPS, CEO, FIN</t>
        </is>
      </c>
    </row>
    <row r="7">
      <c r="A7" s="6" t="inlineStr">
        <is>
          <t>Chứng từ lô hàng</t>
        </is>
      </c>
      <c r="B7" s="6" t="inlineStr">
        <is>
          <t>Thư mục lô hàng theo container</t>
        </is>
      </c>
      <c r="C7" s="6" t="inlineStr">
        <is>
          <t>Drive: thư mục lô hàng theo container</t>
        </is>
      </c>
      <c r="D7" s="6" t="inlineStr">
        <is>
          <t>LOG</t>
        </is>
      </c>
      <c r="E7" s="6" t="inlineStr">
        <is>
          <t>LOG, OPS, CEO, FIN</t>
        </is>
      </c>
    </row>
    <row r="8">
      <c r="A8" s="6" t="inlineStr">
        <is>
          <t>Landed cost thực, biên lãi</t>
        </is>
      </c>
      <c r="B8" s="6" t="inlineStr">
        <is>
          <t>File chi phí FIN · hạn chế quyền</t>
        </is>
      </c>
      <c r="C8" s="6" t="inlineStr">
        <is>
          <t>File chi phí FIN riêng · KHÔNG đặt trong sheet này</t>
        </is>
      </c>
      <c r="D8" s="6" t="inlineStr">
        <is>
          <t>FIN</t>
        </is>
      </c>
      <c r="E8" s="6" t="inlineStr">
        <is>
          <t>FIN, CEO (OPS xem phần cần)</t>
        </is>
      </c>
    </row>
    <row r="9">
      <c r="A9" s="6" t="inlineStr">
        <is>
          <t>Lời hứa với khách</t>
        </is>
      </c>
      <c r="B9" s="6" t="inlineStr">
        <is>
          <t>Customer-facing Policy + email xác nhận đơn</t>
        </is>
      </c>
      <c r="C9" s="6" t="inlineStr">
        <is>
          <t>Sổ tay: Customer-facing Policy + mẫu email xác nhận</t>
        </is>
      </c>
      <c r="D9" s="6" t="inlineStr">
        <is>
          <t>CEO duyệt · OPS sửa</t>
        </is>
      </c>
      <c r="E9" s="6" t="inlineStr">
        <is>
          <t>Công khai</t>
        </is>
      </c>
    </row>
    <row r="10">
      <c r="A10" s="6" t="inlineStr">
        <is>
          <t>Nội dung trang sản phẩm</t>
        </is>
      </c>
      <c r="B10" s="6" t="inlineStr">
        <is>
          <t>Listing đã duyệt từ Master SKU</t>
        </is>
      </c>
      <c r="C10" s="6" t="inlineStr">
        <is>
          <t>Shopify, đăng từ MASTER_SKU</t>
        </is>
      </c>
      <c r="D10" s="6" t="inlineStr">
        <is>
          <t>MKT</t>
        </is>
      </c>
      <c r="E10" s="6" t="inlineStr">
        <is>
          <t>Công khai sau khi duyệt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4" customWidth="1" min="16" max="16"/>
  </cols>
  <sheetData>
    <row r="1"/>
    <row r="2">
      <c r="B2" s="7" t="inlineStr">
        <is>
          <t>Bảng điều khiển vận hành</t>
        </is>
      </c>
    </row>
    <row r="3">
      <c r="B3">
        <f>"Hôm nay: "&amp;TEXT(TODAY(),"dd/mm/yyyy")&amp;" · từ tab DON và CASE"</f>
        <v/>
      </c>
    </row>
    <row r="4"/>
    <row r="5">
      <c r="B5" s="8" t="inlineStr">
        <is>
          <t>Đơn đang chạy</t>
        </is>
      </c>
      <c r="E5" s="8" t="inlineStr">
        <is>
          <t>Giao trong khung</t>
        </is>
      </c>
      <c r="H5" s="8" t="inlineStr">
        <is>
          <t>Đặt NCC ≤ 24h</t>
        </is>
      </c>
      <c r="K5" s="8" t="inlineStr">
        <is>
          <t>Cờ đỏ đơn đang mở</t>
        </is>
      </c>
      <c r="P5" s="9" t="inlineStr">
        <is>
          <t>Đơn theo trạng thái</t>
        </is>
      </c>
    </row>
    <row r="6">
      <c r="B6" s="10">
        <f>COUNTA(DON!A3:A1000)-COUNTIF(DON!T3:T1000,"99*")-COUNTIF(DON!T3:T1000,"95*")</f>
        <v/>
      </c>
      <c r="E6" s="11">
        <f>IFERROR(COUNTIF(DON!AB3:AB1000,"Có")/(COUNTIF(DON!AB3:AB1000,"Có")+COUNTIF(DON!AB3:AB1000,"Không")),"–")</f>
        <v/>
      </c>
      <c r="H6" s="11">
        <f>IFERROR(COUNTIF(DON!AE3:AE1000,"&lt;=1")/COUNT(DON!AE3:AE1000),"–")</f>
        <v/>
      </c>
      <c r="K6" s="10">
        <f>COUNTIF(DON!W3:AA1000,"⚑")</f>
        <v/>
      </c>
      <c r="P6" t="inlineStr">
        <is>
          <t>10 Mới</t>
        </is>
      </c>
      <c r="Q6">
        <f>COUNTIF(DON!T3:T1000,"10 Mới")</f>
        <v/>
      </c>
    </row>
    <row r="7">
      <c r="E7" s="12" t="inlineStr">
        <is>
          <t>Mục tiêu ≥ 90%</t>
        </is>
      </c>
      <c r="H7" s="12" t="inlineStr">
        <is>
          <t>Mục tiêu ≥ 95%</t>
        </is>
      </c>
      <c r="K7" s="12" t="inlineStr">
        <is>
          <t>Mục tiêu 0</t>
        </is>
      </c>
      <c r="P7" t="inlineStr">
        <is>
          <t>20 Đã xác nhận</t>
        </is>
      </c>
      <c r="Q7">
        <f>COUNTIF(DON!T3:T1000,"20 Đã xác nhận")</f>
        <v/>
      </c>
    </row>
    <row r="8">
      <c r="P8" t="inlineStr">
        <is>
          <t>30 Đã đặt NCC</t>
        </is>
      </c>
      <c r="Q8">
        <f>COUNTIF(DON!T3:T1000,"30 Đã đặt NCC")</f>
        <v/>
      </c>
    </row>
    <row r="9">
      <c r="B9" s="8" t="inlineStr">
        <is>
          <t>Case / đơn</t>
        </is>
      </c>
      <c r="E9" s="8" t="inlineStr">
        <is>
          <t>Phản hồi đầu (giờ, trung vị)</t>
        </is>
      </c>
      <c r="H9" s="8" t="inlineStr">
        <is>
          <t>Chargeback / đơn</t>
        </is>
      </c>
      <c r="K9" s="8" t="inlineStr">
        <is>
          <t>Chi phí case ròng (A$)</t>
        </is>
      </c>
      <c r="P9" t="inlineStr">
        <is>
          <t>40 NCC đã gửi</t>
        </is>
      </c>
      <c r="Q9">
        <f>COUNTIF(DON!T3:T1000,"40 NCC đã gửi")</f>
        <v/>
      </c>
    </row>
    <row r="10">
      <c r="B10" s="13">
        <f>IFERROR(COUNTA(CASE!A3:A1000)/COUNTA(DON!A3:A1000),"–")</f>
        <v/>
      </c>
      <c r="E10" s="14">
        <f>IFERROR(MEDIAN(CASE!T3:T1000),"–")</f>
        <v/>
      </c>
      <c r="H10" s="13">
        <f>IFERROR(COUNTIF(CASE!C3:C1000,"C7*")/COUNTA(DON!A3:A1000),"–")</f>
        <v/>
      </c>
      <c r="K10" s="15">
        <f>SUM(CASE!S3:S1000)</f>
        <v/>
      </c>
      <c r="P10" t="inlineStr">
        <is>
          <t>50 QC đạt</t>
        </is>
      </c>
      <c r="Q10">
        <f>COUNTIF(DON!T3:T1000,"50 QC đạt")</f>
        <v/>
      </c>
    </row>
    <row r="11">
      <c r="B11" s="12" t="inlineStr">
        <is>
          <t>Mục tiêu ≤ 3%</t>
        </is>
      </c>
      <c r="E11" s="12" t="inlineStr">
        <is>
          <t>Mục tiêu ≤ 4</t>
        </is>
      </c>
      <c r="H11" s="12" t="inlineStr">
        <is>
          <t>Mục tiêu ≤ 0,5%</t>
        </is>
      </c>
      <c r="P11" t="inlineStr">
        <is>
          <t>60 Đã xuất</t>
        </is>
      </c>
      <c r="Q11">
        <f>COUNTIF(DON!T3:T1000,"60 Đã xuất")</f>
        <v/>
      </c>
    </row>
    <row r="12">
      <c r="P12" t="inlineStr">
        <is>
          <t>70 Thông quan</t>
        </is>
      </c>
      <c r="Q12">
        <f>COUNTIF(DON!T3:T1000,"70 Thông quan")</f>
        <v/>
      </c>
    </row>
    <row r="13">
      <c r="P13" t="inlineStr">
        <is>
          <t>80 Đang giao</t>
        </is>
      </c>
      <c r="Q13">
        <f>COUNTIF(DON!T3:T1000,"80 Đang giao")</f>
        <v/>
      </c>
    </row>
    <row r="14">
      <c r="P14" t="inlineStr">
        <is>
          <t>90 Đã giao</t>
        </is>
      </c>
      <c r="Q14">
        <f>COUNTIF(DON!T3:T1000,"90 Đã giao")</f>
        <v/>
      </c>
    </row>
    <row r="15">
      <c r="P15" t="inlineStr">
        <is>
          <t>95 Hủy/hoàn</t>
        </is>
      </c>
      <c r="Q15">
        <f>COUNTIF(DON!T3:T1000,"95 Hủy/hoàn")</f>
        <v/>
      </c>
    </row>
    <row r="16">
      <c r="P16" t="inlineStr">
        <is>
          <t>99 Đóng</t>
        </is>
      </c>
      <c r="Q16">
        <f>COUNTIF(DON!T3:T1000,"99 Đóng")</f>
        <v/>
      </c>
    </row>
    <row r="17"/>
    <row r="18">
      <c r="P18" s="9" t="inlineStr">
        <is>
          <t>Lead time TB (ngày)</t>
        </is>
      </c>
    </row>
    <row r="19">
      <c r="P19" t="inlineStr">
        <is>
          <t>S1–S2 TT→Đặt NCC</t>
        </is>
      </c>
      <c r="Q19">
        <f>IFERROR(AVERAGE(DON!AE3:AE1000),0)</f>
        <v/>
      </c>
    </row>
    <row r="20">
      <c r="P20" t="inlineStr">
        <is>
          <t>S3 Đặt→NCC gửi</t>
        </is>
      </c>
      <c r="Q20">
        <f>IFERROR(AVERAGE(DON!AF3:AF1000),0)</f>
        <v/>
      </c>
    </row>
    <row r="21">
      <c r="P21" t="inlineStr">
        <is>
          <t>S4 Gửi→QC đạt</t>
        </is>
      </c>
      <c r="Q21">
        <f>IFERROR(AVERAGE(DON!AG3:AG1000),0)</f>
        <v/>
      </c>
    </row>
    <row r="22">
      <c r="P22" t="inlineStr">
        <is>
          <t>S5 QC→Xuất</t>
        </is>
      </c>
      <c r="Q22">
        <f>IFERROR(AVERAGE(DON!AH3:AH1000),0)</f>
        <v/>
      </c>
    </row>
    <row r="23">
      <c r="P23" t="inlineStr">
        <is>
          <t>S6–S7 Xuất→Giao</t>
        </is>
      </c>
      <c r="Q23">
        <f>IFERROR(AVERAGE(DON!AI3:AI1000),0)</f>
        <v/>
      </c>
    </row>
    <row r="24"/>
    <row r="25">
      <c r="P25" s="9" t="inlineStr">
        <is>
          <t>Cờ SLA đang bật</t>
        </is>
      </c>
    </row>
    <row r="26">
      <c r="P26" t="inlineStr">
        <is>
          <t>Chưa đặt NCC &gt;24h</t>
        </is>
      </c>
      <c r="Q26">
        <f>COUNTIF(DON!W3:W1000,"⚑")</f>
        <v/>
      </c>
    </row>
    <row r="27">
      <c r="P27" t="inlineStr">
        <is>
          <t>NCC quá hẹn &gt;2d</t>
        </is>
      </c>
      <c r="Q27">
        <f>COUNTIF(DON!X3:X1000,"⚑")</f>
        <v/>
      </c>
    </row>
    <row r="28">
      <c r="P28" t="inlineStr">
        <is>
          <t>Sắp vượt ETA</t>
        </is>
      </c>
      <c r="Q28">
        <f>COUNTIF(DON!Y3:Y1000,"⚑")</f>
        <v/>
      </c>
    </row>
    <row r="29">
      <c r="P29" t="inlineStr">
        <is>
          <t>Vượt ETA</t>
        </is>
      </c>
      <c r="Q29">
        <f>COUNTIF(DON!Z3:Z1000,"⚑")</f>
        <v/>
      </c>
    </row>
    <row r="30">
      <c r="P30" t="inlineStr">
        <is>
          <t>&gt;7d chưa cập nhật KH</t>
        </is>
      </c>
      <c r="Q30">
        <f>COUNTIF(DON!AA3:AA1000,"⚑")</f>
        <v/>
      </c>
    </row>
    <row r="31">
      <c r="P31" t="inlineStr">
        <is>
          <t>Case phản hồi &gt;24h</t>
        </is>
      </c>
      <c r="Q31">
        <f>COUNTIF(CASE!V3:V1000,"⚑")</f>
        <v/>
      </c>
    </row>
    <row r="32">
      <c r="P32" t="inlineStr">
        <is>
          <t>Case mở &gt;7 ngày</t>
        </is>
      </c>
      <c r="Q32">
        <f>COUNTIF(CASE!W3:W1000,"⚑")</f>
        <v/>
      </c>
    </row>
    <row r="33">
      <c r="P33" t="inlineStr">
        <is>
          <t>Case duyệt sai cấp</t>
        </is>
      </c>
      <c r="Q33">
        <f>COUNTIF(CASE!X3:X1000,"⚑")</f>
        <v/>
      </c>
    </row>
    <row r="34"/>
    <row r="35">
      <c r="P35" s="9" t="inlineStr">
        <is>
          <t>Case theo loại</t>
        </is>
      </c>
    </row>
    <row r="36">
      <c r="P36" t="inlineStr">
        <is>
          <t>C1 Hủy đơn</t>
        </is>
      </c>
      <c r="Q36">
        <f>COUNTIF(CASE!C3:C1000,"C1 Hủy đơn")</f>
        <v/>
      </c>
    </row>
    <row r="37">
      <c r="P37" t="inlineStr">
        <is>
          <t>C2 Trễ hạn</t>
        </is>
      </c>
      <c r="Q37">
        <f>COUNTIF(CASE!C3:C1000,"C2 Trễ hạn")</f>
        <v/>
      </c>
    </row>
    <row r="38">
      <c r="P38" t="inlineStr">
        <is>
          <t>C3 Hư hỏng</t>
        </is>
      </c>
      <c r="Q38">
        <f>COUNTIF(CASE!C3:C1000,"C3 Hư hỏng")</f>
        <v/>
      </c>
    </row>
    <row r="39">
      <c r="P39" t="inlineStr">
        <is>
          <t>C4 Thiếu kiện/phụ kiện</t>
        </is>
      </c>
      <c r="Q39">
        <f>COUNTIF(CASE!C3:C1000,"C4 Thiếu kiện/phụ kiện")</f>
        <v/>
      </c>
    </row>
    <row r="40">
      <c r="P40" t="inlineStr">
        <is>
          <t>C5 Sai hàng/khác mô tả</t>
        </is>
      </c>
      <c r="Q40">
        <f>COUNTIF(CASE!C3:C1000,"C5 Sai hàng/khác mô tả")</f>
        <v/>
      </c>
    </row>
    <row r="41">
      <c r="P41" t="inlineStr">
        <is>
          <t>C6 Đổi ý</t>
        </is>
      </c>
      <c r="Q41">
        <f>COUNTIF(CASE!C3:C1000,"C6 Đổi ý")</f>
        <v/>
      </c>
    </row>
    <row r="42">
      <c r="P42" t="inlineStr">
        <is>
          <t>C7 Chargeback</t>
        </is>
      </c>
      <c r="Q42">
        <f>COUNTIF(CASE!C3:C1000,"C7 Chargeback")</f>
        <v/>
      </c>
    </row>
    <row r="43">
      <c r="P43" t="inlineStr">
        <is>
          <t>C8 Bảo hành</t>
        </is>
      </c>
      <c r="Q43">
        <f>COUNTIF(CASE!C3:C1000,"C8 Bảo hành")</f>
        <v/>
      </c>
    </row>
    <row r="44"/>
    <row r="45">
      <c r="P45" s="9" t="inlineStr">
        <is>
          <t>Case theo nguyên nhân gốc</t>
        </is>
      </c>
    </row>
    <row r="46">
      <c r="P46" t="inlineStr">
        <is>
          <t>RC-NCC</t>
        </is>
      </c>
      <c r="Q46">
        <f>COUNTIF(CASE!P3:P1000,"RC-NCC")</f>
        <v/>
      </c>
    </row>
    <row r="47">
      <c r="P47" t="inlineStr">
        <is>
          <t>RC-PACK</t>
        </is>
      </c>
      <c r="Q47">
        <f>COUNTIF(CASE!P3:P1000,"RC-PACK")</f>
        <v/>
      </c>
    </row>
    <row r="48">
      <c r="P48" t="inlineStr">
        <is>
          <t>RC-QC</t>
        </is>
      </c>
      <c r="Q48">
        <f>COUNTIF(CASE!P3:P1000,"RC-QC")</f>
        <v/>
      </c>
    </row>
    <row r="49">
      <c r="P49" t="inlineStr">
        <is>
          <t>RC-FWD</t>
        </is>
      </c>
      <c r="Q49">
        <f>COUNTIF(CASE!P3:P1000,"RC-FWD")</f>
        <v/>
      </c>
    </row>
    <row r="50">
      <c r="P50" t="inlineStr">
        <is>
          <t>RC-LAST</t>
        </is>
      </c>
      <c r="Q50">
        <f>COUNTIF(CASE!P3:P1000,"RC-LAST")</f>
        <v/>
      </c>
    </row>
    <row r="51">
      <c r="P51" t="inlineStr">
        <is>
          <t>RC-LIST</t>
        </is>
      </c>
      <c r="Q51">
        <f>COUNTIF(CASE!P3:P1000,"RC-LIST")</f>
        <v/>
      </c>
    </row>
    <row r="52">
      <c r="P52" t="inlineStr">
        <is>
          <t>RC-CX</t>
        </is>
      </c>
      <c r="Q52">
        <f>COUNTIF(CASE!P3:P1000,"RC-CX")</f>
        <v/>
      </c>
    </row>
    <row r="53">
      <c r="P53" t="inlineStr">
        <is>
          <t>RC-CUST</t>
        </is>
      </c>
      <c r="Q53">
        <f>COUNTIF(CASE!P3:P1000,"RC-CUST")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10" customWidth="1" min="14" max="14"/>
    <col width="11" customWidth="1" min="15" max="15"/>
    <col width="11" customWidth="1" min="16" max="16"/>
    <col width="10" customWidth="1" min="17" max="17"/>
    <col width="10" customWidth="1" min="18" max="18"/>
    <col width="11" customWidth="1" min="19" max="19"/>
    <col width="15" customWidth="1" min="20" max="20"/>
    <col width="9" customWidth="1" min="21" max="21"/>
    <col width="9" customWidth="1" min="22" max="22"/>
    <col width="10" customWidth="1" min="23" max="23"/>
    <col width="10" customWidth="1" min="24" max="24"/>
    <col width="10" customWidth="1" min="25" max="25"/>
    <col width="9" customWidth="1" min="26" max="26"/>
    <col width="10" customWidth="1" min="27" max="27"/>
    <col width="9" customWidth="1" min="28" max="28"/>
    <col width="9" customWidth="1" min="29" max="29"/>
    <col width="7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>
      <c r="A1" s="4" t="inlineStr">
        <is>
          <t>SOP-A · Theo dõi đơn — nhập ngày khi có BẰNG CHỨNG · cột xám tự tính (không gõ đè) · màu tiêu đề = vị trí nhập</t>
        </is>
      </c>
    </row>
    <row r="2" ht="42" customHeight="1">
      <c r="A2" s="16" t="inlineStr">
        <is>
          <t>Mã đơn</t>
        </is>
      </c>
      <c r="B2" s="16" t="inlineStr">
        <is>
          <t>Thị trường</t>
        </is>
      </c>
      <c r="C2" s="16" t="inlineStr">
        <is>
          <t>SKU</t>
        </is>
      </c>
      <c r="D2" s="16" t="inlineStr">
        <is>
          <t>Giá trị (A$)</t>
        </is>
      </c>
      <c r="E2" s="16" t="inlineStr">
        <is>
          <t>Ngày thanh toán</t>
        </is>
      </c>
      <c r="F2" s="17" t="inlineStr">
        <is>
          <t>ETA min</t>
        </is>
      </c>
      <c r="G2" s="17" t="inlineStr">
        <is>
          <t>ETA max (đã hứa)</t>
        </is>
      </c>
      <c r="H2" s="16" t="inlineStr">
        <is>
          <t>20 Xác nhận</t>
        </is>
      </c>
      <c r="I2" s="18" t="inlineStr">
        <is>
          <t>30 Đặt NCC</t>
        </is>
      </c>
      <c r="J2" s="18" t="inlineStr">
        <is>
          <t>Hẹn NCC gửi</t>
        </is>
      </c>
      <c r="K2" s="18" t="inlineStr">
        <is>
          <t>40 NCC gửi</t>
        </is>
      </c>
      <c r="L2" s="18" t="inlineStr">
        <is>
          <t>50 QC đạt</t>
        </is>
      </c>
      <c r="M2" s="19" t="inlineStr">
        <is>
          <t>60 Xuất (quét thật)</t>
        </is>
      </c>
      <c r="N2" s="19" t="inlineStr">
        <is>
          <t>70 Thông quan</t>
        </is>
      </c>
      <c r="O2" s="19" t="inlineStr">
        <is>
          <t>80 Bàn giao giao cuối</t>
        </is>
      </c>
      <c r="P2" s="19" t="inlineStr">
        <is>
          <t>90 Đã giao (POD)</t>
        </is>
      </c>
      <c r="Q2" s="20" t="inlineStr">
        <is>
          <t>99 Đóng</t>
        </is>
      </c>
      <c r="R2" s="21" t="inlineStr">
        <is>
          <t>95 Hủy/hoàn</t>
        </is>
      </c>
      <c r="S2" s="16" t="inlineStr">
        <is>
          <t>Cập nhật KH gần nhất</t>
        </is>
      </c>
      <c r="T2" s="17" t="inlineStr">
        <is>
          <t>Trạng thái</t>
        </is>
      </c>
      <c r="U2" s="17" t="inlineStr">
        <is>
          <t>Chủ trì hiện tại</t>
        </is>
      </c>
      <c r="V2" s="17" t="inlineStr">
        <is>
          <t>Ngày ở trạng thái</t>
        </is>
      </c>
      <c r="W2" s="17" t="inlineStr">
        <is>
          <t>⚑ Chưa đặt NCC &gt;24h</t>
        </is>
      </c>
      <c r="X2" s="17" t="inlineStr">
        <is>
          <t>⚑ NCC quá hẹn &gt;2d</t>
        </is>
      </c>
      <c r="Y2" s="17" t="inlineStr">
        <is>
          <t>⚑ Sắp vượt ETA (≤14d)</t>
        </is>
      </c>
      <c r="Z2" s="17" t="inlineStr">
        <is>
          <t>⚑ Vượt ETA</t>
        </is>
      </c>
      <c r="AA2" s="17" t="inlineStr">
        <is>
          <t>⚑ &gt;7d chưa cập nhật KH</t>
        </is>
      </c>
      <c r="AB2" s="17" t="inlineStr">
        <is>
          <t>Giao trong khung</t>
        </is>
      </c>
      <c r="AC2" s="17" t="inlineStr">
        <is>
          <t>Lead time tổng (ngày)</t>
        </is>
      </c>
      <c r="AD2" s="17" t="inlineStr">
        <is>
          <t>Số case</t>
        </is>
      </c>
      <c r="AE2" s="17" t="inlineStr">
        <is>
          <t>S1–S2 TT→Đặt NCC</t>
        </is>
      </c>
      <c r="AF2" s="17" t="inlineStr">
        <is>
          <t>S3 Đặt→NCC gửi</t>
        </is>
      </c>
      <c r="AG2" s="17" t="inlineStr">
        <is>
          <t>S4 Gửi→QC đạt</t>
        </is>
      </c>
      <c r="AH2" s="17" t="inlineStr">
        <is>
          <t>S5 QC→Xuất</t>
        </is>
      </c>
      <c r="AI2" s="17" t="inlineStr">
        <is>
          <t>S6–S7 Xuất→Giao</t>
        </is>
      </c>
    </row>
    <row r="3">
      <c r="E3" s="22" t="n"/>
      <c r="F3" s="22">
        <f>ARRAYFORMULA(IF(E3:E1000="","",E3:E1000+7*IFERROR(VLOOKUP(B3:B1000,DS!$K$2:$M$4,2,FALSE),12)))</f>
        <v/>
      </c>
      <c r="G3" s="22">
        <f>ARRAYFORMULA(IF(E3:E1000="","",E3:E1000+7*IFERROR(VLOOKUP(B3:B1000,DS!$K$2:$M$4,3,FALSE),12)))</f>
        <v/>
      </c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>
        <f>ARRAYFORMULA(IF(A3:A1000="","",IF(R3:R1000&lt;&gt;"","95 Hủy/hoàn",IF(Q3:Q1000&lt;&gt;"","99 Đóng",IF(P3:P1000&lt;&gt;"","90 Đã giao",IF(O3:O1000&lt;&gt;"","80 Đang giao",IF(N3:N1000&lt;&gt;"","70 Thông quan",IF(M3:M1000&lt;&gt;"","60 Đã xuất",IF(L3:L1000&lt;&gt;"","50 QC đạt",IF(K3:K1000&lt;&gt;"","40 NCC đã gửi",IF(I3:I1000&lt;&gt;"","30 Đã đặt NCC",IF(H3:H1000&lt;&gt;"","20 Đã xác nhận","10 Mới"))))))))))))</f>
        <v/>
      </c>
      <c r="U3">
        <f>ARRAYFORMULA(IF(T3:T1000="","",IFERROR(VLOOKUP(T3:T1000,DS!$A$2:$B$12,2,FALSE),"")))</f>
        <v/>
      </c>
      <c r="V3">
        <f>ARRAYFORMULA(IF((T3:T1000="")+(LEFT(T3:T1000,2)="99")+(LEFT(T3:T1000,2)="95"),"",TODAY()-IF(R3:R1000&lt;&gt;"",R3:R1000,IF(Q3:Q1000&lt;&gt;"",Q3:Q1000,IF(P3:P1000&lt;&gt;"",P3:P1000,IF(O3:O1000&lt;&gt;"",O3:O1000,IF(N3:N1000&lt;&gt;"",N3:N1000,IF(M3:M1000&lt;&gt;"",M3:M1000,IF(L3:L1000&lt;&gt;"",L3:L1000,IF(K3:K1000&lt;&gt;"",K3:K1000,IF(I3:I1000&lt;&gt;"",I3:I1000,IF(H3:H1000&lt;&gt;"",H3:H1000,E3:E1000))))))))))))</f>
        <v/>
      </c>
      <c r="W3">
        <f>ARRAYFORMULA(IF((E3:E1000&lt;&gt;"")*(I3:I1000="")*(R3:R1000=""),IF(TODAY()-E3:E1000&gt;1,"⚑",""),""))</f>
        <v/>
      </c>
      <c r="X3">
        <f>ARRAYFORMULA(IF((J3:J1000&lt;&gt;"")*(K3:K1000="")*(R3:R1000=""),IF(TODAY()-J3:J1000&gt;2,"⚑",""),""))</f>
        <v/>
      </c>
      <c r="Y3">
        <f>ARRAYFORMULA(IF((G3:G1000&lt;&gt;"")*(M3:M1000="")*(R3:R1000=""),IF((G3:G1000-TODAY()&lt;=14)*(G3:G1000&gt;=TODAY()),"⚑",""),""))</f>
        <v/>
      </c>
      <c r="Z3">
        <f>ARRAYFORMULA(IF((G3:G1000&lt;&gt;"")*(P3:P1000="")*(R3:R1000=""),IF(TODAY()&gt;G3:G1000,"⚑",""),""))</f>
        <v/>
      </c>
      <c r="AA3">
        <f>ARRAYFORMULA(IF((E3:E1000&lt;&gt;"")*(P3:P1000="")*(R3:R1000=""),IF(TODAY()-IF(S3:S1000&gt;IF(M3:M1000&lt;&gt;"",M3:M1000,IF(H3:H1000&lt;&gt;"",H3:H1000,E3:E1000)),S3:S1000,IF(M3:M1000&lt;&gt;"",M3:M1000,IF(H3:H1000&lt;&gt;"",H3:H1000,E3:E1000)))&gt;7,"⚑",""),""))</f>
        <v/>
      </c>
      <c r="AB3">
        <f>ARRAYFORMULA(IF((P3:P1000="")+(G3:G1000=""),"",IF(P3:P1000&lt;=G3:G1000,"Có","Không")))</f>
        <v/>
      </c>
      <c r="AC3">
        <f>ARRAYFORMULA(IF((P3:P1000="")+(E3:E1000=""),"",P3:P1000-E3:E1000))</f>
        <v/>
      </c>
      <c r="AD3">
        <f>ARRAYFORMULA(IF(A3:A1000="","",COUNTIF(CASE!B3:B1000,A3:A1000)))</f>
        <v/>
      </c>
      <c r="AE3">
        <f>ARRAYFORMULA(IF((I3:I1000="")+(E3:E1000=""),"",I3:I1000-E3:E1000))</f>
        <v/>
      </c>
      <c r="AF3">
        <f>ARRAYFORMULA(IF((K3:K1000="")+(I3:I1000=""),"",K3:K1000-I3:I1000))</f>
        <v/>
      </c>
      <c r="AG3">
        <f>ARRAYFORMULA(IF((L3:L1000="")+(K3:K1000=""),"",L3:L1000-K3:K1000))</f>
        <v/>
      </c>
      <c r="AH3">
        <f>ARRAYFORMULA(IF((M3:M1000="")+(L3:L1000=""),"",M3:M1000-L3:L1000))</f>
        <v/>
      </c>
      <c r="AI3">
        <f>ARRAYFORMULA(IF((P3:P1000="")+(M3:M1000=""),"",P3:P1000-M3:M1000))</f>
        <v/>
      </c>
    </row>
    <row r="4"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</row>
    <row r="198"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</row>
    <row r="199"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</row>
    <row r="200"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</row>
    <row r="201"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</row>
    <row r="220"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</row>
    <row r="221"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</row>
    <row r="222"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</row>
    <row r="223"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</row>
    <row r="224"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</row>
    <row r="225"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</row>
    <row r="226"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</row>
    <row r="227"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</row>
    <row r="228"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</row>
    <row r="229"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</row>
    <row r="230"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</row>
    <row r="231"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</row>
    <row r="232"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</row>
    <row r="233"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</row>
    <row r="234"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</row>
    <row r="235"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</row>
    <row r="236"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</row>
    <row r="237"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</row>
    <row r="238"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</row>
    <row r="239"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</row>
    <row r="240"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</row>
    <row r="241"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</row>
    <row r="242"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</row>
    <row r="243"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</row>
    <row r="244"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</row>
    <row r="245"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</row>
    <row r="246"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</row>
    <row r="247"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</row>
    <row r="248"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</row>
    <row r="249"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</row>
    <row r="250"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</row>
    <row r="251"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</row>
    <row r="252"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</row>
    <row r="253"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</row>
    <row r="254"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</row>
    <row r="255"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</row>
    <row r="256"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</row>
    <row r="257"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</row>
    <row r="258"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</row>
    <row r="259"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</row>
    <row r="260"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</row>
    <row r="261"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</row>
    <row r="262"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</row>
    <row r="263"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</row>
    <row r="264"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</row>
    <row r="265"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</row>
    <row r="266"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</row>
    <row r="267"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</row>
    <row r="268"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</row>
    <row r="269"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</row>
    <row r="270"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</row>
    <row r="271"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</row>
    <row r="272"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</row>
    <row r="273"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</row>
    <row r="274"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</row>
    <row r="275"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</row>
    <row r="276"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</row>
    <row r="277"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</row>
    <row r="278"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</row>
    <row r="279"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</row>
    <row r="280"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</row>
    <row r="281"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</row>
    <row r="282"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</row>
    <row r="283"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</row>
    <row r="284"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</row>
    <row r="285"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</row>
    <row r="286"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</row>
    <row r="287"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</row>
    <row r="288"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</row>
    <row r="289"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</row>
    <row r="290"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</row>
    <row r="291"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</row>
    <row r="292"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</row>
    <row r="293"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</row>
    <row r="294"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</row>
    <row r="295"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</row>
    <row r="296"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</row>
    <row r="297"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</row>
    <row r="298"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</row>
    <row r="299"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</row>
    <row r="300"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</row>
    <row r="301"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</row>
    <row r="302"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</row>
    <row r="303"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</row>
    <row r="304"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</row>
    <row r="305"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</row>
    <row r="306"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</row>
    <row r="307"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</row>
    <row r="308"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</row>
    <row r="309"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</row>
    <row r="310"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</row>
    <row r="311"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</row>
    <row r="312"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</row>
    <row r="313"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</row>
    <row r="314"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</row>
    <row r="315"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</row>
    <row r="316"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</row>
    <row r="317"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</row>
    <row r="318"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</row>
    <row r="319"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</row>
    <row r="320"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</row>
    <row r="321"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</row>
    <row r="322"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</row>
    <row r="323"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</row>
    <row r="324"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</row>
    <row r="325"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</row>
    <row r="326"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</row>
    <row r="327"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</row>
    <row r="328"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</row>
    <row r="329"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</row>
    <row r="330"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</row>
    <row r="331"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</row>
    <row r="332"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</row>
    <row r="333"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</row>
    <row r="334"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</row>
    <row r="335"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</row>
    <row r="336"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</row>
    <row r="337"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</row>
    <row r="338"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</row>
    <row r="339"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</row>
    <row r="340"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</row>
    <row r="341"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</row>
    <row r="342"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</row>
    <row r="343"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</row>
    <row r="344"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</row>
    <row r="345"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</row>
    <row r="346"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</row>
    <row r="347"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</row>
    <row r="348"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</row>
    <row r="349"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</row>
    <row r="350"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</row>
    <row r="351"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</row>
    <row r="352"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</row>
    <row r="353"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</row>
    <row r="354"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</row>
    <row r="355"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</row>
    <row r="356"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</row>
    <row r="357"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</row>
    <row r="358"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</row>
    <row r="359"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</row>
    <row r="360"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</row>
    <row r="361"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</row>
    <row r="362"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</row>
    <row r="363"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</row>
    <row r="364"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</row>
    <row r="365"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</row>
    <row r="366"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</row>
    <row r="367"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</row>
    <row r="368"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</row>
    <row r="369"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</row>
    <row r="370"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</row>
    <row r="371"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</row>
    <row r="372"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</row>
    <row r="373"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</row>
    <row r="374"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</row>
    <row r="375"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</row>
    <row r="376"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</row>
    <row r="377"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</row>
    <row r="378"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</row>
    <row r="379"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</row>
    <row r="380"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</row>
    <row r="381"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</row>
    <row r="382"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</row>
    <row r="383"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</row>
    <row r="384"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</row>
    <row r="385"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</row>
    <row r="386"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</row>
    <row r="387"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</row>
    <row r="388"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</row>
    <row r="389"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</row>
    <row r="390"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</row>
    <row r="391"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</row>
    <row r="392"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</row>
    <row r="393"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</row>
    <row r="394"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</row>
    <row r="395"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</row>
    <row r="396"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</row>
    <row r="397"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</row>
    <row r="398"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</row>
    <row r="399"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</row>
    <row r="400"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</row>
    <row r="401"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</row>
    <row r="402"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</row>
    <row r="403"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</row>
    <row r="404"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</row>
    <row r="405"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</row>
    <row r="406"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</row>
    <row r="407"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</row>
    <row r="408"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</row>
    <row r="409"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</row>
    <row r="410"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</row>
    <row r="411"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</row>
    <row r="412"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</row>
    <row r="413"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</row>
    <row r="414"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</row>
    <row r="415"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</row>
    <row r="416"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</row>
    <row r="417"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</row>
    <row r="418"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</row>
    <row r="419"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</row>
    <row r="420"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</row>
    <row r="421"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</row>
    <row r="422"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</row>
    <row r="423"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</row>
    <row r="424"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</row>
    <row r="425"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</row>
    <row r="426"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</row>
    <row r="427"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</row>
    <row r="428"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</row>
    <row r="429"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</row>
    <row r="430"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</row>
    <row r="431"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</row>
    <row r="432"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</row>
    <row r="433"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</row>
    <row r="434"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</row>
    <row r="435"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</row>
    <row r="436"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</row>
    <row r="437"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</row>
    <row r="438"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</row>
    <row r="439"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</row>
    <row r="440"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</row>
    <row r="441"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</row>
    <row r="442"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</row>
    <row r="443"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</row>
    <row r="444"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</row>
    <row r="445"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</row>
    <row r="446"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</row>
    <row r="447"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</row>
    <row r="448"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</row>
    <row r="449"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</row>
    <row r="450"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</row>
    <row r="451"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</row>
    <row r="452"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</row>
    <row r="453"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</row>
    <row r="454"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</row>
    <row r="455"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</row>
    <row r="456"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</row>
    <row r="457"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</row>
    <row r="458"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</row>
    <row r="459"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</row>
    <row r="460"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</row>
    <row r="461"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</row>
    <row r="462"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</row>
    <row r="463"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</row>
    <row r="464"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</row>
    <row r="465"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</row>
    <row r="466"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</row>
    <row r="467"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</row>
    <row r="468"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</row>
    <row r="469"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</row>
    <row r="470"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</row>
    <row r="471"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</row>
    <row r="472"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</row>
    <row r="473"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</row>
    <row r="474"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</row>
    <row r="475"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</row>
    <row r="476"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</row>
    <row r="477"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</row>
    <row r="478"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</row>
    <row r="479"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</row>
    <row r="480"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</row>
    <row r="481"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</row>
    <row r="482"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</row>
    <row r="483"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</row>
    <row r="484"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</row>
    <row r="485"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</row>
    <row r="486"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</row>
    <row r="487"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</row>
    <row r="488"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</row>
    <row r="489"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</row>
    <row r="490"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</row>
    <row r="491"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</row>
    <row r="492"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</row>
    <row r="493"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</row>
    <row r="494"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</row>
    <row r="495"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</row>
    <row r="496"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</row>
    <row r="497"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</row>
    <row r="498"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</row>
    <row r="499"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</row>
    <row r="500"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</row>
    <row r="501"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</row>
    <row r="502"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</row>
    <row r="503"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</row>
    <row r="504"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</row>
    <row r="505"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</row>
    <row r="506"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</row>
    <row r="507"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</row>
    <row r="508"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</row>
    <row r="509"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</row>
    <row r="510"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</row>
    <row r="511"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</row>
    <row r="512"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</row>
    <row r="513"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</row>
    <row r="514"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</row>
    <row r="515"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</row>
    <row r="516"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</row>
    <row r="517"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</row>
    <row r="518"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</row>
    <row r="519"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</row>
    <row r="520"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</row>
    <row r="521"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</row>
    <row r="522"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</row>
    <row r="523"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</row>
    <row r="524"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</row>
    <row r="525"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</row>
    <row r="526"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</row>
    <row r="527"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</row>
    <row r="528"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</row>
    <row r="529"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</row>
    <row r="530"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</row>
    <row r="531"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</row>
    <row r="532"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</row>
    <row r="533"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</row>
    <row r="534"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</row>
    <row r="535"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</row>
    <row r="536"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</row>
    <row r="537"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</row>
    <row r="538"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</row>
    <row r="539"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</row>
    <row r="540"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</row>
    <row r="541"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</row>
    <row r="542"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</row>
    <row r="543"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</row>
    <row r="544"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</row>
    <row r="545"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</row>
    <row r="546"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</row>
    <row r="547"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</row>
    <row r="548"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</row>
    <row r="549"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</row>
    <row r="550"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</row>
    <row r="551"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</row>
    <row r="552"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</row>
    <row r="553"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</row>
    <row r="554"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</row>
    <row r="555"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</row>
    <row r="556"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</row>
    <row r="557"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</row>
    <row r="558"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</row>
    <row r="559"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</row>
    <row r="560"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</row>
    <row r="561"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</row>
    <row r="562"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</row>
    <row r="563"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</row>
    <row r="564"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</row>
    <row r="565"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</row>
    <row r="566"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</row>
    <row r="567"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</row>
    <row r="568"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</row>
    <row r="569"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</row>
    <row r="570"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</row>
    <row r="571"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</row>
    <row r="572"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</row>
    <row r="573"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</row>
    <row r="574"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</row>
    <row r="575"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</row>
    <row r="576"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</row>
    <row r="577"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</row>
    <row r="578"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</row>
    <row r="579"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</row>
    <row r="580"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</row>
    <row r="581"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</row>
    <row r="582"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</row>
    <row r="583"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</row>
    <row r="584"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</row>
    <row r="585"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</row>
    <row r="586"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</row>
    <row r="587"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</row>
    <row r="588"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</row>
    <row r="589"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</row>
    <row r="590"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</row>
    <row r="591"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</row>
    <row r="592"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</row>
    <row r="593"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</row>
    <row r="594"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</row>
    <row r="595"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</row>
    <row r="596"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</row>
    <row r="597"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</row>
    <row r="598"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</row>
    <row r="599"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</row>
    <row r="600"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</row>
    <row r="601"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</row>
    <row r="602"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</row>
    <row r="603"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</row>
    <row r="604"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</row>
    <row r="605"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</row>
    <row r="606"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</row>
    <row r="607"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</row>
    <row r="608"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</row>
    <row r="609"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</row>
    <row r="610"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</row>
    <row r="611"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</row>
    <row r="612"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</row>
    <row r="613"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</row>
    <row r="614"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</row>
    <row r="615"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</row>
    <row r="616"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</row>
    <row r="617"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</row>
    <row r="618"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</row>
    <row r="619"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</row>
    <row r="620"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</row>
    <row r="621"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</row>
    <row r="622"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</row>
    <row r="623"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</row>
    <row r="624"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</row>
    <row r="625"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</row>
    <row r="626"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</row>
    <row r="627"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</row>
    <row r="628"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</row>
    <row r="629"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</row>
    <row r="630"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</row>
    <row r="631"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</row>
    <row r="632"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</row>
    <row r="633"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</row>
    <row r="634"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</row>
    <row r="635"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</row>
    <row r="636"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</row>
    <row r="637"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</row>
    <row r="638"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</row>
    <row r="639"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</row>
    <row r="640"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</row>
    <row r="641"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</row>
    <row r="642"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</row>
    <row r="643"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</row>
    <row r="644"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</row>
    <row r="645"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</row>
    <row r="646"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</row>
    <row r="647"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</row>
    <row r="648"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</row>
    <row r="649"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</row>
    <row r="650"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</row>
    <row r="651"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</row>
    <row r="652"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</row>
    <row r="653"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</row>
    <row r="654"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</row>
    <row r="655"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</row>
    <row r="656"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</row>
    <row r="657"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</row>
    <row r="658"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</row>
    <row r="659"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</row>
    <row r="660"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</row>
    <row r="661"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</row>
    <row r="662"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</row>
    <row r="663"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</row>
    <row r="664"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</row>
    <row r="665"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</row>
    <row r="666"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</row>
    <row r="667"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</row>
    <row r="668"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</row>
    <row r="669"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</row>
    <row r="670"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</row>
    <row r="671"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</row>
    <row r="672"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</row>
    <row r="673"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</row>
    <row r="674"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</row>
    <row r="675"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</row>
    <row r="676"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</row>
    <row r="677"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</row>
    <row r="678"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</row>
    <row r="679"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</row>
    <row r="680"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</row>
    <row r="681"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</row>
    <row r="682"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</row>
    <row r="683"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</row>
    <row r="684"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</row>
    <row r="685"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</row>
    <row r="686"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</row>
    <row r="687"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</row>
    <row r="688"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</row>
    <row r="689"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</row>
    <row r="690"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</row>
    <row r="691"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</row>
    <row r="692"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</row>
    <row r="693"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</row>
    <row r="694"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</row>
    <row r="695"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</row>
    <row r="696"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</row>
    <row r="697"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</row>
    <row r="698"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</row>
    <row r="699"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</row>
    <row r="700"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</row>
    <row r="701"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</row>
    <row r="702"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</row>
    <row r="703"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</row>
    <row r="704"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</row>
    <row r="705"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</row>
    <row r="706"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</row>
    <row r="707"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</row>
    <row r="708"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</row>
    <row r="709"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</row>
    <row r="710"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</row>
    <row r="711"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</row>
    <row r="712"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</row>
    <row r="713"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</row>
    <row r="714"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</row>
    <row r="715"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</row>
    <row r="716"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</row>
    <row r="717"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</row>
    <row r="718"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</row>
    <row r="719"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</row>
    <row r="720"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</row>
    <row r="721"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</row>
    <row r="722"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</row>
    <row r="723"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</row>
    <row r="724"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</row>
    <row r="725"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</row>
    <row r="726"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</row>
    <row r="727"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</row>
    <row r="728"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</row>
    <row r="729"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</row>
    <row r="730"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</row>
    <row r="731"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</row>
    <row r="732"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</row>
    <row r="733"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</row>
    <row r="734"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</row>
    <row r="735"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</row>
    <row r="736"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</row>
    <row r="737"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</row>
    <row r="738"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</row>
    <row r="739"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</row>
    <row r="740"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</row>
    <row r="741"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</row>
    <row r="742"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</row>
    <row r="743"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</row>
    <row r="744"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</row>
    <row r="745"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</row>
    <row r="746"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</row>
    <row r="747"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</row>
    <row r="748"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</row>
    <row r="749"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</row>
    <row r="750"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</row>
    <row r="751"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</row>
    <row r="752"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</row>
    <row r="753"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</row>
    <row r="754"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</row>
    <row r="755"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</row>
    <row r="756"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</row>
    <row r="757"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</row>
    <row r="758"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</row>
    <row r="759"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</row>
    <row r="760"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</row>
    <row r="761"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</row>
    <row r="762"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</row>
    <row r="763"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</row>
    <row r="764"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</row>
    <row r="765"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</row>
    <row r="766"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</row>
    <row r="767"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</row>
    <row r="768"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</row>
    <row r="769"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</row>
    <row r="770"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</row>
    <row r="771"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</row>
    <row r="772"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</row>
    <row r="773"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</row>
    <row r="774"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</row>
    <row r="775"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</row>
    <row r="776"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</row>
    <row r="777">
      <c r="E777" s="22" t="n"/>
      <c r="F777" s="22" t="n"/>
      <c r="G777" s="22" t="n"/>
      <c r="H777" s="22" t="n"/>
      <c r="I777" s="22" t="n"/>
      <c r="J777" s="22" t="n"/>
      <c r="K777" s="22" t="n"/>
      <c r="L777" s="22" t="n"/>
      <c r="M777" s="22" t="n"/>
      <c r="N777" s="22" t="n"/>
      <c r="O777" s="22" t="n"/>
      <c r="P777" s="22" t="n"/>
      <c r="Q777" s="22" t="n"/>
      <c r="R777" s="22" t="n"/>
      <c r="S777" s="22" t="n"/>
    </row>
    <row r="778">
      <c r="E778" s="22" t="n"/>
      <c r="F778" s="22" t="n"/>
      <c r="G778" s="22" t="n"/>
      <c r="H778" s="22" t="n"/>
      <c r="I778" s="22" t="n"/>
      <c r="J778" s="22" t="n"/>
      <c r="K778" s="22" t="n"/>
      <c r="L778" s="22" t="n"/>
      <c r="M778" s="22" t="n"/>
      <c r="N778" s="22" t="n"/>
      <c r="O778" s="22" t="n"/>
      <c r="P778" s="22" t="n"/>
      <c r="Q778" s="22" t="n"/>
      <c r="R778" s="22" t="n"/>
      <c r="S778" s="22" t="n"/>
    </row>
    <row r="779">
      <c r="E779" s="22" t="n"/>
      <c r="F779" s="22" t="n"/>
      <c r="G779" s="22" t="n"/>
      <c r="H779" s="22" t="n"/>
      <c r="I779" s="22" t="n"/>
      <c r="J779" s="22" t="n"/>
      <c r="K779" s="22" t="n"/>
      <c r="L779" s="22" t="n"/>
      <c r="M779" s="22" t="n"/>
      <c r="N779" s="22" t="n"/>
      <c r="O779" s="22" t="n"/>
      <c r="P779" s="22" t="n"/>
      <c r="Q779" s="22" t="n"/>
      <c r="R779" s="22" t="n"/>
      <c r="S779" s="22" t="n"/>
    </row>
    <row r="780">
      <c r="E780" s="22" t="n"/>
      <c r="F780" s="22" t="n"/>
      <c r="G780" s="22" t="n"/>
      <c r="H780" s="22" t="n"/>
      <c r="I780" s="22" t="n"/>
      <c r="J780" s="22" t="n"/>
      <c r="K780" s="22" t="n"/>
      <c r="L780" s="22" t="n"/>
      <c r="M780" s="22" t="n"/>
      <c r="N780" s="22" t="n"/>
      <c r="O780" s="22" t="n"/>
      <c r="P780" s="22" t="n"/>
      <c r="Q780" s="22" t="n"/>
      <c r="R780" s="22" t="n"/>
      <c r="S780" s="22" t="n"/>
    </row>
    <row r="781">
      <c r="E781" s="22" t="n"/>
      <c r="F781" s="22" t="n"/>
      <c r="G781" s="22" t="n"/>
      <c r="H781" s="22" t="n"/>
      <c r="I781" s="22" t="n"/>
      <c r="J781" s="22" t="n"/>
      <c r="K781" s="22" t="n"/>
      <c r="L781" s="22" t="n"/>
      <c r="M781" s="22" t="n"/>
      <c r="N781" s="22" t="n"/>
      <c r="O781" s="22" t="n"/>
      <c r="P781" s="22" t="n"/>
      <c r="Q781" s="22" t="n"/>
      <c r="R781" s="22" t="n"/>
      <c r="S781" s="22" t="n"/>
    </row>
    <row r="782">
      <c r="E782" s="22" t="n"/>
      <c r="F782" s="22" t="n"/>
      <c r="G782" s="22" t="n"/>
      <c r="H782" s="22" t="n"/>
      <c r="I782" s="22" t="n"/>
      <c r="J782" s="22" t="n"/>
      <c r="K782" s="22" t="n"/>
      <c r="L782" s="22" t="n"/>
      <c r="M782" s="22" t="n"/>
      <c r="N782" s="22" t="n"/>
      <c r="O782" s="22" t="n"/>
      <c r="P782" s="22" t="n"/>
      <c r="Q782" s="22" t="n"/>
      <c r="R782" s="22" t="n"/>
      <c r="S782" s="22" t="n"/>
    </row>
    <row r="783">
      <c r="E783" s="22" t="n"/>
      <c r="F783" s="22" t="n"/>
      <c r="G783" s="22" t="n"/>
      <c r="H783" s="22" t="n"/>
      <c r="I783" s="22" t="n"/>
      <c r="J783" s="22" t="n"/>
      <c r="K783" s="22" t="n"/>
      <c r="L783" s="22" t="n"/>
      <c r="M783" s="22" t="n"/>
      <c r="N783" s="22" t="n"/>
      <c r="O783" s="22" t="n"/>
      <c r="P783" s="22" t="n"/>
      <c r="Q783" s="22" t="n"/>
      <c r="R783" s="22" t="n"/>
      <c r="S783" s="22" t="n"/>
    </row>
    <row r="784">
      <c r="E784" s="22" t="n"/>
      <c r="F784" s="22" t="n"/>
      <c r="G784" s="22" t="n"/>
      <c r="H784" s="22" t="n"/>
      <c r="I784" s="22" t="n"/>
      <c r="J784" s="22" t="n"/>
      <c r="K784" s="22" t="n"/>
      <c r="L784" s="22" t="n"/>
      <c r="M784" s="22" t="n"/>
      <c r="N784" s="22" t="n"/>
      <c r="O784" s="22" t="n"/>
      <c r="P784" s="22" t="n"/>
      <c r="Q784" s="22" t="n"/>
      <c r="R784" s="22" t="n"/>
      <c r="S784" s="22" t="n"/>
    </row>
    <row r="785">
      <c r="E785" s="22" t="n"/>
      <c r="F785" s="22" t="n"/>
      <c r="G785" s="22" t="n"/>
      <c r="H785" s="22" t="n"/>
      <c r="I785" s="22" t="n"/>
      <c r="J785" s="22" t="n"/>
      <c r="K785" s="22" t="n"/>
      <c r="L785" s="22" t="n"/>
      <c r="M785" s="22" t="n"/>
      <c r="N785" s="22" t="n"/>
      <c r="O785" s="22" t="n"/>
      <c r="P785" s="22" t="n"/>
      <c r="Q785" s="22" t="n"/>
      <c r="R785" s="22" t="n"/>
      <c r="S785" s="22" t="n"/>
    </row>
    <row r="786">
      <c r="E786" s="22" t="n"/>
      <c r="F786" s="22" t="n"/>
      <c r="G786" s="22" t="n"/>
      <c r="H786" s="22" t="n"/>
      <c r="I786" s="22" t="n"/>
      <c r="J786" s="22" t="n"/>
      <c r="K786" s="22" t="n"/>
      <c r="L786" s="22" t="n"/>
      <c r="M786" s="22" t="n"/>
      <c r="N786" s="22" t="n"/>
      <c r="O786" s="22" t="n"/>
      <c r="P786" s="22" t="n"/>
      <c r="Q786" s="22" t="n"/>
      <c r="R786" s="22" t="n"/>
      <c r="S786" s="22" t="n"/>
    </row>
    <row r="787">
      <c r="E787" s="22" t="n"/>
      <c r="F787" s="22" t="n"/>
      <c r="G787" s="22" t="n"/>
      <c r="H787" s="22" t="n"/>
      <c r="I787" s="22" t="n"/>
      <c r="J787" s="22" t="n"/>
      <c r="K787" s="22" t="n"/>
      <c r="L787" s="22" t="n"/>
      <c r="M787" s="22" t="n"/>
      <c r="N787" s="22" t="n"/>
      <c r="O787" s="22" t="n"/>
      <c r="P787" s="22" t="n"/>
      <c r="Q787" s="22" t="n"/>
      <c r="R787" s="22" t="n"/>
      <c r="S787" s="22" t="n"/>
    </row>
    <row r="788">
      <c r="E788" s="22" t="n"/>
      <c r="F788" s="22" t="n"/>
      <c r="G788" s="22" t="n"/>
      <c r="H788" s="22" t="n"/>
      <c r="I788" s="22" t="n"/>
      <c r="J788" s="22" t="n"/>
      <c r="K788" s="22" t="n"/>
      <c r="L788" s="22" t="n"/>
      <c r="M788" s="22" t="n"/>
      <c r="N788" s="22" t="n"/>
      <c r="O788" s="22" t="n"/>
      <c r="P788" s="22" t="n"/>
      <c r="Q788" s="22" t="n"/>
      <c r="R788" s="22" t="n"/>
      <c r="S788" s="22" t="n"/>
    </row>
    <row r="789">
      <c r="E789" s="22" t="n"/>
      <c r="F789" s="22" t="n"/>
      <c r="G789" s="22" t="n"/>
      <c r="H789" s="22" t="n"/>
      <c r="I789" s="22" t="n"/>
      <c r="J789" s="22" t="n"/>
      <c r="K789" s="22" t="n"/>
      <c r="L789" s="22" t="n"/>
      <c r="M789" s="22" t="n"/>
      <c r="N789" s="22" t="n"/>
      <c r="O789" s="22" t="n"/>
      <c r="P789" s="22" t="n"/>
      <c r="Q789" s="22" t="n"/>
      <c r="R789" s="22" t="n"/>
      <c r="S789" s="22" t="n"/>
    </row>
    <row r="790">
      <c r="E790" s="22" t="n"/>
      <c r="F790" s="22" t="n"/>
      <c r="G790" s="22" t="n"/>
      <c r="H790" s="22" t="n"/>
      <c r="I790" s="22" t="n"/>
      <c r="J790" s="22" t="n"/>
      <c r="K790" s="22" t="n"/>
      <c r="L790" s="22" t="n"/>
      <c r="M790" s="22" t="n"/>
      <c r="N790" s="22" t="n"/>
      <c r="O790" s="22" t="n"/>
      <c r="P790" s="22" t="n"/>
      <c r="Q790" s="22" t="n"/>
      <c r="R790" s="22" t="n"/>
      <c r="S790" s="22" t="n"/>
    </row>
    <row r="791">
      <c r="E791" s="22" t="n"/>
      <c r="F791" s="22" t="n"/>
      <c r="G791" s="22" t="n"/>
      <c r="H791" s="22" t="n"/>
      <c r="I791" s="22" t="n"/>
      <c r="J791" s="22" t="n"/>
      <c r="K791" s="22" t="n"/>
      <c r="L791" s="22" t="n"/>
      <c r="M791" s="22" t="n"/>
      <c r="N791" s="22" t="n"/>
      <c r="O791" s="22" t="n"/>
      <c r="P791" s="22" t="n"/>
      <c r="Q791" s="22" t="n"/>
      <c r="R791" s="22" t="n"/>
      <c r="S791" s="22" t="n"/>
    </row>
    <row r="792">
      <c r="E792" s="22" t="n"/>
      <c r="F792" s="22" t="n"/>
      <c r="G792" s="22" t="n"/>
      <c r="H792" s="22" t="n"/>
      <c r="I792" s="22" t="n"/>
      <c r="J792" s="22" t="n"/>
      <c r="K792" s="22" t="n"/>
      <c r="L792" s="22" t="n"/>
      <c r="M792" s="22" t="n"/>
      <c r="N792" s="22" t="n"/>
      <c r="O792" s="22" t="n"/>
      <c r="P792" s="22" t="n"/>
      <c r="Q792" s="22" t="n"/>
      <c r="R792" s="22" t="n"/>
      <c r="S792" s="22" t="n"/>
    </row>
    <row r="793">
      <c r="E793" s="22" t="n"/>
      <c r="F793" s="22" t="n"/>
      <c r="G793" s="22" t="n"/>
      <c r="H793" s="22" t="n"/>
      <c r="I793" s="22" t="n"/>
      <c r="J793" s="22" t="n"/>
      <c r="K793" s="22" t="n"/>
      <c r="L793" s="22" t="n"/>
      <c r="M793" s="22" t="n"/>
      <c r="N793" s="22" t="n"/>
      <c r="O793" s="22" t="n"/>
      <c r="P793" s="22" t="n"/>
      <c r="Q793" s="22" t="n"/>
      <c r="R793" s="22" t="n"/>
      <c r="S793" s="22" t="n"/>
    </row>
    <row r="794">
      <c r="E794" s="22" t="n"/>
      <c r="F794" s="22" t="n"/>
      <c r="G794" s="22" t="n"/>
      <c r="H794" s="22" t="n"/>
      <c r="I794" s="22" t="n"/>
      <c r="J794" s="22" t="n"/>
      <c r="K794" s="22" t="n"/>
      <c r="L794" s="22" t="n"/>
      <c r="M794" s="22" t="n"/>
      <c r="N794" s="22" t="n"/>
      <c r="O794" s="22" t="n"/>
      <c r="P794" s="22" t="n"/>
      <c r="Q794" s="22" t="n"/>
      <c r="R794" s="22" t="n"/>
      <c r="S794" s="22" t="n"/>
    </row>
    <row r="795">
      <c r="E795" s="22" t="n"/>
      <c r="F795" s="22" t="n"/>
      <c r="G795" s="22" t="n"/>
      <c r="H795" s="22" t="n"/>
      <c r="I795" s="22" t="n"/>
      <c r="J795" s="22" t="n"/>
      <c r="K795" s="22" t="n"/>
      <c r="L795" s="22" t="n"/>
      <c r="M795" s="22" t="n"/>
      <c r="N795" s="22" t="n"/>
      <c r="O795" s="22" t="n"/>
      <c r="P795" s="22" t="n"/>
      <c r="Q795" s="22" t="n"/>
      <c r="R795" s="22" t="n"/>
      <c r="S795" s="22" t="n"/>
    </row>
    <row r="796">
      <c r="E796" s="22" t="n"/>
      <c r="F796" s="22" t="n"/>
      <c r="G796" s="22" t="n"/>
      <c r="H796" s="22" t="n"/>
      <c r="I796" s="22" t="n"/>
      <c r="J796" s="22" t="n"/>
      <c r="K796" s="22" t="n"/>
      <c r="L796" s="22" t="n"/>
      <c r="M796" s="22" t="n"/>
      <c r="N796" s="22" t="n"/>
      <c r="O796" s="22" t="n"/>
      <c r="P796" s="22" t="n"/>
      <c r="Q796" s="22" t="n"/>
      <c r="R796" s="22" t="n"/>
      <c r="S796" s="22" t="n"/>
    </row>
    <row r="797">
      <c r="E797" s="22" t="n"/>
      <c r="F797" s="22" t="n"/>
      <c r="G797" s="22" t="n"/>
      <c r="H797" s="22" t="n"/>
      <c r="I797" s="22" t="n"/>
      <c r="J797" s="22" t="n"/>
      <c r="K797" s="22" t="n"/>
      <c r="L797" s="22" t="n"/>
      <c r="M797" s="22" t="n"/>
      <c r="N797" s="22" t="n"/>
      <c r="O797" s="22" t="n"/>
      <c r="P797" s="22" t="n"/>
      <c r="Q797" s="22" t="n"/>
      <c r="R797" s="22" t="n"/>
      <c r="S797" s="22" t="n"/>
    </row>
    <row r="798">
      <c r="E798" s="22" t="n"/>
      <c r="F798" s="22" t="n"/>
      <c r="G798" s="22" t="n"/>
      <c r="H798" s="22" t="n"/>
      <c r="I798" s="22" t="n"/>
      <c r="J798" s="22" t="n"/>
      <c r="K798" s="22" t="n"/>
      <c r="L798" s="22" t="n"/>
      <c r="M798" s="22" t="n"/>
      <c r="N798" s="22" t="n"/>
      <c r="O798" s="22" t="n"/>
      <c r="P798" s="22" t="n"/>
      <c r="Q798" s="22" t="n"/>
      <c r="R798" s="22" t="n"/>
      <c r="S798" s="22" t="n"/>
    </row>
    <row r="799">
      <c r="E799" s="22" t="n"/>
      <c r="F799" s="22" t="n"/>
      <c r="G799" s="22" t="n"/>
      <c r="H799" s="22" t="n"/>
      <c r="I799" s="22" t="n"/>
      <c r="J799" s="22" t="n"/>
      <c r="K799" s="22" t="n"/>
      <c r="L799" s="22" t="n"/>
      <c r="M799" s="22" t="n"/>
      <c r="N799" s="22" t="n"/>
      <c r="O799" s="22" t="n"/>
      <c r="P799" s="22" t="n"/>
      <c r="Q799" s="22" t="n"/>
      <c r="R799" s="22" t="n"/>
      <c r="S799" s="22" t="n"/>
    </row>
    <row r="800">
      <c r="E800" s="22" t="n"/>
      <c r="F800" s="22" t="n"/>
      <c r="G800" s="22" t="n"/>
      <c r="H800" s="22" t="n"/>
      <c r="I800" s="22" t="n"/>
      <c r="J800" s="22" t="n"/>
      <c r="K800" s="22" t="n"/>
      <c r="L800" s="22" t="n"/>
      <c r="M800" s="22" t="n"/>
      <c r="N800" s="22" t="n"/>
      <c r="O800" s="22" t="n"/>
      <c r="P800" s="22" t="n"/>
      <c r="Q800" s="22" t="n"/>
      <c r="R800" s="22" t="n"/>
      <c r="S800" s="22" t="n"/>
    </row>
    <row r="801">
      <c r="E801" s="22" t="n"/>
      <c r="F801" s="22" t="n"/>
      <c r="G801" s="22" t="n"/>
      <c r="H801" s="22" t="n"/>
      <c r="I801" s="22" t="n"/>
      <c r="J801" s="22" t="n"/>
      <c r="K801" s="22" t="n"/>
      <c r="L801" s="22" t="n"/>
      <c r="M801" s="22" t="n"/>
      <c r="N801" s="22" t="n"/>
      <c r="O801" s="22" t="n"/>
      <c r="P801" s="22" t="n"/>
      <c r="Q801" s="22" t="n"/>
      <c r="R801" s="22" t="n"/>
      <c r="S801" s="22" t="n"/>
    </row>
    <row r="802">
      <c r="E802" s="22" t="n"/>
      <c r="F802" s="22" t="n"/>
      <c r="G802" s="22" t="n"/>
      <c r="H802" s="22" t="n"/>
      <c r="I802" s="22" t="n"/>
      <c r="J802" s="22" t="n"/>
      <c r="K802" s="22" t="n"/>
      <c r="L802" s="22" t="n"/>
      <c r="M802" s="22" t="n"/>
      <c r="N802" s="22" t="n"/>
      <c r="O802" s="22" t="n"/>
      <c r="P802" s="22" t="n"/>
      <c r="Q802" s="22" t="n"/>
      <c r="R802" s="22" t="n"/>
      <c r="S802" s="22" t="n"/>
    </row>
    <row r="803">
      <c r="E803" s="22" t="n"/>
      <c r="F803" s="22" t="n"/>
      <c r="G803" s="22" t="n"/>
      <c r="H803" s="22" t="n"/>
      <c r="I803" s="22" t="n"/>
      <c r="J803" s="22" t="n"/>
      <c r="K803" s="22" t="n"/>
      <c r="L803" s="22" t="n"/>
      <c r="M803" s="22" t="n"/>
      <c r="N803" s="22" t="n"/>
      <c r="O803" s="22" t="n"/>
      <c r="P803" s="22" t="n"/>
      <c r="Q803" s="22" t="n"/>
      <c r="R803" s="22" t="n"/>
      <c r="S803" s="22" t="n"/>
    </row>
    <row r="804">
      <c r="E804" s="22" t="n"/>
      <c r="F804" s="22" t="n"/>
      <c r="G804" s="22" t="n"/>
      <c r="H804" s="22" t="n"/>
      <c r="I804" s="22" t="n"/>
      <c r="J804" s="22" t="n"/>
      <c r="K804" s="22" t="n"/>
      <c r="L804" s="22" t="n"/>
      <c r="M804" s="22" t="n"/>
      <c r="N804" s="22" t="n"/>
      <c r="O804" s="22" t="n"/>
      <c r="P804" s="22" t="n"/>
      <c r="Q804" s="22" t="n"/>
      <c r="R804" s="22" t="n"/>
      <c r="S804" s="22" t="n"/>
    </row>
    <row r="805">
      <c r="E805" s="22" t="n"/>
      <c r="F805" s="22" t="n"/>
      <c r="G805" s="22" t="n"/>
      <c r="H805" s="22" t="n"/>
      <c r="I805" s="22" t="n"/>
      <c r="J805" s="22" t="n"/>
      <c r="K805" s="22" t="n"/>
      <c r="L805" s="22" t="n"/>
      <c r="M805" s="22" t="n"/>
      <c r="N805" s="22" t="n"/>
      <c r="O805" s="22" t="n"/>
      <c r="P805" s="22" t="n"/>
      <c r="Q805" s="22" t="n"/>
      <c r="R805" s="22" t="n"/>
      <c r="S805" s="22" t="n"/>
    </row>
    <row r="806">
      <c r="E806" s="22" t="n"/>
      <c r="F806" s="22" t="n"/>
      <c r="G806" s="22" t="n"/>
      <c r="H806" s="22" t="n"/>
      <c r="I806" s="22" t="n"/>
      <c r="J806" s="22" t="n"/>
      <c r="K806" s="22" t="n"/>
      <c r="L806" s="22" t="n"/>
      <c r="M806" s="22" t="n"/>
      <c r="N806" s="22" t="n"/>
      <c r="O806" s="22" t="n"/>
      <c r="P806" s="22" t="n"/>
      <c r="Q806" s="22" t="n"/>
      <c r="R806" s="22" t="n"/>
      <c r="S806" s="22" t="n"/>
    </row>
    <row r="807">
      <c r="E807" s="22" t="n"/>
      <c r="F807" s="22" t="n"/>
      <c r="G807" s="22" t="n"/>
      <c r="H807" s="22" t="n"/>
      <c r="I807" s="22" t="n"/>
      <c r="J807" s="22" t="n"/>
      <c r="K807" s="22" t="n"/>
      <c r="L807" s="22" t="n"/>
      <c r="M807" s="22" t="n"/>
      <c r="N807" s="22" t="n"/>
      <c r="O807" s="22" t="n"/>
      <c r="P807" s="22" t="n"/>
      <c r="Q807" s="22" t="n"/>
      <c r="R807" s="22" t="n"/>
      <c r="S807" s="22" t="n"/>
    </row>
    <row r="808">
      <c r="E808" s="22" t="n"/>
      <c r="F808" s="22" t="n"/>
      <c r="G808" s="22" t="n"/>
      <c r="H808" s="22" t="n"/>
      <c r="I808" s="22" t="n"/>
      <c r="J808" s="22" t="n"/>
      <c r="K808" s="22" t="n"/>
      <c r="L808" s="22" t="n"/>
      <c r="M808" s="22" t="n"/>
      <c r="N808" s="22" t="n"/>
      <c r="O808" s="22" t="n"/>
      <c r="P808" s="22" t="n"/>
      <c r="Q808" s="22" t="n"/>
      <c r="R808" s="22" t="n"/>
      <c r="S808" s="22" t="n"/>
    </row>
    <row r="809">
      <c r="E809" s="22" t="n"/>
      <c r="F809" s="22" t="n"/>
      <c r="G809" s="22" t="n"/>
      <c r="H809" s="22" t="n"/>
      <c r="I809" s="22" t="n"/>
      <c r="J809" s="22" t="n"/>
      <c r="K809" s="22" t="n"/>
      <c r="L809" s="22" t="n"/>
      <c r="M809" s="22" t="n"/>
      <c r="N809" s="22" t="n"/>
      <c r="O809" s="22" t="n"/>
      <c r="P809" s="22" t="n"/>
      <c r="Q809" s="22" t="n"/>
      <c r="R809" s="22" t="n"/>
      <c r="S809" s="22" t="n"/>
    </row>
    <row r="810">
      <c r="E810" s="22" t="n"/>
      <c r="F810" s="22" t="n"/>
      <c r="G810" s="22" t="n"/>
      <c r="H810" s="22" t="n"/>
      <c r="I810" s="22" t="n"/>
      <c r="J810" s="22" t="n"/>
      <c r="K810" s="22" t="n"/>
      <c r="L810" s="22" t="n"/>
      <c r="M810" s="22" t="n"/>
      <c r="N810" s="22" t="n"/>
      <c r="O810" s="22" t="n"/>
      <c r="P810" s="22" t="n"/>
      <c r="Q810" s="22" t="n"/>
      <c r="R810" s="22" t="n"/>
      <c r="S810" s="22" t="n"/>
    </row>
    <row r="811">
      <c r="E811" s="22" t="n"/>
      <c r="F811" s="22" t="n"/>
      <c r="G811" s="22" t="n"/>
      <c r="H811" s="22" t="n"/>
      <c r="I811" s="22" t="n"/>
      <c r="J811" s="22" t="n"/>
      <c r="K811" s="22" t="n"/>
      <c r="L811" s="22" t="n"/>
      <c r="M811" s="22" t="n"/>
      <c r="N811" s="22" t="n"/>
      <c r="O811" s="22" t="n"/>
      <c r="P811" s="22" t="n"/>
      <c r="Q811" s="22" t="n"/>
      <c r="R811" s="22" t="n"/>
      <c r="S811" s="22" t="n"/>
    </row>
    <row r="812">
      <c r="E812" s="22" t="n"/>
      <c r="F812" s="22" t="n"/>
      <c r="G812" s="22" t="n"/>
      <c r="H812" s="22" t="n"/>
      <c r="I812" s="22" t="n"/>
      <c r="J812" s="22" t="n"/>
      <c r="K812" s="22" t="n"/>
      <c r="L812" s="22" t="n"/>
      <c r="M812" s="22" t="n"/>
      <c r="N812" s="22" t="n"/>
      <c r="O812" s="22" t="n"/>
      <c r="P812" s="22" t="n"/>
      <c r="Q812" s="22" t="n"/>
      <c r="R812" s="22" t="n"/>
      <c r="S812" s="22" t="n"/>
    </row>
    <row r="813">
      <c r="E813" s="22" t="n"/>
      <c r="F813" s="22" t="n"/>
      <c r="G813" s="22" t="n"/>
      <c r="H813" s="22" t="n"/>
      <c r="I813" s="22" t="n"/>
      <c r="J813" s="22" t="n"/>
      <c r="K813" s="22" t="n"/>
      <c r="L813" s="22" t="n"/>
      <c r="M813" s="22" t="n"/>
      <c r="N813" s="22" t="n"/>
      <c r="O813" s="22" t="n"/>
      <c r="P813" s="22" t="n"/>
      <c r="Q813" s="22" t="n"/>
      <c r="R813" s="22" t="n"/>
      <c r="S813" s="22" t="n"/>
    </row>
    <row r="814">
      <c r="E814" s="22" t="n"/>
      <c r="F814" s="22" t="n"/>
      <c r="G814" s="22" t="n"/>
      <c r="H814" s="22" t="n"/>
      <c r="I814" s="22" t="n"/>
      <c r="J814" s="22" t="n"/>
      <c r="K814" s="22" t="n"/>
      <c r="L814" s="22" t="n"/>
      <c r="M814" s="22" t="n"/>
      <c r="N814" s="22" t="n"/>
      <c r="O814" s="22" t="n"/>
      <c r="P814" s="22" t="n"/>
      <c r="Q814" s="22" t="n"/>
      <c r="R814" s="22" t="n"/>
      <c r="S814" s="22" t="n"/>
    </row>
    <row r="815">
      <c r="E815" s="22" t="n"/>
      <c r="F815" s="22" t="n"/>
      <c r="G815" s="22" t="n"/>
      <c r="H815" s="22" t="n"/>
      <c r="I815" s="22" t="n"/>
      <c r="J815" s="22" t="n"/>
      <c r="K815" s="22" t="n"/>
      <c r="L815" s="22" t="n"/>
      <c r="M815" s="22" t="n"/>
      <c r="N815" s="22" t="n"/>
      <c r="O815" s="22" t="n"/>
      <c r="P815" s="22" t="n"/>
      <c r="Q815" s="22" t="n"/>
      <c r="R815" s="22" t="n"/>
      <c r="S815" s="22" t="n"/>
    </row>
    <row r="816">
      <c r="E816" s="22" t="n"/>
      <c r="F816" s="22" t="n"/>
      <c r="G816" s="22" t="n"/>
      <c r="H816" s="22" t="n"/>
      <c r="I816" s="22" t="n"/>
      <c r="J816" s="22" t="n"/>
      <c r="K816" s="22" t="n"/>
      <c r="L816" s="22" t="n"/>
      <c r="M816" s="22" t="n"/>
      <c r="N816" s="22" t="n"/>
      <c r="O816" s="22" t="n"/>
      <c r="P816" s="22" t="n"/>
      <c r="Q816" s="22" t="n"/>
      <c r="R816" s="22" t="n"/>
      <c r="S816" s="22" t="n"/>
    </row>
    <row r="817">
      <c r="E817" s="22" t="n"/>
      <c r="F817" s="22" t="n"/>
      <c r="G817" s="22" t="n"/>
      <c r="H817" s="22" t="n"/>
      <c r="I817" s="22" t="n"/>
      <c r="J817" s="22" t="n"/>
      <c r="K817" s="22" t="n"/>
      <c r="L817" s="22" t="n"/>
      <c r="M817" s="22" t="n"/>
      <c r="N817" s="22" t="n"/>
      <c r="O817" s="22" t="n"/>
      <c r="P817" s="22" t="n"/>
      <c r="Q817" s="22" t="n"/>
      <c r="R817" s="22" t="n"/>
      <c r="S817" s="22" t="n"/>
    </row>
    <row r="818">
      <c r="E818" s="22" t="n"/>
      <c r="F818" s="22" t="n"/>
      <c r="G818" s="22" t="n"/>
      <c r="H818" s="22" t="n"/>
      <c r="I818" s="22" t="n"/>
      <c r="J818" s="22" t="n"/>
      <c r="K818" s="22" t="n"/>
      <c r="L818" s="22" t="n"/>
      <c r="M818" s="22" t="n"/>
      <c r="N818" s="22" t="n"/>
      <c r="O818" s="22" t="n"/>
      <c r="P818" s="22" t="n"/>
      <c r="Q818" s="22" t="n"/>
      <c r="R818" s="22" t="n"/>
      <c r="S818" s="22" t="n"/>
    </row>
    <row r="819">
      <c r="E819" s="22" t="n"/>
      <c r="F819" s="22" t="n"/>
      <c r="G819" s="22" t="n"/>
      <c r="H819" s="22" t="n"/>
      <c r="I819" s="22" t="n"/>
      <c r="J819" s="22" t="n"/>
      <c r="K819" s="22" t="n"/>
      <c r="L819" s="22" t="n"/>
      <c r="M819" s="22" t="n"/>
      <c r="N819" s="22" t="n"/>
      <c r="O819" s="22" t="n"/>
      <c r="P819" s="22" t="n"/>
      <c r="Q819" s="22" t="n"/>
      <c r="R819" s="22" t="n"/>
      <c r="S819" s="22" t="n"/>
    </row>
    <row r="820">
      <c r="E820" s="22" t="n"/>
      <c r="F820" s="22" t="n"/>
      <c r="G820" s="22" t="n"/>
      <c r="H820" s="22" t="n"/>
      <c r="I820" s="22" t="n"/>
      <c r="J820" s="22" t="n"/>
      <c r="K820" s="22" t="n"/>
      <c r="L820" s="22" t="n"/>
      <c r="M820" s="22" t="n"/>
      <c r="N820" s="22" t="n"/>
      <c r="O820" s="22" t="n"/>
      <c r="P820" s="22" t="n"/>
      <c r="Q820" s="22" t="n"/>
      <c r="R820" s="22" t="n"/>
      <c r="S820" s="22" t="n"/>
    </row>
    <row r="821">
      <c r="E821" s="22" t="n"/>
      <c r="F821" s="22" t="n"/>
      <c r="G821" s="22" t="n"/>
      <c r="H821" s="22" t="n"/>
      <c r="I821" s="22" t="n"/>
      <c r="J821" s="22" t="n"/>
      <c r="K821" s="22" t="n"/>
      <c r="L821" s="22" t="n"/>
      <c r="M821" s="22" t="n"/>
      <c r="N821" s="22" t="n"/>
      <c r="O821" s="22" t="n"/>
      <c r="P821" s="22" t="n"/>
      <c r="Q821" s="22" t="n"/>
      <c r="R821" s="22" t="n"/>
      <c r="S821" s="22" t="n"/>
    </row>
    <row r="822">
      <c r="E822" s="22" t="n"/>
      <c r="F822" s="22" t="n"/>
      <c r="G822" s="22" t="n"/>
      <c r="H822" s="22" t="n"/>
      <c r="I822" s="22" t="n"/>
      <c r="J822" s="22" t="n"/>
      <c r="K822" s="22" t="n"/>
      <c r="L822" s="22" t="n"/>
      <c r="M822" s="22" t="n"/>
      <c r="N822" s="22" t="n"/>
      <c r="O822" s="22" t="n"/>
      <c r="P822" s="22" t="n"/>
      <c r="Q822" s="22" t="n"/>
      <c r="R822" s="22" t="n"/>
      <c r="S822" s="22" t="n"/>
    </row>
    <row r="823">
      <c r="E823" s="22" t="n"/>
      <c r="F823" s="22" t="n"/>
      <c r="G823" s="22" t="n"/>
      <c r="H823" s="22" t="n"/>
      <c r="I823" s="22" t="n"/>
      <c r="J823" s="22" t="n"/>
      <c r="K823" s="22" t="n"/>
      <c r="L823" s="22" t="n"/>
      <c r="M823" s="22" t="n"/>
      <c r="N823" s="22" t="n"/>
      <c r="O823" s="22" t="n"/>
      <c r="P823" s="22" t="n"/>
      <c r="Q823" s="22" t="n"/>
      <c r="R823" s="22" t="n"/>
      <c r="S823" s="22" t="n"/>
    </row>
    <row r="824">
      <c r="E824" s="22" t="n"/>
      <c r="F824" s="22" t="n"/>
      <c r="G824" s="22" t="n"/>
      <c r="H824" s="22" t="n"/>
      <c r="I824" s="22" t="n"/>
      <c r="J824" s="22" t="n"/>
      <c r="K824" s="22" t="n"/>
      <c r="L824" s="22" t="n"/>
      <c r="M824" s="22" t="n"/>
      <c r="N824" s="22" t="n"/>
      <c r="O824" s="22" t="n"/>
      <c r="P824" s="22" t="n"/>
      <c r="Q824" s="22" t="n"/>
      <c r="R824" s="22" t="n"/>
      <c r="S824" s="22" t="n"/>
    </row>
    <row r="825">
      <c r="E825" s="22" t="n"/>
      <c r="F825" s="22" t="n"/>
      <c r="G825" s="22" t="n"/>
      <c r="H825" s="22" t="n"/>
      <c r="I825" s="22" t="n"/>
      <c r="J825" s="22" t="n"/>
      <c r="K825" s="22" t="n"/>
      <c r="L825" s="22" t="n"/>
      <c r="M825" s="22" t="n"/>
      <c r="N825" s="22" t="n"/>
      <c r="O825" s="22" t="n"/>
      <c r="P825" s="22" t="n"/>
      <c r="Q825" s="22" t="n"/>
      <c r="R825" s="22" t="n"/>
      <c r="S825" s="22" t="n"/>
    </row>
    <row r="826">
      <c r="E826" s="22" t="n"/>
      <c r="F826" s="22" t="n"/>
      <c r="G826" s="22" t="n"/>
      <c r="H826" s="22" t="n"/>
      <c r="I826" s="22" t="n"/>
      <c r="J826" s="22" t="n"/>
      <c r="K826" s="22" t="n"/>
      <c r="L826" s="22" t="n"/>
      <c r="M826" s="22" t="n"/>
      <c r="N826" s="22" t="n"/>
      <c r="O826" s="22" t="n"/>
      <c r="P826" s="22" t="n"/>
      <c r="Q826" s="22" t="n"/>
      <c r="R826" s="22" t="n"/>
      <c r="S826" s="22" t="n"/>
    </row>
    <row r="827">
      <c r="E827" s="22" t="n"/>
      <c r="F827" s="22" t="n"/>
      <c r="G827" s="22" t="n"/>
      <c r="H827" s="22" t="n"/>
      <c r="I827" s="22" t="n"/>
      <c r="J827" s="22" t="n"/>
      <c r="K827" s="22" t="n"/>
      <c r="L827" s="22" t="n"/>
      <c r="M827" s="22" t="n"/>
      <c r="N827" s="22" t="n"/>
      <c r="O827" s="22" t="n"/>
      <c r="P827" s="22" t="n"/>
      <c r="Q827" s="22" t="n"/>
      <c r="R827" s="22" t="n"/>
      <c r="S827" s="22" t="n"/>
    </row>
    <row r="828">
      <c r="E828" s="22" t="n"/>
      <c r="F828" s="22" t="n"/>
      <c r="G828" s="22" t="n"/>
      <c r="H828" s="22" t="n"/>
      <c r="I828" s="22" t="n"/>
      <c r="J828" s="22" t="n"/>
      <c r="K828" s="22" t="n"/>
      <c r="L828" s="22" t="n"/>
      <c r="M828" s="22" t="n"/>
      <c r="N828" s="22" t="n"/>
      <c r="O828" s="22" t="n"/>
      <c r="P828" s="22" t="n"/>
      <c r="Q828" s="22" t="n"/>
      <c r="R828" s="22" t="n"/>
      <c r="S828" s="22" t="n"/>
    </row>
    <row r="829">
      <c r="E829" s="22" t="n"/>
      <c r="F829" s="22" t="n"/>
      <c r="G829" s="22" t="n"/>
      <c r="H829" s="22" t="n"/>
      <c r="I829" s="22" t="n"/>
      <c r="J829" s="22" t="n"/>
      <c r="K829" s="22" t="n"/>
      <c r="L829" s="22" t="n"/>
      <c r="M829" s="22" t="n"/>
      <c r="N829" s="22" t="n"/>
      <c r="O829" s="22" t="n"/>
      <c r="P829" s="22" t="n"/>
      <c r="Q829" s="22" t="n"/>
      <c r="R829" s="22" t="n"/>
      <c r="S829" s="22" t="n"/>
    </row>
    <row r="830">
      <c r="E830" s="22" t="n"/>
      <c r="F830" s="22" t="n"/>
      <c r="G830" s="22" t="n"/>
      <c r="H830" s="22" t="n"/>
      <c r="I830" s="22" t="n"/>
      <c r="J830" s="22" t="n"/>
      <c r="K830" s="22" t="n"/>
      <c r="L830" s="22" t="n"/>
      <c r="M830" s="22" t="n"/>
      <c r="N830" s="22" t="n"/>
      <c r="O830" s="22" t="n"/>
      <c r="P830" s="22" t="n"/>
      <c r="Q830" s="22" t="n"/>
      <c r="R830" s="22" t="n"/>
      <c r="S830" s="22" t="n"/>
    </row>
    <row r="831">
      <c r="E831" s="22" t="n"/>
      <c r="F831" s="22" t="n"/>
      <c r="G831" s="22" t="n"/>
      <c r="H831" s="22" t="n"/>
      <c r="I831" s="22" t="n"/>
      <c r="J831" s="22" t="n"/>
      <c r="K831" s="22" t="n"/>
      <c r="L831" s="22" t="n"/>
      <c r="M831" s="22" t="n"/>
      <c r="N831" s="22" t="n"/>
      <c r="O831" s="22" t="n"/>
      <c r="P831" s="22" t="n"/>
      <c r="Q831" s="22" t="n"/>
      <c r="R831" s="22" t="n"/>
      <c r="S831" s="22" t="n"/>
    </row>
    <row r="832">
      <c r="E832" s="22" t="n"/>
      <c r="F832" s="22" t="n"/>
      <c r="G832" s="22" t="n"/>
      <c r="H832" s="22" t="n"/>
      <c r="I832" s="22" t="n"/>
      <c r="J832" s="22" t="n"/>
      <c r="K832" s="22" t="n"/>
      <c r="L832" s="22" t="n"/>
      <c r="M832" s="22" t="n"/>
      <c r="N832" s="22" t="n"/>
      <c r="O832" s="22" t="n"/>
      <c r="P832" s="22" t="n"/>
      <c r="Q832" s="22" t="n"/>
      <c r="R832" s="22" t="n"/>
      <c r="S832" s="22" t="n"/>
    </row>
    <row r="833">
      <c r="E833" s="22" t="n"/>
      <c r="F833" s="22" t="n"/>
      <c r="G833" s="22" t="n"/>
      <c r="H833" s="22" t="n"/>
      <c r="I833" s="22" t="n"/>
      <c r="J833" s="22" t="n"/>
      <c r="K833" s="22" t="n"/>
      <c r="L833" s="22" t="n"/>
      <c r="M833" s="22" t="n"/>
      <c r="N833" s="22" t="n"/>
      <c r="O833" s="22" t="n"/>
      <c r="P833" s="22" t="n"/>
      <c r="Q833" s="22" t="n"/>
      <c r="R833" s="22" t="n"/>
      <c r="S833" s="22" t="n"/>
    </row>
    <row r="834">
      <c r="E834" s="22" t="n"/>
      <c r="F834" s="22" t="n"/>
      <c r="G834" s="22" t="n"/>
      <c r="H834" s="22" t="n"/>
      <c r="I834" s="22" t="n"/>
      <c r="J834" s="22" t="n"/>
      <c r="K834" s="22" t="n"/>
      <c r="L834" s="22" t="n"/>
      <c r="M834" s="22" t="n"/>
      <c r="N834" s="22" t="n"/>
      <c r="O834" s="22" t="n"/>
      <c r="P834" s="22" t="n"/>
      <c r="Q834" s="22" t="n"/>
      <c r="R834" s="22" t="n"/>
      <c r="S834" s="22" t="n"/>
    </row>
    <row r="835">
      <c r="E835" s="22" t="n"/>
      <c r="F835" s="22" t="n"/>
      <c r="G835" s="22" t="n"/>
      <c r="H835" s="22" t="n"/>
      <c r="I835" s="22" t="n"/>
      <c r="J835" s="22" t="n"/>
      <c r="K835" s="22" t="n"/>
      <c r="L835" s="22" t="n"/>
      <c r="M835" s="22" t="n"/>
      <c r="N835" s="22" t="n"/>
      <c r="O835" s="22" t="n"/>
      <c r="P835" s="22" t="n"/>
      <c r="Q835" s="22" t="n"/>
      <c r="R835" s="22" t="n"/>
      <c r="S835" s="22" t="n"/>
    </row>
    <row r="836">
      <c r="E836" s="22" t="n"/>
      <c r="F836" s="22" t="n"/>
      <c r="G836" s="22" t="n"/>
      <c r="H836" s="22" t="n"/>
      <c r="I836" s="22" t="n"/>
      <c r="J836" s="22" t="n"/>
      <c r="K836" s="22" t="n"/>
      <c r="L836" s="22" t="n"/>
      <c r="M836" s="22" t="n"/>
      <c r="N836" s="22" t="n"/>
      <c r="O836" s="22" t="n"/>
      <c r="P836" s="22" t="n"/>
      <c r="Q836" s="22" t="n"/>
      <c r="R836" s="22" t="n"/>
      <c r="S836" s="22" t="n"/>
    </row>
    <row r="837">
      <c r="E837" s="22" t="n"/>
      <c r="F837" s="22" t="n"/>
      <c r="G837" s="22" t="n"/>
      <c r="H837" s="22" t="n"/>
      <c r="I837" s="22" t="n"/>
      <c r="J837" s="22" t="n"/>
      <c r="K837" s="22" t="n"/>
      <c r="L837" s="22" t="n"/>
      <c r="M837" s="22" t="n"/>
      <c r="N837" s="22" t="n"/>
      <c r="O837" s="22" t="n"/>
      <c r="P837" s="22" t="n"/>
      <c r="Q837" s="22" t="n"/>
      <c r="R837" s="22" t="n"/>
      <c r="S837" s="22" t="n"/>
    </row>
    <row r="838">
      <c r="E838" s="22" t="n"/>
      <c r="F838" s="22" t="n"/>
      <c r="G838" s="22" t="n"/>
      <c r="H838" s="22" t="n"/>
      <c r="I838" s="22" t="n"/>
      <c r="J838" s="22" t="n"/>
      <c r="K838" s="22" t="n"/>
      <c r="L838" s="22" t="n"/>
      <c r="M838" s="22" t="n"/>
      <c r="N838" s="22" t="n"/>
      <c r="O838" s="22" t="n"/>
      <c r="P838" s="22" t="n"/>
      <c r="Q838" s="22" t="n"/>
      <c r="R838" s="22" t="n"/>
      <c r="S838" s="22" t="n"/>
    </row>
    <row r="839">
      <c r="E839" s="22" t="n"/>
      <c r="F839" s="22" t="n"/>
      <c r="G839" s="22" t="n"/>
      <c r="H839" s="22" t="n"/>
      <c r="I839" s="22" t="n"/>
      <c r="J839" s="22" t="n"/>
      <c r="K839" s="22" t="n"/>
      <c r="L839" s="22" t="n"/>
      <c r="M839" s="22" t="n"/>
      <c r="N839" s="22" t="n"/>
      <c r="O839" s="22" t="n"/>
      <c r="P839" s="22" t="n"/>
      <c r="Q839" s="22" t="n"/>
      <c r="R839" s="22" t="n"/>
      <c r="S839" s="22" t="n"/>
    </row>
    <row r="840">
      <c r="E840" s="22" t="n"/>
      <c r="F840" s="22" t="n"/>
      <c r="G840" s="22" t="n"/>
      <c r="H840" s="22" t="n"/>
      <c r="I840" s="22" t="n"/>
      <c r="J840" s="22" t="n"/>
      <c r="K840" s="22" t="n"/>
      <c r="L840" s="22" t="n"/>
      <c r="M840" s="22" t="n"/>
      <c r="N840" s="22" t="n"/>
      <c r="O840" s="22" t="n"/>
      <c r="P840" s="22" t="n"/>
      <c r="Q840" s="22" t="n"/>
      <c r="R840" s="22" t="n"/>
      <c r="S840" s="22" t="n"/>
    </row>
    <row r="841">
      <c r="E841" s="22" t="n"/>
      <c r="F841" s="22" t="n"/>
      <c r="G841" s="22" t="n"/>
      <c r="H841" s="22" t="n"/>
      <c r="I841" s="22" t="n"/>
      <c r="J841" s="22" t="n"/>
      <c r="K841" s="22" t="n"/>
      <c r="L841" s="22" t="n"/>
      <c r="M841" s="22" t="n"/>
      <c r="N841" s="22" t="n"/>
      <c r="O841" s="22" t="n"/>
      <c r="P841" s="22" t="n"/>
      <c r="Q841" s="22" t="n"/>
      <c r="R841" s="22" t="n"/>
      <c r="S841" s="22" t="n"/>
    </row>
    <row r="842">
      <c r="E842" s="22" t="n"/>
      <c r="F842" s="22" t="n"/>
      <c r="G842" s="22" t="n"/>
      <c r="H842" s="22" t="n"/>
      <c r="I842" s="22" t="n"/>
      <c r="J842" s="22" t="n"/>
      <c r="K842" s="22" t="n"/>
      <c r="L842" s="22" t="n"/>
      <c r="M842" s="22" t="n"/>
      <c r="N842" s="22" t="n"/>
      <c r="O842" s="22" t="n"/>
      <c r="P842" s="22" t="n"/>
      <c r="Q842" s="22" t="n"/>
      <c r="R842" s="22" t="n"/>
      <c r="S842" s="22" t="n"/>
    </row>
    <row r="843">
      <c r="E843" s="22" t="n"/>
      <c r="F843" s="22" t="n"/>
      <c r="G843" s="22" t="n"/>
      <c r="H843" s="22" t="n"/>
      <c r="I843" s="22" t="n"/>
      <c r="J843" s="22" t="n"/>
      <c r="K843" s="22" t="n"/>
      <c r="L843" s="22" t="n"/>
      <c r="M843" s="22" t="n"/>
      <c r="N843" s="22" t="n"/>
      <c r="O843" s="22" t="n"/>
      <c r="P843" s="22" t="n"/>
      <c r="Q843" s="22" t="n"/>
      <c r="R843" s="22" t="n"/>
      <c r="S843" s="22" t="n"/>
    </row>
    <row r="844">
      <c r="E844" s="22" t="n"/>
      <c r="F844" s="22" t="n"/>
      <c r="G844" s="22" t="n"/>
      <c r="H844" s="22" t="n"/>
      <c r="I844" s="22" t="n"/>
      <c r="J844" s="22" t="n"/>
      <c r="K844" s="22" t="n"/>
      <c r="L844" s="22" t="n"/>
      <c r="M844" s="22" t="n"/>
      <c r="N844" s="22" t="n"/>
      <c r="O844" s="22" t="n"/>
      <c r="P844" s="22" t="n"/>
      <c r="Q844" s="22" t="n"/>
      <c r="R844" s="22" t="n"/>
      <c r="S844" s="22" t="n"/>
    </row>
    <row r="845">
      <c r="E845" s="22" t="n"/>
      <c r="F845" s="22" t="n"/>
      <c r="G845" s="22" t="n"/>
      <c r="H845" s="22" t="n"/>
      <c r="I845" s="22" t="n"/>
      <c r="J845" s="22" t="n"/>
      <c r="K845" s="22" t="n"/>
      <c r="L845" s="22" t="n"/>
      <c r="M845" s="22" t="n"/>
      <c r="N845" s="22" t="n"/>
      <c r="O845" s="22" t="n"/>
      <c r="P845" s="22" t="n"/>
      <c r="Q845" s="22" t="n"/>
      <c r="R845" s="22" t="n"/>
      <c r="S845" s="22" t="n"/>
    </row>
    <row r="846">
      <c r="E846" s="22" t="n"/>
      <c r="F846" s="22" t="n"/>
      <c r="G846" s="22" t="n"/>
      <c r="H846" s="22" t="n"/>
      <c r="I846" s="22" t="n"/>
      <c r="J846" s="22" t="n"/>
      <c r="K846" s="22" t="n"/>
      <c r="L846" s="22" t="n"/>
      <c r="M846" s="22" t="n"/>
      <c r="N846" s="22" t="n"/>
      <c r="O846" s="22" t="n"/>
      <c r="P846" s="22" t="n"/>
      <c r="Q846" s="22" t="n"/>
      <c r="R846" s="22" t="n"/>
      <c r="S846" s="22" t="n"/>
    </row>
    <row r="847">
      <c r="E847" s="22" t="n"/>
      <c r="F847" s="22" t="n"/>
      <c r="G847" s="22" t="n"/>
      <c r="H847" s="22" t="n"/>
      <c r="I847" s="22" t="n"/>
      <c r="J847" s="22" t="n"/>
      <c r="K847" s="22" t="n"/>
      <c r="L847" s="22" t="n"/>
      <c r="M847" s="22" t="n"/>
      <c r="N847" s="22" t="n"/>
      <c r="O847" s="22" t="n"/>
      <c r="P847" s="22" t="n"/>
      <c r="Q847" s="22" t="n"/>
      <c r="R847" s="22" t="n"/>
      <c r="S847" s="22" t="n"/>
    </row>
    <row r="848">
      <c r="E848" s="22" t="n"/>
      <c r="F848" s="22" t="n"/>
      <c r="G848" s="22" t="n"/>
      <c r="H848" s="22" t="n"/>
      <c r="I848" s="22" t="n"/>
      <c r="J848" s="22" t="n"/>
      <c r="K848" s="22" t="n"/>
      <c r="L848" s="22" t="n"/>
      <c r="M848" s="22" t="n"/>
      <c r="N848" s="22" t="n"/>
      <c r="O848" s="22" t="n"/>
      <c r="P848" s="22" t="n"/>
      <c r="Q848" s="22" t="n"/>
      <c r="R848" s="22" t="n"/>
      <c r="S848" s="22" t="n"/>
    </row>
    <row r="849">
      <c r="E849" s="22" t="n"/>
      <c r="F849" s="22" t="n"/>
      <c r="G849" s="22" t="n"/>
      <c r="H849" s="22" t="n"/>
      <c r="I849" s="22" t="n"/>
      <c r="J849" s="22" t="n"/>
      <c r="K849" s="22" t="n"/>
      <c r="L849" s="22" t="n"/>
      <c r="M849" s="22" t="n"/>
      <c r="N849" s="22" t="n"/>
      <c r="O849" s="22" t="n"/>
      <c r="P849" s="22" t="n"/>
      <c r="Q849" s="22" t="n"/>
      <c r="R849" s="22" t="n"/>
      <c r="S849" s="22" t="n"/>
    </row>
    <row r="850">
      <c r="E850" s="22" t="n"/>
      <c r="F850" s="22" t="n"/>
      <c r="G850" s="22" t="n"/>
      <c r="H850" s="22" t="n"/>
      <c r="I850" s="22" t="n"/>
      <c r="J850" s="22" t="n"/>
      <c r="K850" s="22" t="n"/>
      <c r="L850" s="22" t="n"/>
      <c r="M850" s="22" t="n"/>
      <c r="N850" s="22" t="n"/>
      <c r="O850" s="22" t="n"/>
      <c r="P850" s="22" t="n"/>
      <c r="Q850" s="22" t="n"/>
      <c r="R850" s="22" t="n"/>
      <c r="S850" s="22" t="n"/>
    </row>
    <row r="851">
      <c r="E851" s="22" t="n"/>
      <c r="F851" s="22" t="n"/>
      <c r="G851" s="22" t="n"/>
      <c r="H851" s="22" t="n"/>
      <c r="I851" s="22" t="n"/>
      <c r="J851" s="22" t="n"/>
      <c r="K851" s="22" t="n"/>
      <c r="L851" s="22" t="n"/>
      <c r="M851" s="22" t="n"/>
      <c r="N851" s="22" t="n"/>
      <c r="O851" s="22" t="n"/>
      <c r="P851" s="22" t="n"/>
      <c r="Q851" s="22" t="n"/>
      <c r="R851" s="22" t="n"/>
      <c r="S851" s="22" t="n"/>
    </row>
    <row r="852">
      <c r="E852" s="22" t="n"/>
      <c r="F852" s="22" t="n"/>
      <c r="G852" s="22" t="n"/>
      <c r="H852" s="22" t="n"/>
      <c r="I852" s="22" t="n"/>
      <c r="J852" s="22" t="n"/>
      <c r="K852" s="22" t="n"/>
      <c r="L852" s="22" t="n"/>
      <c r="M852" s="22" t="n"/>
      <c r="N852" s="22" t="n"/>
      <c r="O852" s="22" t="n"/>
      <c r="P852" s="22" t="n"/>
      <c r="Q852" s="22" t="n"/>
      <c r="R852" s="22" t="n"/>
      <c r="S852" s="22" t="n"/>
    </row>
    <row r="853">
      <c r="E853" s="22" t="n"/>
      <c r="F853" s="22" t="n"/>
      <c r="G853" s="22" t="n"/>
      <c r="H853" s="22" t="n"/>
      <c r="I853" s="22" t="n"/>
      <c r="J853" s="22" t="n"/>
      <c r="K853" s="22" t="n"/>
      <c r="L853" s="22" t="n"/>
      <c r="M853" s="22" t="n"/>
      <c r="N853" s="22" t="n"/>
      <c r="O853" s="22" t="n"/>
      <c r="P853" s="22" t="n"/>
      <c r="Q853" s="22" t="n"/>
      <c r="R853" s="22" t="n"/>
      <c r="S853" s="22" t="n"/>
    </row>
    <row r="854">
      <c r="E854" s="22" t="n"/>
      <c r="F854" s="22" t="n"/>
      <c r="G854" s="22" t="n"/>
      <c r="H854" s="22" t="n"/>
      <c r="I854" s="22" t="n"/>
      <c r="J854" s="22" t="n"/>
      <c r="K854" s="22" t="n"/>
      <c r="L854" s="22" t="n"/>
      <c r="M854" s="22" t="n"/>
      <c r="N854" s="22" t="n"/>
      <c r="O854" s="22" t="n"/>
      <c r="P854" s="22" t="n"/>
      <c r="Q854" s="22" t="n"/>
      <c r="R854" s="22" t="n"/>
      <c r="S854" s="22" t="n"/>
    </row>
    <row r="855">
      <c r="E855" s="22" t="n"/>
      <c r="F855" s="22" t="n"/>
      <c r="G855" s="22" t="n"/>
      <c r="H855" s="22" t="n"/>
      <c r="I855" s="22" t="n"/>
      <c r="J855" s="22" t="n"/>
      <c r="K855" s="22" t="n"/>
      <c r="L855" s="22" t="n"/>
      <c r="M855" s="22" t="n"/>
      <c r="N855" s="22" t="n"/>
      <c r="O855" s="22" t="n"/>
      <c r="P855" s="22" t="n"/>
      <c r="Q855" s="22" t="n"/>
      <c r="R855" s="22" t="n"/>
      <c r="S855" s="22" t="n"/>
    </row>
    <row r="856">
      <c r="E856" s="22" t="n"/>
      <c r="F856" s="22" t="n"/>
      <c r="G856" s="22" t="n"/>
      <c r="H856" s="22" t="n"/>
      <c r="I856" s="22" t="n"/>
      <c r="J856" s="22" t="n"/>
      <c r="K856" s="22" t="n"/>
      <c r="L856" s="22" t="n"/>
      <c r="M856" s="22" t="n"/>
      <c r="N856" s="22" t="n"/>
      <c r="O856" s="22" t="n"/>
      <c r="P856" s="22" t="n"/>
      <c r="Q856" s="22" t="n"/>
      <c r="R856" s="22" t="n"/>
      <c r="S856" s="22" t="n"/>
    </row>
    <row r="857">
      <c r="E857" s="22" t="n"/>
      <c r="F857" s="22" t="n"/>
      <c r="G857" s="22" t="n"/>
      <c r="H857" s="22" t="n"/>
      <c r="I857" s="22" t="n"/>
      <c r="J857" s="22" t="n"/>
      <c r="K857" s="22" t="n"/>
      <c r="L857" s="22" t="n"/>
      <c r="M857" s="22" t="n"/>
      <c r="N857" s="22" t="n"/>
      <c r="O857" s="22" t="n"/>
      <c r="P857" s="22" t="n"/>
      <c r="Q857" s="22" t="n"/>
      <c r="R857" s="22" t="n"/>
      <c r="S857" s="22" t="n"/>
    </row>
    <row r="858">
      <c r="E858" s="22" t="n"/>
      <c r="F858" s="22" t="n"/>
      <c r="G858" s="22" t="n"/>
      <c r="H858" s="22" t="n"/>
      <c r="I858" s="22" t="n"/>
      <c r="J858" s="22" t="n"/>
      <c r="K858" s="22" t="n"/>
      <c r="L858" s="22" t="n"/>
      <c r="M858" s="22" t="n"/>
      <c r="N858" s="22" t="n"/>
      <c r="O858" s="22" t="n"/>
      <c r="P858" s="22" t="n"/>
      <c r="Q858" s="22" t="n"/>
      <c r="R858" s="22" t="n"/>
      <c r="S858" s="22" t="n"/>
    </row>
    <row r="859">
      <c r="E859" s="22" t="n"/>
      <c r="F859" s="22" t="n"/>
      <c r="G859" s="22" t="n"/>
      <c r="H859" s="22" t="n"/>
      <c r="I859" s="22" t="n"/>
      <c r="J859" s="22" t="n"/>
      <c r="K859" s="22" t="n"/>
      <c r="L859" s="22" t="n"/>
      <c r="M859" s="22" t="n"/>
      <c r="N859" s="22" t="n"/>
      <c r="O859" s="22" t="n"/>
      <c r="P859" s="22" t="n"/>
      <c r="Q859" s="22" t="n"/>
      <c r="R859" s="22" t="n"/>
      <c r="S859" s="22" t="n"/>
    </row>
    <row r="860">
      <c r="E860" s="22" t="n"/>
      <c r="F860" s="22" t="n"/>
      <c r="G860" s="22" t="n"/>
      <c r="H860" s="22" t="n"/>
      <c r="I860" s="22" t="n"/>
      <c r="J860" s="22" t="n"/>
      <c r="K860" s="22" t="n"/>
      <c r="L860" s="22" t="n"/>
      <c r="M860" s="22" t="n"/>
      <c r="N860" s="22" t="n"/>
      <c r="O860" s="22" t="n"/>
      <c r="P860" s="22" t="n"/>
      <c r="Q860" s="22" t="n"/>
      <c r="R860" s="22" t="n"/>
      <c r="S860" s="22" t="n"/>
    </row>
    <row r="861">
      <c r="E861" s="22" t="n"/>
      <c r="F861" s="22" t="n"/>
      <c r="G861" s="22" t="n"/>
      <c r="H861" s="22" t="n"/>
      <c r="I861" s="22" t="n"/>
      <c r="J861" s="22" t="n"/>
      <c r="K861" s="22" t="n"/>
      <c r="L861" s="22" t="n"/>
      <c r="M861" s="22" t="n"/>
      <c r="N861" s="22" t="n"/>
      <c r="O861" s="22" t="n"/>
      <c r="P861" s="22" t="n"/>
      <c r="Q861" s="22" t="n"/>
      <c r="R861" s="22" t="n"/>
      <c r="S861" s="22" t="n"/>
    </row>
    <row r="862">
      <c r="E862" s="22" t="n"/>
      <c r="F862" s="22" t="n"/>
      <c r="G862" s="22" t="n"/>
      <c r="H862" s="22" t="n"/>
      <c r="I862" s="22" t="n"/>
      <c r="J862" s="22" t="n"/>
      <c r="K862" s="22" t="n"/>
      <c r="L862" s="22" t="n"/>
      <c r="M862" s="22" t="n"/>
      <c r="N862" s="22" t="n"/>
      <c r="O862" s="22" t="n"/>
      <c r="P862" s="22" t="n"/>
      <c r="Q862" s="22" t="n"/>
      <c r="R862" s="22" t="n"/>
      <c r="S862" s="22" t="n"/>
    </row>
    <row r="863">
      <c r="E863" s="22" t="n"/>
      <c r="F863" s="22" t="n"/>
      <c r="G863" s="22" t="n"/>
      <c r="H863" s="22" t="n"/>
      <c r="I863" s="22" t="n"/>
      <c r="J863" s="22" t="n"/>
      <c r="K863" s="22" t="n"/>
      <c r="L863" s="22" t="n"/>
      <c r="M863" s="22" t="n"/>
      <c r="N863" s="22" t="n"/>
      <c r="O863" s="22" t="n"/>
      <c r="P863" s="22" t="n"/>
      <c r="Q863" s="22" t="n"/>
      <c r="R863" s="22" t="n"/>
      <c r="S863" s="22" t="n"/>
    </row>
    <row r="864">
      <c r="E864" s="22" t="n"/>
      <c r="F864" s="22" t="n"/>
      <c r="G864" s="22" t="n"/>
      <c r="H864" s="22" t="n"/>
      <c r="I864" s="22" t="n"/>
      <c r="J864" s="22" t="n"/>
      <c r="K864" s="22" t="n"/>
      <c r="L864" s="22" t="n"/>
      <c r="M864" s="22" t="n"/>
      <c r="N864" s="22" t="n"/>
      <c r="O864" s="22" t="n"/>
      <c r="P864" s="22" t="n"/>
      <c r="Q864" s="22" t="n"/>
      <c r="R864" s="22" t="n"/>
      <c r="S864" s="22" t="n"/>
    </row>
    <row r="865">
      <c r="E865" s="22" t="n"/>
      <c r="F865" s="22" t="n"/>
      <c r="G865" s="22" t="n"/>
      <c r="H865" s="22" t="n"/>
      <c r="I865" s="22" t="n"/>
      <c r="J865" s="22" t="n"/>
      <c r="K865" s="22" t="n"/>
      <c r="L865" s="22" t="n"/>
      <c r="M865" s="22" t="n"/>
      <c r="N865" s="22" t="n"/>
      <c r="O865" s="22" t="n"/>
      <c r="P865" s="22" t="n"/>
      <c r="Q865" s="22" t="n"/>
      <c r="R865" s="22" t="n"/>
      <c r="S865" s="22" t="n"/>
    </row>
    <row r="866">
      <c r="E866" s="22" t="n"/>
      <c r="F866" s="22" t="n"/>
      <c r="G866" s="22" t="n"/>
      <c r="H866" s="22" t="n"/>
      <c r="I866" s="22" t="n"/>
      <c r="J866" s="22" t="n"/>
      <c r="K866" s="22" t="n"/>
      <c r="L866" s="22" t="n"/>
      <c r="M866" s="22" t="n"/>
      <c r="N866" s="22" t="n"/>
      <c r="O866" s="22" t="n"/>
      <c r="P866" s="22" t="n"/>
      <c r="Q866" s="22" t="n"/>
      <c r="R866" s="22" t="n"/>
      <c r="S866" s="22" t="n"/>
    </row>
    <row r="867">
      <c r="E867" s="22" t="n"/>
      <c r="F867" s="22" t="n"/>
      <c r="G867" s="22" t="n"/>
      <c r="H867" s="22" t="n"/>
      <c r="I867" s="22" t="n"/>
      <c r="J867" s="22" t="n"/>
      <c r="K867" s="22" t="n"/>
      <c r="L867" s="22" t="n"/>
      <c r="M867" s="22" t="n"/>
      <c r="N867" s="22" t="n"/>
      <c r="O867" s="22" t="n"/>
      <c r="P867" s="22" t="n"/>
      <c r="Q867" s="22" t="n"/>
      <c r="R867" s="22" t="n"/>
      <c r="S867" s="22" t="n"/>
    </row>
    <row r="868">
      <c r="E868" s="22" t="n"/>
      <c r="F868" s="22" t="n"/>
      <c r="G868" s="22" t="n"/>
      <c r="H868" s="22" t="n"/>
      <c r="I868" s="22" t="n"/>
      <c r="J868" s="22" t="n"/>
      <c r="K868" s="22" t="n"/>
      <c r="L868" s="22" t="n"/>
      <c r="M868" s="22" t="n"/>
      <c r="N868" s="22" t="n"/>
      <c r="O868" s="22" t="n"/>
      <c r="P868" s="22" t="n"/>
      <c r="Q868" s="22" t="n"/>
      <c r="R868" s="22" t="n"/>
      <c r="S868" s="22" t="n"/>
    </row>
    <row r="869">
      <c r="E869" s="22" t="n"/>
      <c r="F869" s="22" t="n"/>
      <c r="G869" s="22" t="n"/>
      <c r="H869" s="22" t="n"/>
      <c r="I869" s="22" t="n"/>
      <c r="J869" s="22" t="n"/>
      <c r="K869" s="22" t="n"/>
      <c r="L869" s="22" t="n"/>
      <c r="M869" s="22" t="n"/>
      <c r="N869" s="22" t="n"/>
      <c r="O869" s="22" t="n"/>
      <c r="P869" s="22" t="n"/>
      <c r="Q869" s="22" t="n"/>
      <c r="R869" s="22" t="n"/>
      <c r="S869" s="22" t="n"/>
    </row>
    <row r="870">
      <c r="E870" s="22" t="n"/>
      <c r="F870" s="22" t="n"/>
      <c r="G870" s="22" t="n"/>
      <c r="H870" s="22" t="n"/>
      <c r="I870" s="22" t="n"/>
      <c r="J870" s="22" t="n"/>
      <c r="K870" s="22" t="n"/>
      <c r="L870" s="22" t="n"/>
      <c r="M870" s="22" t="n"/>
      <c r="N870" s="22" t="n"/>
      <c r="O870" s="22" t="n"/>
      <c r="P870" s="22" t="n"/>
      <c r="Q870" s="22" t="n"/>
      <c r="R870" s="22" t="n"/>
      <c r="S870" s="22" t="n"/>
    </row>
    <row r="871">
      <c r="E871" s="22" t="n"/>
      <c r="F871" s="22" t="n"/>
      <c r="G871" s="22" t="n"/>
      <c r="H871" s="22" t="n"/>
      <c r="I871" s="22" t="n"/>
      <c r="J871" s="22" t="n"/>
      <c r="K871" s="22" t="n"/>
      <c r="L871" s="22" t="n"/>
      <c r="M871" s="22" t="n"/>
      <c r="N871" s="22" t="n"/>
      <c r="O871" s="22" t="n"/>
      <c r="P871" s="22" t="n"/>
      <c r="Q871" s="22" t="n"/>
      <c r="R871" s="22" t="n"/>
      <c r="S871" s="22" t="n"/>
    </row>
    <row r="872">
      <c r="E872" s="22" t="n"/>
      <c r="F872" s="22" t="n"/>
      <c r="G872" s="22" t="n"/>
      <c r="H872" s="22" t="n"/>
      <c r="I872" s="22" t="n"/>
      <c r="J872" s="22" t="n"/>
      <c r="K872" s="22" t="n"/>
      <c r="L872" s="22" t="n"/>
      <c r="M872" s="22" t="n"/>
      <c r="N872" s="22" t="n"/>
      <c r="O872" s="22" t="n"/>
      <c r="P872" s="22" t="n"/>
      <c r="Q872" s="22" t="n"/>
      <c r="R872" s="22" t="n"/>
      <c r="S872" s="22" t="n"/>
    </row>
    <row r="873">
      <c r="E873" s="22" t="n"/>
      <c r="F873" s="22" t="n"/>
      <c r="G873" s="22" t="n"/>
      <c r="H873" s="22" t="n"/>
      <c r="I873" s="22" t="n"/>
      <c r="J873" s="22" t="n"/>
      <c r="K873" s="22" t="n"/>
      <c r="L873" s="22" t="n"/>
      <c r="M873" s="22" t="n"/>
      <c r="N873" s="22" t="n"/>
      <c r="O873" s="22" t="n"/>
      <c r="P873" s="22" t="n"/>
      <c r="Q873" s="22" t="n"/>
      <c r="R873" s="22" t="n"/>
      <c r="S873" s="22" t="n"/>
    </row>
    <row r="874">
      <c r="E874" s="22" t="n"/>
      <c r="F874" s="22" t="n"/>
      <c r="G874" s="22" t="n"/>
      <c r="H874" s="22" t="n"/>
      <c r="I874" s="22" t="n"/>
      <c r="J874" s="22" t="n"/>
      <c r="K874" s="22" t="n"/>
      <c r="L874" s="22" t="n"/>
      <c r="M874" s="22" t="n"/>
      <c r="N874" s="22" t="n"/>
      <c r="O874" s="22" t="n"/>
      <c r="P874" s="22" t="n"/>
      <c r="Q874" s="22" t="n"/>
      <c r="R874" s="22" t="n"/>
      <c r="S874" s="22" t="n"/>
    </row>
    <row r="875">
      <c r="E875" s="22" t="n"/>
      <c r="F875" s="22" t="n"/>
      <c r="G875" s="22" t="n"/>
      <c r="H875" s="22" t="n"/>
      <c r="I875" s="22" t="n"/>
      <c r="J875" s="22" t="n"/>
      <c r="K875" s="22" t="n"/>
      <c r="L875" s="22" t="n"/>
      <c r="M875" s="22" t="n"/>
      <c r="N875" s="22" t="n"/>
      <c r="O875" s="22" t="n"/>
      <c r="P875" s="22" t="n"/>
      <c r="Q875" s="22" t="n"/>
      <c r="R875" s="22" t="n"/>
      <c r="S875" s="22" t="n"/>
    </row>
    <row r="876">
      <c r="E876" s="22" t="n"/>
      <c r="F876" s="22" t="n"/>
      <c r="G876" s="22" t="n"/>
      <c r="H876" s="22" t="n"/>
      <c r="I876" s="22" t="n"/>
      <c r="J876" s="22" t="n"/>
      <c r="K876" s="22" t="n"/>
      <c r="L876" s="22" t="n"/>
      <c r="M876" s="22" t="n"/>
      <c r="N876" s="22" t="n"/>
      <c r="O876" s="22" t="n"/>
      <c r="P876" s="22" t="n"/>
      <c r="Q876" s="22" t="n"/>
      <c r="R876" s="22" t="n"/>
      <c r="S876" s="22" t="n"/>
    </row>
    <row r="877">
      <c r="E877" s="22" t="n"/>
      <c r="F877" s="22" t="n"/>
      <c r="G877" s="22" t="n"/>
      <c r="H877" s="22" t="n"/>
      <c r="I877" s="22" t="n"/>
      <c r="J877" s="22" t="n"/>
      <c r="K877" s="22" t="n"/>
      <c r="L877" s="22" t="n"/>
      <c r="M877" s="22" t="n"/>
      <c r="N877" s="22" t="n"/>
      <c r="O877" s="22" t="n"/>
      <c r="P877" s="22" t="n"/>
      <c r="Q877" s="22" t="n"/>
      <c r="R877" s="22" t="n"/>
      <c r="S877" s="22" t="n"/>
    </row>
    <row r="878">
      <c r="E878" s="22" t="n"/>
      <c r="F878" s="22" t="n"/>
      <c r="G878" s="22" t="n"/>
      <c r="H878" s="22" t="n"/>
      <c r="I878" s="22" t="n"/>
      <c r="J878" s="22" t="n"/>
      <c r="K878" s="22" t="n"/>
      <c r="L878" s="22" t="n"/>
      <c r="M878" s="22" t="n"/>
      <c r="N878" s="22" t="n"/>
      <c r="O878" s="22" t="n"/>
      <c r="P878" s="22" t="n"/>
      <c r="Q878" s="22" t="n"/>
      <c r="R878" s="22" t="n"/>
      <c r="S878" s="22" t="n"/>
    </row>
    <row r="879">
      <c r="E879" s="22" t="n"/>
      <c r="F879" s="22" t="n"/>
      <c r="G879" s="22" t="n"/>
      <c r="H879" s="22" t="n"/>
      <c r="I879" s="22" t="n"/>
      <c r="J879" s="22" t="n"/>
      <c r="K879" s="22" t="n"/>
      <c r="L879" s="22" t="n"/>
      <c r="M879" s="22" t="n"/>
      <c r="N879" s="22" t="n"/>
      <c r="O879" s="22" t="n"/>
      <c r="P879" s="22" t="n"/>
      <c r="Q879" s="22" t="n"/>
      <c r="R879" s="22" t="n"/>
      <c r="S879" s="22" t="n"/>
    </row>
    <row r="880">
      <c r="E880" s="22" t="n"/>
      <c r="F880" s="22" t="n"/>
      <c r="G880" s="22" t="n"/>
      <c r="H880" s="22" t="n"/>
      <c r="I880" s="22" t="n"/>
      <c r="J880" s="22" t="n"/>
      <c r="K880" s="22" t="n"/>
      <c r="L880" s="22" t="n"/>
      <c r="M880" s="22" t="n"/>
      <c r="N880" s="22" t="n"/>
      <c r="O880" s="22" t="n"/>
      <c r="P880" s="22" t="n"/>
      <c r="Q880" s="22" t="n"/>
      <c r="R880" s="22" t="n"/>
      <c r="S880" s="22" t="n"/>
    </row>
    <row r="881">
      <c r="E881" s="22" t="n"/>
      <c r="F881" s="22" t="n"/>
      <c r="G881" s="22" t="n"/>
      <c r="H881" s="22" t="n"/>
      <c r="I881" s="22" t="n"/>
      <c r="J881" s="22" t="n"/>
      <c r="K881" s="22" t="n"/>
      <c r="L881" s="22" t="n"/>
      <c r="M881" s="22" t="n"/>
      <c r="N881" s="22" t="n"/>
      <c r="O881" s="22" t="n"/>
      <c r="P881" s="22" t="n"/>
      <c r="Q881" s="22" t="n"/>
      <c r="R881" s="22" t="n"/>
      <c r="S881" s="22" t="n"/>
    </row>
    <row r="882">
      <c r="E882" s="22" t="n"/>
      <c r="F882" s="22" t="n"/>
      <c r="G882" s="22" t="n"/>
      <c r="H882" s="22" t="n"/>
      <c r="I882" s="22" t="n"/>
      <c r="J882" s="22" t="n"/>
      <c r="K882" s="22" t="n"/>
      <c r="L882" s="22" t="n"/>
      <c r="M882" s="22" t="n"/>
      <c r="N882" s="22" t="n"/>
      <c r="O882" s="22" t="n"/>
      <c r="P882" s="22" t="n"/>
      <c r="Q882" s="22" t="n"/>
      <c r="R882" s="22" t="n"/>
      <c r="S882" s="22" t="n"/>
    </row>
    <row r="883">
      <c r="E883" s="22" t="n"/>
      <c r="F883" s="22" t="n"/>
      <c r="G883" s="22" t="n"/>
      <c r="H883" s="22" t="n"/>
      <c r="I883" s="22" t="n"/>
      <c r="J883" s="22" t="n"/>
      <c r="K883" s="22" t="n"/>
      <c r="L883" s="22" t="n"/>
      <c r="M883" s="22" t="n"/>
      <c r="N883" s="22" t="n"/>
      <c r="O883" s="22" t="n"/>
      <c r="P883" s="22" t="n"/>
      <c r="Q883" s="22" t="n"/>
      <c r="R883" s="22" t="n"/>
      <c r="S883" s="22" t="n"/>
    </row>
    <row r="884">
      <c r="E884" s="22" t="n"/>
      <c r="F884" s="22" t="n"/>
      <c r="G884" s="22" t="n"/>
      <c r="H884" s="22" t="n"/>
      <c r="I884" s="22" t="n"/>
      <c r="J884" s="22" t="n"/>
      <c r="K884" s="22" t="n"/>
      <c r="L884" s="22" t="n"/>
      <c r="M884" s="22" t="n"/>
      <c r="N884" s="22" t="n"/>
      <c r="O884" s="22" t="n"/>
      <c r="P884" s="22" t="n"/>
      <c r="Q884" s="22" t="n"/>
      <c r="R884" s="22" t="n"/>
      <c r="S884" s="22" t="n"/>
    </row>
    <row r="885">
      <c r="E885" s="22" t="n"/>
      <c r="F885" s="22" t="n"/>
      <c r="G885" s="22" t="n"/>
      <c r="H885" s="22" t="n"/>
      <c r="I885" s="22" t="n"/>
      <c r="J885" s="22" t="n"/>
      <c r="K885" s="22" t="n"/>
      <c r="L885" s="22" t="n"/>
      <c r="M885" s="22" t="n"/>
      <c r="N885" s="22" t="n"/>
      <c r="O885" s="22" t="n"/>
      <c r="P885" s="22" t="n"/>
      <c r="Q885" s="22" t="n"/>
      <c r="R885" s="22" t="n"/>
      <c r="S885" s="22" t="n"/>
    </row>
    <row r="886">
      <c r="E886" s="22" t="n"/>
      <c r="F886" s="22" t="n"/>
      <c r="G886" s="22" t="n"/>
      <c r="H886" s="22" t="n"/>
      <c r="I886" s="22" t="n"/>
      <c r="J886" s="22" t="n"/>
      <c r="K886" s="22" t="n"/>
      <c r="L886" s="22" t="n"/>
      <c r="M886" s="22" t="n"/>
      <c r="N886" s="22" t="n"/>
      <c r="O886" s="22" t="n"/>
      <c r="P886" s="22" t="n"/>
      <c r="Q886" s="22" t="n"/>
      <c r="R886" s="22" t="n"/>
      <c r="S886" s="22" t="n"/>
    </row>
    <row r="887">
      <c r="E887" s="22" t="n"/>
      <c r="F887" s="22" t="n"/>
      <c r="G887" s="22" t="n"/>
      <c r="H887" s="22" t="n"/>
      <c r="I887" s="22" t="n"/>
      <c r="J887" s="22" t="n"/>
      <c r="K887" s="22" t="n"/>
      <c r="L887" s="22" t="n"/>
      <c r="M887" s="22" t="n"/>
      <c r="N887" s="22" t="n"/>
      <c r="O887" s="22" t="n"/>
      <c r="P887" s="22" t="n"/>
      <c r="Q887" s="22" t="n"/>
      <c r="R887" s="22" t="n"/>
      <c r="S887" s="22" t="n"/>
    </row>
    <row r="888">
      <c r="E888" s="22" t="n"/>
      <c r="F888" s="22" t="n"/>
      <c r="G888" s="22" t="n"/>
      <c r="H888" s="22" t="n"/>
      <c r="I888" s="22" t="n"/>
      <c r="J888" s="22" t="n"/>
      <c r="K888" s="22" t="n"/>
      <c r="L888" s="22" t="n"/>
      <c r="M888" s="22" t="n"/>
      <c r="N888" s="22" t="n"/>
      <c r="O888" s="22" t="n"/>
      <c r="P888" s="22" t="n"/>
      <c r="Q888" s="22" t="n"/>
      <c r="R888" s="22" t="n"/>
      <c r="S888" s="22" t="n"/>
    </row>
    <row r="889">
      <c r="E889" s="22" t="n"/>
      <c r="F889" s="22" t="n"/>
      <c r="G889" s="22" t="n"/>
      <c r="H889" s="22" t="n"/>
      <c r="I889" s="22" t="n"/>
      <c r="J889" s="22" t="n"/>
      <c r="K889" s="22" t="n"/>
      <c r="L889" s="22" t="n"/>
      <c r="M889" s="22" t="n"/>
      <c r="N889" s="22" t="n"/>
      <c r="O889" s="22" t="n"/>
      <c r="P889" s="22" t="n"/>
      <c r="Q889" s="22" t="n"/>
      <c r="R889" s="22" t="n"/>
      <c r="S889" s="22" t="n"/>
    </row>
    <row r="890">
      <c r="E890" s="22" t="n"/>
      <c r="F890" s="22" t="n"/>
      <c r="G890" s="22" t="n"/>
      <c r="H890" s="22" t="n"/>
      <c r="I890" s="22" t="n"/>
      <c r="J890" s="22" t="n"/>
      <c r="K890" s="22" t="n"/>
      <c r="L890" s="22" t="n"/>
      <c r="M890" s="22" t="n"/>
      <c r="N890" s="22" t="n"/>
      <c r="O890" s="22" t="n"/>
      <c r="P890" s="22" t="n"/>
      <c r="Q890" s="22" t="n"/>
      <c r="R890" s="22" t="n"/>
      <c r="S890" s="22" t="n"/>
    </row>
    <row r="891">
      <c r="E891" s="22" t="n"/>
      <c r="F891" s="22" t="n"/>
      <c r="G891" s="22" t="n"/>
      <c r="H891" s="22" t="n"/>
      <c r="I891" s="22" t="n"/>
      <c r="J891" s="22" t="n"/>
      <c r="K891" s="22" t="n"/>
      <c r="L891" s="22" t="n"/>
      <c r="M891" s="22" t="n"/>
      <c r="N891" s="22" t="n"/>
      <c r="O891" s="22" t="n"/>
      <c r="P891" s="22" t="n"/>
      <c r="Q891" s="22" t="n"/>
      <c r="R891" s="22" t="n"/>
      <c r="S891" s="22" t="n"/>
    </row>
    <row r="892">
      <c r="E892" s="22" t="n"/>
      <c r="F892" s="22" t="n"/>
      <c r="G892" s="22" t="n"/>
      <c r="H892" s="22" t="n"/>
      <c r="I892" s="22" t="n"/>
      <c r="J892" s="22" t="n"/>
      <c r="K892" s="22" t="n"/>
      <c r="L892" s="22" t="n"/>
      <c r="M892" s="22" t="n"/>
      <c r="N892" s="22" t="n"/>
      <c r="O892" s="22" t="n"/>
      <c r="P892" s="22" t="n"/>
      <c r="Q892" s="22" t="n"/>
      <c r="R892" s="22" t="n"/>
      <c r="S892" s="22" t="n"/>
    </row>
    <row r="893">
      <c r="E893" s="22" t="n"/>
      <c r="F893" s="22" t="n"/>
      <c r="G893" s="22" t="n"/>
      <c r="H893" s="22" t="n"/>
      <c r="I893" s="22" t="n"/>
      <c r="J893" s="22" t="n"/>
      <c r="K893" s="22" t="n"/>
      <c r="L893" s="22" t="n"/>
      <c r="M893" s="22" t="n"/>
      <c r="N893" s="22" t="n"/>
      <c r="O893" s="22" t="n"/>
      <c r="P893" s="22" t="n"/>
      <c r="Q893" s="22" t="n"/>
      <c r="R893" s="22" t="n"/>
      <c r="S893" s="22" t="n"/>
    </row>
    <row r="894">
      <c r="E894" s="22" t="n"/>
      <c r="F894" s="22" t="n"/>
      <c r="G894" s="22" t="n"/>
      <c r="H894" s="22" t="n"/>
      <c r="I894" s="22" t="n"/>
      <c r="J894" s="22" t="n"/>
      <c r="K894" s="22" t="n"/>
      <c r="L894" s="22" t="n"/>
      <c r="M894" s="22" t="n"/>
      <c r="N894" s="22" t="n"/>
      <c r="O894" s="22" t="n"/>
      <c r="P894" s="22" t="n"/>
      <c r="Q894" s="22" t="n"/>
      <c r="R894" s="22" t="n"/>
      <c r="S894" s="22" t="n"/>
    </row>
    <row r="895">
      <c r="E895" s="22" t="n"/>
      <c r="F895" s="22" t="n"/>
      <c r="G895" s="22" t="n"/>
      <c r="H895" s="22" t="n"/>
      <c r="I895" s="22" t="n"/>
      <c r="J895" s="22" t="n"/>
      <c r="K895" s="22" t="n"/>
      <c r="L895" s="22" t="n"/>
      <c r="M895" s="22" t="n"/>
      <c r="N895" s="22" t="n"/>
      <c r="O895" s="22" t="n"/>
      <c r="P895" s="22" t="n"/>
      <c r="Q895" s="22" t="n"/>
      <c r="R895" s="22" t="n"/>
      <c r="S895" s="22" t="n"/>
    </row>
    <row r="896">
      <c r="E896" s="22" t="n"/>
      <c r="F896" s="22" t="n"/>
      <c r="G896" s="22" t="n"/>
      <c r="H896" s="22" t="n"/>
      <c r="I896" s="22" t="n"/>
      <c r="J896" s="22" t="n"/>
      <c r="K896" s="22" t="n"/>
      <c r="L896" s="22" t="n"/>
      <c r="M896" s="22" t="n"/>
      <c r="N896" s="22" t="n"/>
      <c r="O896" s="22" t="n"/>
      <c r="P896" s="22" t="n"/>
      <c r="Q896" s="22" t="n"/>
      <c r="R896" s="22" t="n"/>
      <c r="S896" s="22" t="n"/>
    </row>
    <row r="897">
      <c r="E897" s="22" t="n"/>
      <c r="F897" s="22" t="n"/>
      <c r="G897" s="22" t="n"/>
      <c r="H897" s="22" t="n"/>
      <c r="I897" s="22" t="n"/>
      <c r="J897" s="22" t="n"/>
      <c r="K897" s="22" t="n"/>
      <c r="L897" s="22" t="n"/>
      <c r="M897" s="22" t="n"/>
      <c r="N897" s="22" t="n"/>
      <c r="O897" s="22" t="n"/>
      <c r="P897" s="22" t="n"/>
      <c r="Q897" s="22" t="n"/>
      <c r="R897" s="22" t="n"/>
      <c r="S897" s="22" t="n"/>
    </row>
    <row r="898">
      <c r="E898" s="22" t="n"/>
      <c r="F898" s="22" t="n"/>
      <c r="G898" s="22" t="n"/>
      <c r="H898" s="22" t="n"/>
      <c r="I898" s="22" t="n"/>
      <c r="J898" s="22" t="n"/>
      <c r="K898" s="22" t="n"/>
      <c r="L898" s="22" t="n"/>
      <c r="M898" s="22" t="n"/>
      <c r="N898" s="22" t="n"/>
      <c r="O898" s="22" t="n"/>
      <c r="P898" s="22" t="n"/>
      <c r="Q898" s="22" t="n"/>
      <c r="R898" s="22" t="n"/>
      <c r="S898" s="22" t="n"/>
    </row>
    <row r="899">
      <c r="E899" s="22" t="n"/>
      <c r="F899" s="22" t="n"/>
      <c r="G899" s="22" t="n"/>
      <c r="H899" s="22" t="n"/>
      <c r="I899" s="22" t="n"/>
      <c r="J899" s="22" t="n"/>
      <c r="K899" s="22" t="n"/>
      <c r="L899" s="22" t="n"/>
      <c r="M899" s="22" t="n"/>
      <c r="N899" s="22" t="n"/>
      <c r="O899" s="22" t="n"/>
      <c r="P899" s="22" t="n"/>
      <c r="Q899" s="22" t="n"/>
      <c r="R899" s="22" t="n"/>
      <c r="S899" s="22" t="n"/>
    </row>
    <row r="900">
      <c r="E900" s="22" t="n"/>
      <c r="F900" s="22" t="n"/>
      <c r="G900" s="22" t="n"/>
      <c r="H900" s="22" t="n"/>
      <c r="I900" s="22" t="n"/>
      <c r="J900" s="22" t="n"/>
      <c r="K900" s="22" t="n"/>
      <c r="L900" s="22" t="n"/>
      <c r="M900" s="22" t="n"/>
      <c r="N900" s="22" t="n"/>
      <c r="O900" s="22" t="n"/>
      <c r="P900" s="22" t="n"/>
      <c r="Q900" s="22" t="n"/>
      <c r="R900" s="22" t="n"/>
      <c r="S900" s="22" t="n"/>
    </row>
    <row r="901">
      <c r="E901" s="22" t="n"/>
      <c r="F901" s="22" t="n"/>
      <c r="G901" s="22" t="n"/>
      <c r="H901" s="22" t="n"/>
      <c r="I901" s="22" t="n"/>
      <c r="J901" s="22" t="n"/>
      <c r="K901" s="22" t="n"/>
      <c r="L901" s="22" t="n"/>
      <c r="M901" s="22" t="n"/>
      <c r="N901" s="22" t="n"/>
      <c r="O901" s="22" t="n"/>
      <c r="P901" s="22" t="n"/>
      <c r="Q901" s="22" t="n"/>
      <c r="R901" s="22" t="n"/>
      <c r="S901" s="22" t="n"/>
    </row>
    <row r="902">
      <c r="E902" s="22" t="n"/>
      <c r="F902" s="22" t="n"/>
      <c r="G902" s="22" t="n"/>
      <c r="H902" s="22" t="n"/>
      <c r="I902" s="22" t="n"/>
      <c r="J902" s="22" t="n"/>
      <c r="K902" s="22" t="n"/>
      <c r="L902" s="22" t="n"/>
      <c r="M902" s="22" t="n"/>
      <c r="N902" s="22" t="n"/>
      <c r="O902" s="22" t="n"/>
      <c r="P902" s="22" t="n"/>
      <c r="Q902" s="22" t="n"/>
      <c r="R902" s="22" t="n"/>
      <c r="S902" s="22" t="n"/>
    </row>
    <row r="903">
      <c r="E903" s="22" t="n"/>
      <c r="F903" s="22" t="n"/>
      <c r="G903" s="22" t="n"/>
      <c r="H903" s="22" t="n"/>
      <c r="I903" s="22" t="n"/>
      <c r="J903" s="22" t="n"/>
      <c r="K903" s="22" t="n"/>
      <c r="L903" s="22" t="n"/>
      <c r="M903" s="22" t="n"/>
      <c r="N903" s="22" t="n"/>
      <c r="O903" s="22" t="n"/>
      <c r="P903" s="22" t="n"/>
      <c r="Q903" s="22" t="n"/>
      <c r="R903" s="22" t="n"/>
      <c r="S903" s="22" t="n"/>
    </row>
    <row r="904">
      <c r="E904" s="22" t="n"/>
      <c r="F904" s="22" t="n"/>
      <c r="G904" s="22" t="n"/>
      <c r="H904" s="22" t="n"/>
      <c r="I904" s="22" t="n"/>
      <c r="J904" s="22" t="n"/>
      <c r="K904" s="22" t="n"/>
      <c r="L904" s="22" t="n"/>
      <c r="M904" s="22" t="n"/>
      <c r="N904" s="22" t="n"/>
      <c r="O904" s="22" t="n"/>
      <c r="P904" s="22" t="n"/>
      <c r="Q904" s="22" t="n"/>
      <c r="R904" s="22" t="n"/>
      <c r="S904" s="22" t="n"/>
    </row>
    <row r="905">
      <c r="E905" s="22" t="n"/>
      <c r="F905" s="22" t="n"/>
      <c r="G905" s="22" t="n"/>
      <c r="H905" s="22" t="n"/>
      <c r="I905" s="22" t="n"/>
      <c r="J905" s="22" t="n"/>
      <c r="K905" s="22" t="n"/>
      <c r="L905" s="22" t="n"/>
      <c r="M905" s="22" t="n"/>
      <c r="N905" s="22" t="n"/>
      <c r="O905" s="22" t="n"/>
      <c r="P905" s="22" t="n"/>
      <c r="Q905" s="22" t="n"/>
      <c r="R905" s="22" t="n"/>
      <c r="S905" s="22" t="n"/>
    </row>
    <row r="906">
      <c r="E906" s="22" t="n"/>
      <c r="F906" s="22" t="n"/>
      <c r="G906" s="22" t="n"/>
      <c r="H906" s="22" t="n"/>
      <c r="I906" s="22" t="n"/>
      <c r="J906" s="22" t="n"/>
      <c r="K906" s="22" t="n"/>
      <c r="L906" s="22" t="n"/>
      <c r="M906" s="22" t="n"/>
      <c r="N906" s="22" t="n"/>
      <c r="O906" s="22" t="n"/>
      <c r="P906" s="22" t="n"/>
      <c r="Q906" s="22" t="n"/>
      <c r="R906" s="22" t="n"/>
      <c r="S906" s="22" t="n"/>
    </row>
    <row r="907">
      <c r="E907" s="22" t="n"/>
      <c r="F907" s="22" t="n"/>
      <c r="G907" s="22" t="n"/>
      <c r="H907" s="22" t="n"/>
      <c r="I907" s="22" t="n"/>
      <c r="J907" s="22" t="n"/>
      <c r="K907" s="22" t="n"/>
      <c r="L907" s="22" t="n"/>
      <c r="M907" s="22" t="n"/>
      <c r="N907" s="22" t="n"/>
      <c r="O907" s="22" t="n"/>
      <c r="P907" s="22" t="n"/>
      <c r="Q907" s="22" t="n"/>
      <c r="R907" s="22" t="n"/>
      <c r="S907" s="22" t="n"/>
    </row>
    <row r="908">
      <c r="E908" s="22" t="n"/>
      <c r="F908" s="22" t="n"/>
      <c r="G908" s="22" t="n"/>
      <c r="H908" s="22" t="n"/>
      <c r="I908" s="22" t="n"/>
      <c r="J908" s="22" t="n"/>
      <c r="K908" s="22" t="n"/>
      <c r="L908" s="22" t="n"/>
      <c r="M908" s="22" t="n"/>
      <c r="N908" s="22" t="n"/>
      <c r="O908" s="22" t="n"/>
      <c r="P908" s="22" t="n"/>
      <c r="Q908" s="22" t="n"/>
      <c r="R908" s="22" t="n"/>
      <c r="S908" s="22" t="n"/>
    </row>
    <row r="909">
      <c r="E909" s="22" t="n"/>
      <c r="F909" s="22" t="n"/>
      <c r="G909" s="22" t="n"/>
      <c r="H909" s="22" t="n"/>
      <c r="I909" s="22" t="n"/>
      <c r="J909" s="22" t="n"/>
      <c r="K909" s="22" t="n"/>
      <c r="L909" s="22" t="n"/>
      <c r="M909" s="22" t="n"/>
      <c r="N909" s="22" t="n"/>
      <c r="O909" s="22" t="n"/>
      <c r="P909" s="22" t="n"/>
      <c r="Q909" s="22" t="n"/>
      <c r="R909" s="22" t="n"/>
      <c r="S909" s="22" t="n"/>
    </row>
    <row r="910">
      <c r="E910" s="22" t="n"/>
      <c r="F910" s="22" t="n"/>
      <c r="G910" s="22" t="n"/>
      <c r="H910" s="22" t="n"/>
      <c r="I910" s="22" t="n"/>
      <c r="J910" s="22" t="n"/>
      <c r="K910" s="22" t="n"/>
      <c r="L910" s="22" t="n"/>
      <c r="M910" s="22" t="n"/>
      <c r="N910" s="22" t="n"/>
      <c r="O910" s="22" t="n"/>
      <c r="P910" s="22" t="n"/>
      <c r="Q910" s="22" t="n"/>
      <c r="R910" s="22" t="n"/>
      <c r="S910" s="22" t="n"/>
    </row>
    <row r="911">
      <c r="E911" s="22" t="n"/>
      <c r="F911" s="22" t="n"/>
      <c r="G911" s="22" t="n"/>
      <c r="H911" s="22" t="n"/>
      <c r="I911" s="22" t="n"/>
      <c r="J911" s="22" t="n"/>
      <c r="K911" s="22" t="n"/>
      <c r="L911" s="22" t="n"/>
      <c r="M911" s="22" t="n"/>
      <c r="N911" s="22" t="n"/>
      <c r="O911" s="22" t="n"/>
      <c r="P911" s="22" t="n"/>
      <c r="Q911" s="22" t="n"/>
      <c r="R911" s="22" t="n"/>
      <c r="S911" s="22" t="n"/>
    </row>
    <row r="912">
      <c r="E912" s="22" t="n"/>
      <c r="F912" s="22" t="n"/>
      <c r="G912" s="22" t="n"/>
      <c r="H912" s="22" t="n"/>
      <c r="I912" s="22" t="n"/>
      <c r="J912" s="22" t="n"/>
      <c r="K912" s="22" t="n"/>
      <c r="L912" s="22" t="n"/>
      <c r="M912" s="22" t="n"/>
      <c r="N912" s="22" t="n"/>
      <c r="O912" s="22" t="n"/>
      <c r="P912" s="22" t="n"/>
      <c r="Q912" s="22" t="n"/>
      <c r="R912" s="22" t="n"/>
      <c r="S912" s="22" t="n"/>
    </row>
    <row r="913">
      <c r="E913" s="22" t="n"/>
      <c r="F913" s="22" t="n"/>
      <c r="G913" s="22" t="n"/>
      <c r="H913" s="22" t="n"/>
      <c r="I913" s="22" t="n"/>
      <c r="J913" s="22" t="n"/>
      <c r="K913" s="22" t="n"/>
      <c r="L913" s="22" t="n"/>
      <c r="M913" s="22" t="n"/>
      <c r="N913" s="22" t="n"/>
      <c r="O913" s="22" t="n"/>
      <c r="P913" s="22" t="n"/>
      <c r="Q913" s="22" t="n"/>
      <c r="R913" s="22" t="n"/>
      <c r="S913" s="22" t="n"/>
    </row>
    <row r="914">
      <c r="E914" s="22" t="n"/>
      <c r="F914" s="22" t="n"/>
      <c r="G914" s="22" t="n"/>
      <c r="H914" s="22" t="n"/>
      <c r="I914" s="22" t="n"/>
      <c r="J914" s="22" t="n"/>
      <c r="K914" s="22" t="n"/>
      <c r="L914" s="22" t="n"/>
      <c r="M914" s="22" t="n"/>
      <c r="N914" s="22" t="n"/>
      <c r="O914" s="22" t="n"/>
      <c r="P914" s="22" t="n"/>
      <c r="Q914" s="22" t="n"/>
      <c r="R914" s="22" t="n"/>
      <c r="S914" s="22" t="n"/>
    </row>
    <row r="915">
      <c r="E915" s="22" t="n"/>
      <c r="F915" s="22" t="n"/>
      <c r="G915" s="22" t="n"/>
      <c r="H915" s="22" t="n"/>
      <c r="I915" s="22" t="n"/>
      <c r="J915" s="22" t="n"/>
      <c r="K915" s="22" t="n"/>
      <c r="L915" s="22" t="n"/>
      <c r="M915" s="22" t="n"/>
      <c r="N915" s="22" t="n"/>
      <c r="O915" s="22" t="n"/>
      <c r="P915" s="22" t="n"/>
      <c r="Q915" s="22" t="n"/>
      <c r="R915" s="22" t="n"/>
      <c r="S915" s="22" t="n"/>
    </row>
    <row r="916">
      <c r="E916" s="22" t="n"/>
      <c r="F916" s="22" t="n"/>
      <c r="G916" s="22" t="n"/>
      <c r="H916" s="22" t="n"/>
      <c r="I916" s="22" t="n"/>
      <c r="J916" s="22" t="n"/>
      <c r="K916" s="22" t="n"/>
      <c r="L916" s="22" t="n"/>
      <c r="M916" s="22" t="n"/>
      <c r="N916" s="22" t="n"/>
      <c r="O916" s="22" t="n"/>
      <c r="P916" s="22" t="n"/>
      <c r="Q916" s="22" t="n"/>
      <c r="R916" s="22" t="n"/>
      <c r="S916" s="22" t="n"/>
    </row>
    <row r="917">
      <c r="E917" s="22" t="n"/>
      <c r="F917" s="22" t="n"/>
      <c r="G917" s="22" t="n"/>
      <c r="H917" s="22" t="n"/>
      <c r="I917" s="22" t="n"/>
      <c r="J917" s="22" t="n"/>
      <c r="K917" s="22" t="n"/>
      <c r="L917" s="22" t="n"/>
      <c r="M917" s="22" t="n"/>
      <c r="N917" s="22" t="n"/>
      <c r="O917" s="22" t="n"/>
      <c r="P917" s="22" t="n"/>
      <c r="Q917" s="22" t="n"/>
      <c r="R917" s="22" t="n"/>
      <c r="S917" s="22" t="n"/>
    </row>
    <row r="918">
      <c r="E918" s="22" t="n"/>
      <c r="F918" s="22" t="n"/>
      <c r="G918" s="22" t="n"/>
      <c r="H918" s="22" t="n"/>
      <c r="I918" s="22" t="n"/>
      <c r="J918" s="22" t="n"/>
      <c r="K918" s="22" t="n"/>
      <c r="L918" s="22" t="n"/>
      <c r="M918" s="22" t="n"/>
      <c r="N918" s="22" t="n"/>
      <c r="O918" s="22" t="n"/>
      <c r="P918" s="22" t="n"/>
      <c r="Q918" s="22" t="n"/>
      <c r="R918" s="22" t="n"/>
      <c r="S918" s="22" t="n"/>
    </row>
    <row r="919">
      <c r="E919" s="22" t="n"/>
      <c r="F919" s="22" t="n"/>
      <c r="G919" s="22" t="n"/>
      <c r="H919" s="22" t="n"/>
      <c r="I919" s="22" t="n"/>
      <c r="J919" s="22" t="n"/>
      <c r="K919" s="22" t="n"/>
      <c r="L919" s="22" t="n"/>
      <c r="M919" s="22" t="n"/>
      <c r="N919" s="22" t="n"/>
      <c r="O919" s="22" t="n"/>
      <c r="P919" s="22" t="n"/>
      <c r="Q919" s="22" t="n"/>
      <c r="R919" s="22" t="n"/>
      <c r="S919" s="22" t="n"/>
    </row>
    <row r="920">
      <c r="E920" s="22" t="n"/>
      <c r="F920" s="22" t="n"/>
      <c r="G920" s="22" t="n"/>
      <c r="H920" s="22" t="n"/>
      <c r="I920" s="22" t="n"/>
      <c r="J920" s="22" t="n"/>
      <c r="K920" s="22" t="n"/>
      <c r="L920" s="22" t="n"/>
      <c r="M920" s="22" t="n"/>
      <c r="N920" s="22" t="n"/>
      <c r="O920" s="22" t="n"/>
      <c r="P920" s="22" t="n"/>
      <c r="Q920" s="22" t="n"/>
      <c r="R920" s="22" t="n"/>
      <c r="S920" s="22" t="n"/>
    </row>
    <row r="921">
      <c r="E921" s="22" t="n"/>
      <c r="F921" s="22" t="n"/>
      <c r="G921" s="22" t="n"/>
      <c r="H921" s="22" t="n"/>
      <c r="I921" s="22" t="n"/>
      <c r="J921" s="22" t="n"/>
      <c r="K921" s="22" t="n"/>
      <c r="L921" s="22" t="n"/>
      <c r="M921" s="22" t="n"/>
      <c r="N921" s="22" t="n"/>
      <c r="O921" s="22" t="n"/>
      <c r="P921" s="22" t="n"/>
      <c r="Q921" s="22" t="n"/>
      <c r="R921" s="22" t="n"/>
      <c r="S921" s="22" t="n"/>
    </row>
    <row r="922">
      <c r="E922" s="22" t="n"/>
      <c r="F922" s="22" t="n"/>
      <c r="G922" s="22" t="n"/>
      <c r="H922" s="22" t="n"/>
      <c r="I922" s="22" t="n"/>
      <c r="J922" s="22" t="n"/>
      <c r="K922" s="22" t="n"/>
      <c r="L922" s="22" t="n"/>
      <c r="M922" s="22" t="n"/>
      <c r="N922" s="22" t="n"/>
      <c r="O922" s="22" t="n"/>
      <c r="P922" s="22" t="n"/>
      <c r="Q922" s="22" t="n"/>
      <c r="R922" s="22" t="n"/>
      <c r="S922" s="22" t="n"/>
    </row>
    <row r="923">
      <c r="E923" s="22" t="n"/>
      <c r="F923" s="22" t="n"/>
      <c r="G923" s="22" t="n"/>
      <c r="H923" s="22" t="n"/>
      <c r="I923" s="22" t="n"/>
      <c r="J923" s="22" t="n"/>
      <c r="K923" s="22" t="n"/>
      <c r="L923" s="22" t="n"/>
      <c r="M923" s="22" t="n"/>
      <c r="N923" s="22" t="n"/>
      <c r="O923" s="22" t="n"/>
      <c r="P923" s="22" t="n"/>
      <c r="Q923" s="22" t="n"/>
      <c r="R923" s="22" t="n"/>
      <c r="S923" s="22" t="n"/>
    </row>
    <row r="924">
      <c r="E924" s="22" t="n"/>
      <c r="F924" s="22" t="n"/>
      <c r="G924" s="22" t="n"/>
      <c r="H924" s="22" t="n"/>
      <c r="I924" s="22" t="n"/>
      <c r="J924" s="22" t="n"/>
      <c r="K924" s="22" t="n"/>
      <c r="L924" s="22" t="n"/>
      <c r="M924" s="22" t="n"/>
      <c r="N924" s="22" t="n"/>
      <c r="O924" s="22" t="n"/>
      <c r="P924" s="22" t="n"/>
      <c r="Q924" s="22" t="n"/>
      <c r="R924" s="22" t="n"/>
      <c r="S924" s="22" t="n"/>
    </row>
    <row r="925">
      <c r="E925" s="22" t="n"/>
      <c r="F925" s="22" t="n"/>
      <c r="G925" s="22" t="n"/>
      <c r="H925" s="22" t="n"/>
      <c r="I925" s="22" t="n"/>
      <c r="J925" s="22" t="n"/>
      <c r="K925" s="22" t="n"/>
      <c r="L925" s="22" t="n"/>
      <c r="M925" s="22" t="n"/>
      <c r="N925" s="22" t="n"/>
      <c r="O925" s="22" t="n"/>
      <c r="P925" s="22" t="n"/>
      <c r="Q925" s="22" t="n"/>
      <c r="R925" s="22" t="n"/>
      <c r="S925" s="22" t="n"/>
    </row>
    <row r="926">
      <c r="E926" s="22" t="n"/>
      <c r="F926" s="22" t="n"/>
      <c r="G926" s="22" t="n"/>
      <c r="H926" s="22" t="n"/>
      <c r="I926" s="22" t="n"/>
      <c r="J926" s="22" t="n"/>
      <c r="K926" s="22" t="n"/>
      <c r="L926" s="22" t="n"/>
      <c r="M926" s="22" t="n"/>
      <c r="N926" s="22" t="n"/>
      <c r="O926" s="22" t="n"/>
      <c r="P926" s="22" t="n"/>
      <c r="Q926" s="22" t="n"/>
      <c r="R926" s="22" t="n"/>
      <c r="S926" s="22" t="n"/>
    </row>
    <row r="927">
      <c r="E927" s="22" t="n"/>
      <c r="F927" s="22" t="n"/>
      <c r="G927" s="22" t="n"/>
      <c r="H927" s="22" t="n"/>
      <c r="I927" s="22" t="n"/>
      <c r="J927" s="22" t="n"/>
      <c r="K927" s="22" t="n"/>
      <c r="L927" s="22" t="n"/>
      <c r="M927" s="22" t="n"/>
      <c r="N927" s="22" t="n"/>
      <c r="O927" s="22" t="n"/>
      <c r="P927" s="22" t="n"/>
      <c r="Q927" s="22" t="n"/>
      <c r="R927" s="22" t="n"/>
      <c r="S927" s="22" t="n"/>
    </row>
    <row r="928">
      <c r="E928" s="22" t="n"/>
      <c r="F928" s="22" t="n"/>
      <c r="G928" s="22" t="n"/>
      <c r="H928" s="22" t="n"/>
      <c r="I928" s="22" t="n"/>
      <c r="J928" s="22" t="n"/>
      <c r="K928" s="22" t="n"/>
      <c r="L928" s="22" t="n"/>
      <c r="M928" s="22" t="n"/>
      <c r="N928" s="22" t="n"/>
      <c r="O928" s="22" t="n"/>
      <c r="P928" s="22" t="n"/>
      <c r="Q928" s="22" t="n"/>
      <c r="R928" s="22" t="n"/>
      <c r="S928" s="22" t="n"/>
    </row>
    <row r="929">
      <c r="E929" s="22" t="n"/>
      <c r="F929" s="22" t="n"/>
      <c r="G929" s="22" t="n"/>
      <c r="H929" s="22" t="n"/>
      <c r="I929" s="22" t="n"/>
      <c r="J929" s="22" t="n"/>
      <c r="K929" s="22" t="n"/>
      <c r="L929" s="22" t="n"/>
      <c r="M929" s="22" t="n"/>
      <c r="N929" s="22" t="n"/>
      <c r="O929" s="22" t="n"/>
      <c r="P929" s="22" t="n"/>
      <c r="Q929" s="22" t="n"/>
      <c r="R929" s="22" t="n"/>
      <c r="S929" s="22" t="n"/>
    </row>
    <row r="930">
      <c r="E930" s="22" t="n"/>
      <c r="F930" s="22" t="n"/>
      <c r="G930" s="22" t="n"/>
      <c r="H930" s="22" t="n"/>
      <c r="I930" s="22" t="n"/>
      <c r="J930" s="22" t="n"/>
      <c r="K930" s="22" t="n"/>
      <c r="L930" s="22" t="n"/>
      <c r="M930" s="22" t="n"/>
      <c r="N930" s="22" t="n"/>
      <c r="O930" s="22" t="n"/>
      <c r="P930" s="22" t="n"/>
      <c r="Q930" s="22" t="n"/>
      <c r="R930" s="22" t="n"/>
      <c r="S930" s="22" t="n"/>
    </row>
    <row r="931">
      <c r="E931" s="22" t="n"/>
      <c r="F931" s="22" t="n"/>
      <c r="G931" s="22" t="n"/>
      <c r="H931" s="22" t="n"/>
      <c r="I931" s="22" t="n"/>
      <c r="J931" s="22" t="n"/>
      <c r="K931" s="22" t="n"/>
      <c r="L931" s="22" t="n"/>
      <c r="M931" s="22" t="n"/>
      <c r="N931" s="22" t="n"/>
      <c r="O931" s="22" t="n"/>
      <c r="P931" s="22" t="n"/>
      <c r="Q931" s="22" t="n"/>
      <c r="R931" s="22" t="n"/>
      <c r="S931" s="22" t="n"/>
    </row>
    <row r="932">
      <c r="E932" s="22" t="n"/>
      <c r="F932" s="22" t="n"/>
      <c r="G932" s="22" t="n"/>
      <c r="H932" s="22" t="n"/>
      <c r="I932" s="22" t="n"/>
      <c r="J932" s="22" t="n"/>
      <c r="K932" s="22" t="n"/>
      <c r="L932" s="22" t="n"/>
      <c r="M932" s="22" t="n"/>
      <c r="N932" s="22" t="n"/>
      <c r="O932" s="22" t="n"/>
      <c r="P932" s="22" t="n"/>
      <c r="Q932" s="22" t="n"/>
      <c r="R932" s="22" t="n"/>
      <c r="S932" s="22" t="n"/>
    </row>
    <row r="933">
      <c r="E933" s="22" t="n"/>
      <c r="F933" s="22" t="n"/>
      <c r="G933" s="22" t="n"/>
      <c r="H933" s="22" t="n"/>
      <c r="I933" s="22" t="n"/>
      <c r="J933" s="22" t="n"/>
      <c r="K933" s="22" t="n"/>
      <c r="L933" s="22" t="n"/>
      <c r="M933" s="22" t="n"/>
      <c r="N933" s="22" t="n"/>
      <c r="O933" s="22" t="n"/>
      <c r="P933" s="22" t="n"/>
      <c r="Q933" s="22" t="n"/>
      <c r="R933" s="22" t="n"/>
      <c r="S933" s="22" t="n"/>
    </row>
    <row r="934">
      <c r="E934" s="22" t="n"/>
      <c r="F934" s="22" t="n"/>
      <c r="G934" s="22" t="n"/>
      <c r="H934" s="22" t="n"/>
      <c r="I934" s="22" t="n"/>
      <c r="J934" s="22" t="n"/>
      <c r="K934" s="22" t="n"/>
      <c r="L934" s="22" t="n"/>
      <c r="M934" s="22" t="n"/>
      <c r="N934" s="22" t="n"/>
      <c r="O934" s="22" t="n"/>
      <c r="P934" s="22" t="n"/>
      <c r="Q934" s="22" t="n"/>
      <c r="R934" s="22" t="n"/>
      <c r="S934" s="22" t="n"/>
    </row>
    <row r="935">
      <c r="E935" s="22" t="n"/>
      <c r="F935" s="22" t="n"/>
      <c r="G935" s="22" t="n"/>
      <c r="H935" s="22" t="n"/>
      <c r="I935" s="22" t="n"/>
      <c r="J935" s="22" t="n"/>
      <c r="K935" s="22" t="n"/>
      <c r="L935" s="22" t="n"/>
      <c r="M935" s="22" t="n"/>
      <c r="N935" s="22" t="n"/>
      <c r="O935" s="22" t="n"/>
      <c r="P935" s="22" t="n"/>
      <c r="Q935" s="22" t="n"/>
      <c r="R935" s="22" t="n"/>
      <c r="S935" s="22" t="n"/>
    </row>
    <row r="936">
      <c r="E936" s="22" t="n"/>
      <c r="F936" s="22" t="n"/>
      <c r="G936" s="22" t="n"/>
      <c r="H936" s="22" t="n"/>
      <c r="I936" s="22" t="n"/>
      <c r="J936" s="22" t="n"/>
      <c r="K936" s="22" t="n"/>
      <c r="L936" s="22" t="n"/>
      <c r="M936" s="22" t="n"/>
      <c r="N936" s="22" t="n"/>
      <c r="O936" s="22" t="n"/>
      <c r="P936" s="22" t="n"/>
      <c r="Q936" s="22" t="n"/>
      <c r="R936" s="22" t="n"/>
      <c r="S936" s="22" t="n"/>
    </row>
    <row r="937">
      <c r="E937" s="22" t="n"/>
      <c r="F937" s="22" t="n"/>
      <c r="G937" s="22" t="n"/>
      <c r="H937" s="22" t="n"/>
      <c r="I937" s="22" t="n"/>
      <c r="J937" s="22" t="n"/>
      <c r="K937" s="22" t="n"/>
      <c r="L937" s="22" t="n"/>
      <c r="M937" s="22" t="n"/>
      <c r="N937" s="22" t="n"/>
      <c r="O937" s="22" t="n"/>
      <c r="P937" s="22" t="n"/>
      <c r="Q937" s="22" t="n"/>
      <c r="R937" s="22" t="n"/>
      <c r="S937" s="22" t="n"/>
    </row>
    <row r="938">
      <c r="E938" s="22" t="n"/>
      <c r="F938" s="22" t="n"/>
      <c r="G938" s="22" t="n"/>
      <c r="H938" s="22" t="n"/>
      <c r="I938" s="22" t="n"/>
      <c r="J938" s="22" t="n"/>
      <c r="K938" s="22" t="n"/>
      <c r="L938" s="22" t="n"/>
      <c r="M938" s="22" t="n"/>
      <c r="N938" s="22" t="n"/>
      <c r="O938" s="22" t="n"/>
      <c r="P938" s="22" t="n"/>
      <c r="Q938" s="22" t="n"/>
      <c r="R938" s="22" t="n"/>
      <c r="S938" s="22" t="n"/>
    </row>
    <row r="939">
      <c r="E939" s="22" t="n"/>
      <c r="F939" s="22" t="n"/>
      <c r="G939" s="22" t="n"/>
      <c r="H939" s="22" t="n"/>
      <c r="I939" s="22" t="n"/>
      <c r="J939" s="22" t="n"/>
      <c r="K939" s="22" t="n"/>
      <c r="L939" s="22" t="n"/>
      <c r="M939" s="22" t="n"/>
      <c r="N939" s="22" t="n"/>
      <c r="O939" s="22" t="n"/>
      <c r="P939" s="22" t="n"/>
      <c r="Q939" s="22" t="n"/>
      <c r="R939" s="22" t="n"/>
      <c r="S939" s="22" t="n"/>
    </row>
    <row r="940">
      <c r="E940" s="22" t="n"/>
      <c r="F940" s="22" t="n"/>
      <c r="G940" s="22" t="n"/>
      <c r="H940" s="22" t="n"/>
      <c r="I940" s="22" t="n"/>
      <c r="J940" s="22" t="n"/>
      <c r="K940" s="22" t="n"/>
      <c r="L940" s="22" t="n"/>
      <c r="M940" s="22" t="n"/>
      <c r="N940" s="22" t="n"/>
      <c r="O940" s="22" t="n"/>
      <c r="P940" s="22" t="n"/>
      <c r="Q940" s="22" t="n"/>
      <c r="R940" s="22" t="n"/>
      <c r="S940" s="22" t="n"/>
    </row>
    <row r="941">
      <c r="E941" s="22" t="n"/>
      <c r="F941" s="22" t="n"/>
      <c r="G941" s="22" t="n"/>
      <c r="H941" s="22" t="n"/>
      <c r="I941" s="22" t="n"/>
      <c r="J941" s="22" t="n"/>
      <c r="K941" s="22" t="n"/>
      <c r="L941" s="22" t="n"/>
      <c r="M941" s="22" t="n"/>
      <c r="N941" s="22" t="n"/>
      <c r="O941" s="22" t="n"/>
      <c r="P941" s="22" t="n"/>
      <c r="Q941" s="22" t="n"/>
      <c r="R941" s="22" t="n"/>
      <c r="S941" s="22" t="n"/>
    </row>
    <row r="942">
      <c r="E942" s="22" t="n"/>
      <c r="F942" s="22" t="n"/>
      <c r="G942" s="22" t="n"/>
      <c r="H942" s="22" t="n"/>
      <c r="I942" s="22" t="n"/>
      <c r="J942" s="22" t="n"/>
      <c r="K942" s="22" t="n"/>
      <c r="L942" s="22" t="n"/>
      <c r="M942" s="22" t="n"/>
      <c r="N942" s="22" t="n"/>
      <c r="O942" s="22" t="n"/>
      <c r="P942" s="22" t="n"/>
      <c r="Q942" s="22" t="n"/>
      <c r="R942" s="22" t="n"/>
      <c r="S942" s="22" t="n"/>
    </row>
    <row r="943">
      <c r="E943" s="22" t="n"/>
      <c r="F943" s="22" t="n"/>
      <c r="G943" s="22" t="n"/>
      <c r="H943" s="22" t="n"/>
      <c r="I943" s="22" t="n"/>
      <c r="J943" s="22" t="n"/>
      <c r="K943" s="22" t="n"/>
      <c r="L943" s="22" t="n"/>
      <c r="M943" s="22" t="n"/>
      <c r="N943" s="22" t="n"/>
      <c r="O943" s="22" t="n"/>
      <c r="P943" s="22" t="n"/>
      <c r="Q943" s="22" t="n"/>
      <c r="R943" s="22" t="n"/>
      <c r="S943" s="22" t="n"/>
    </row>
    <row r="944">
      <c r="E944" s="22" t="n"/>
      <c r="F944" s="22" t="n"/>
      <c r="G944" s="22" t="n"/>
      <c r="H944" s="22" t="n"/>
      <c r="I944" s="22" t="n"/>
      <c r="J944" s="22" t="n"/>
      <c r="K944" s="22" t="n"/>
      <c r="L944" s="22" t="n"/>
      <c r="M944" s="22" t="n"/>
      <c r="N944" s="22" t="n"/>
      <c r="O944" s="22" t="n"/>
      <c r="P944" s="22" t="n"/>
      <c r="Q944" s="22" t="n"/>
      <c r="R944" s="22" t="n"/>
      <c r="S944" s="22" t="n"/>
    </row>
    <row r="945">
      <c r="E945" s="22" t="n"/>
      <c r="F945" s="22" t="n"/>
      <c r="G945" s="22" t="n"/>
      <c r="H945" s="22" t="n"/>
      <c r="I945" s="22" t="n"/>
      <c r="J945" s="22" t="n"/>
      <c r="K945" s="22" t="n"/>
      <c r="L945" s="22" t="n"/>
      <c r="M945" s="22" t="n"/>
      <c r="N945" s="22" t="n"/>
      <c r="O945" s="22" t="n"/>
      <c r="P945" s="22" t="n"/>
      <c r="Q945" s="22" t="n"/>
      <c r="R945" s="22" t="n"/>
      <c r="S945" s="22" t="n"/>
    </row>
    <row r="946">
      <c r="E946" s="22" t="n"/>
      <c r="F946" s="22" t="n"/>
      <c r="G946" s="22" t="n"/>
      <c r="H946" s="22" t="n"/>
      <c r="I946" s="22" t="n"/>
      <c r="J946" s="22" t="n"/>
      <c r="K946" s="22" t="n"/>
      <c r="L946" s="22" t="n"/>
      <c r="M946" s="22" t="n"/>
      <c r="N946" s="22" t="n"/>
      <c r="O946" s="22" t="n"/>
      <c r="P946" s="22" t="n"/>
      <c r="Q946" s="22" t="n"/>
      <c r="R946" s="22" t="n"/>
      <c r="S946" s="22" t="n"/>
    </row>
    <row r="947">
      <c r="E947" s="22" t="n"/>
      <c r="F947" s="22" t="n"/>
      <c r="G947" s="22" t="n"/>
      <c r="H947" s="22" t="n"/>
      <c r="I947" s="22" t="n"/>
      <c r="J947" s="22" t="n"/>
      <c r="K947" s="22" t="n"/>
      <c r="L947" s="22" t="n"/>
      <c r="M947" s="22" t="n"/>
      <c r="N947" s="22" t="n"/>
      <c r="O947" s="22" t="n"/>
      <c r="P947" s="22" t="n"/>
      <c r="Q947" s="22" t="n"/>
      <c r="R947" s="22" t="n"/>
      <c r="S947" s="22" t="n"/>
    </row>
    <row r="948">
      <c r="E948" s="22" t="n"/>
      <c r="F948" s="22" t="n"/>
      <c r="G948" s="22" t="n"/>
      <c r="H948" s="22" t="n"/>
      <c r="I948" s="22" t="n"/>
      <c r="J948" s="22" t="n"/>
      <c r="K948" s="22" t="n"/>
      <c r="L948" s="22" t="n"/>
      <c r="M948" s="22" t="n"/>
      <c r="N948" s="22" t="n"/>
      <c r="O948" s="22" t="n"/>
      <c r="P948" s="22" t="n"/>
      <c r="Q948" s="22" t="n"/>
      <c r="R948" s="22" t="n"/>
      <c r="S948" s="22" t="n"/>
    </row>
    <row r="949">
      <c r="E949" s="22" t="n"/>
      <c r="F949" s="22" t="n"/>
      <c r="G949" s="22" t="n"/>
      <c r="H949" s="22" t="n"/>
      <c r="I949" s="22" t="n"/>
      <c r="J949" s="22" t="n"/>
      <c r="K949" s="22" t="n"/>
      <c r="L949" s="22" t="n"/>
      <c r="M949" s="22" t="n"/>
      <c r="N949" s="22" t="n"/>
      <c r="O949" s="22" t="n"/>
      <c r="P949" s="22" t="n"/>
      <c r="Q949" s="22" t="n"/>
      <c r="R949" s="22" t="n"/>
      <c r="S949" s="22" t="n"/>
    </row>
    <row r="950">
      <c r="E950" s="22" t="n"/>
      <c r="F950" s="22" t="n"/>
      <c r="G950" s="22" t="n"/>
      <c r="H950" s="22" t="n"/>
      <c r="I950" s="22" t="n"/>
      <c r="J950" s="22" t="n"/>
      <c r="K950" s="22" t="n"/>
      <c r="L950" s="22" t="n"/>
      <c r="M950" s="22" t="n"/>
      <c r="N950" s="22" t="n"/>
      <c r="O950" s="22" t="n"/>
      <c r="P950" s="22" t="n"/>
      <c r="Q950" s="22" t="n"/>
      <c r="R950" s="22" t="n"/>
      <c r="S950" s="22" t="n"/>
    </row>
    <row r="951">
      <c r="E951" s="22" t="n"/>
      <c r="F951" s="22" t="n"/>
      <c r="G951" s="22" t="n"/>
      <c r="H951" s="22" t="n"/>
      <c r="I951" s="22" t="n"/>
      <c r="J951" s="22" t="n"/>
      <c r="K951" s="22" t="n"/>
      <c r="L951" s="22" t="n"/>
      <c r="M951" s="22" t="n"/>
      <c r="N951" s="22" t="n"/>
      <c r="O951" s="22" t="n"/>
      <c r="P951" s="22" t="n"/>
      <c r="Q951" s="22" t="n"/>
      <c r="R951" s="22" t="n"/>
      <c r="S951" s="22" t="n"/>
    </row>
    <row r="952">
      <c r="E952" s="22" t="n"/>
      <c r="F952" s="22" t="n"/>
      <c r="G952" s="22" t="n"/>
      <c r="H952" s="22" t="n"/>
      <c r="I952" s="22" t="n"/>
      <c r="J952" s="22" t="n"/>
      <c r="K952" s="22" t="n"/>
      <c r="L952" s="22" t="n"/>
      <c r="M952" s="22" t="n"/>
      <c r="N952" s="22" t="n"/>
      <c r="O952" s="22" t="n"/>
      <c r="P952" s="22" t="n"/>
      <c r="Q952" s="22" t="n"/>
      <c r="R952" s="22" t="n"/>
      <c r="S952" s="22" t="n"/>
    </row>
    <row r="953">
      <c r="E953" s="22" t="n"/>
      <c r="F953" s="22" t="n"/>
      <c r="G953" s="22" t="n"/>
      <c r="H953" s="22" t="n"/>
      <c r="I953" s="22" t="n"/>
      <c r="J953" s="22" t="n"/>
      <c r="K953" s="22" t="n"/>
      <c r="L953" s="22" t="n"/>
      <c r="M953" s="22" t="n"/>
      <c r="N953" s="22" t="n"/>
      <c r="O953" s="22" t="n"/>
      <c r="P953" s="22" t="n"/>
      <c r="Q953" s="22" t="n"/>
      <c r="R953" s="22" t="n"/>
      <c r="S953" s="22" t="n"/>
    </row>
    <row r="954">
      <c r="E954" s="22" t="n"/>
      <c r="F954" s="22" t="n"/>
      <c r="G954" s="22" t="n"/>
      <c r="H954" s="22" t="n"/>
      <c r="I954" s="22" t="n"/>
      <c r="J954" s="22" t="n"/>
      <c r="K954" s="22" t="n"/>
      <c r="L954" s="22" t="n"/>
      <c r="M954" s="22" t="n"/>
      <c r="N954" s="22" t="n"/>
      <c r="O954" s="22" t="n"/>
      <c r="P954" s="22" t="n"/>
      <c r="Q954" s="22" t="n"/>
      <c r="R954" s="22" t="n"/>
      <c r="S954" s="22" t="n"/>
    </row>
    <row r="955">
      <c r="E955" s="22" t="n"/>
      <c r="F955" s="22" t="n"/>
      <c r="G955" s="22" t="n"/>
      <c r="H955" s="22" t="n"/>
      <c r="I955" s="22" t="n"/>
      <c r="J955" s="22" t="n"/>
      <c r="K955" s="22" t="n"/>
      <c r="L955" s="22" t="n"/>
      <c r="M955" s="22" t="n"/>
      <c r="N955" s="22" t="n"/>
      <c r="O955" s="22" t="n"/>
      <c r="P955" s="22" t="n"/>
      <c r="Q955" s="22" t="n"/>
      <c r="R955" s="22" t="n"/>
      <c r="S955" s="22" t="n"/>
    </row>
    <row r="956">
      <c r="E956" s="22" t="n"/>
      <c r="F956" s="22" t="n"/>
      <c r="G956" s="22" t="n"/>
      <c r="H956" s="22" t="n"/>
      <c r="I956" s="22" t="n"/>
      <c r="J956" s="22" t="n"/>
      <c r="K956" s="22" t="n"/>
      <c r="L956" s="22" t="n"/>
      <c r="M956" s="22" t="n"/>
      <c r="N956" s="22" t="n"/>
      <c r="O956" s="22" t="n"/>
      <c r="P956" s="22" t="n"/>
      <c r="Q956" s="22" t="n"/>
      <c r="R956" s="22" t="n"/>
      <c r="S956" s="22" t="n"/>
    </row>
    <row r="957">
      <c r="E957" s="22" t="n"/>
      <c r="F957" s="22" t="n"/>
      <c r="G957" s="22" t="n"/>
      <c r="H957" s="22" t="n"/>
      <c r="I957" s="22" t="n"/>
      <c r="J957" s="22" t="n"/>
      <c r="K957" s="22" t="n"/>
      <c r="L957" s="22" t="n"/>
      <c r="M957" s="22" t="n"/>
      <c r="N957" s="22" t="n"/>
      <c r="O957" s="22" t="n"/>
      <c r="P957" s="22" t="n"/>
      <c r="Q957" s="22" t="n"/>
      <c r="R957" s="22" t="n"/>
      <c r="S957" s="22" t="n"/>
    </row>
    <row r="958">
      <c r="E958" s="22" t="n"/>
      <c r="F958" s="22" t="n"/>
      <c r="G958" s="22" t="n"/>
      <c r="H958" s="22" t="n"/>
      <c r="I958" s="22" t="n"/>
      <c r="J958" s="22" t="n"/>
      <c r="K958" s="22" t="n"/>
      <c r="L958" s="22" t="n"/>
      <c r="M958" s="22" t="n"/>
      <c r="N958" s="22" t="n"/>
      <c r="O958" s="22" t="n"/>
      <c r="P958" s="22" t="n"/>
      <c r="Q958" s="22" t="n"/>
      <c r="R958" s="22" t="n"/>
      <c r="S958" s="22" t="n"/>
    </row>
    <row r="959">
      <c r="E959" s="22" t="n"/>
      <c r="F959" s="22" t="n"/>
      <c r="G959" s="22" t="n"/>
      <c r="H959" s="22" t="n"/>
      <c r="I959" s="22" t="n"/>
      <c r="J959" s="22" t="n"/>
      <c r="K959" s="22" t="n"/>
      <c r="L959" s="22" t="n"/>
      <c r="M959" s="22" t="n"/>
      <c r="N959" s="22" t="n"/>
      <c r="O959" s="22" t="n"/>
      <c r="P959" s="22" t="n"/>
      <c r="Q959" s="22" t="n"/>
      <c r="R959" s="22" t="n"/>
      <c r="S959" s="22" t="n"/>
    </row>
    <row r="960">
      <c r="E960" s="22" t="n"/>
      <c r="F960" s="22" t="n"/>
      <c r="G960" s="22" t="n"/>
      <c r="H960" s="22" t="n"/>
      <c r="I960" s="22" t="n"/>
      <c r="J960" s="22" t="n"/>
      <c r="K960" s="22" t="n"/>
      <c r="L960" s="22" t="n"/>
      <c r="M960" s="22" t="n"/>
      <c r="N960" s="22" t="n"/>
      <c r="O960" s="22" t="n"/>
      <c r="P960" s="22" t="n"/>
      <c r="Q960" s="22" t="n"/>
      <c r="R960" s="22" t="n"/>
      <c r="S960" s="22" t="n"/>
    </row>
    <row r="961">
      <c r="E961" s="22" t="n"/>
      <c r="F961" s="22" t="n"/>
      <c r="G961" s="22" t="n"/>
      <c r="H961" s="22" t="n"/>
      <c r="I961" s="22" t="n"/>
      <c r="J961" s="22" t="n"/>
      <c r="K961" s="22" t="n"/>
      <c r="L961" s="22" t="n"/>
      <c r="M961" s="22" t="n"/>
      <c r="N961" s="22" t="n"/>
      <c r="O961" s="22" t="n"/>
      <c r="P961" s="22" t="n"/>
      <c r="Q961" s="22" t="n"/>
      <c r="R961" s="22" t="n"/>
      <c r="S961" s="22" t="n"/>
    </row>
    <row r="962">
      <c r="E962" s="22" t="n"/>
      <c r="F962" s="22" t="n"/>
      <c r="G962" s="22" t="n"/>
      <c r="H962" s="22" t="n"/>
      <c r="I962" s="22" t="n"/>
      <c r="J962" s="22" t="n"/>
      <c r="K962" s="22" t="n"/>
      <c r="L962" s="22" t="n"/>
      <c r="M962" s="22" t="n"/>
      <c r="N962" s="22" t="n"/>
      <c r="O962" s="22" t="n"/>
      <c r="P962" s="22" t="n"/>
      <c r="Q962" s="22" t="n"/>
      <c r="R962" s="22" t="n"/>
      <c r="S962" s="22" t="n"/>
    </row>
    <row r="963">
      <c r="E963" s="22" t="n"/>
      <c r="F963" s="22" t="n"/>
      <c r="G963" s="22" t="n"/>
      <c r="H963" s="22" t="n"/>
      <c r="I963" s="22" t="n"/>
      <c r="J963" s="22" t="n"/>
      <c r="K963" s="22" t="n"/>
      <c r="L963" s="22" t="n"/>
      <c r="M963" s="22" t="n"/>
      <c r="N963" s="22" t="n"/>
      <c r="O963" s="22" t="n"/>
      <c r="P963" s="22" t="n"/>
      <c r="Q963" s="22" t="n"/>
      <c r="R963" s="22" t="n"/>
      <c r="S963" s="22" t="n"/>
    </row>
    <row r="964">
      <c r="E964" s="22" t="n"/>
      <c r="F964" s="22" t="n"/>
      <c r="G964" s="22" t="n"/>
      <c r="H964" s="22" t="n"/>
      <c r="I964" s="22" t="n"/>
      <c r="J964" s="22" t="n"/>
      <c r="K964" s="22" t="n"/>
      <c r="L964" s="22" t="n"/>
      <c r="M964" s="22" t="n"/>
      <c r="N964" s="22" t="n"/>
      <c r="O964" s="22" t="n"/>
      <c r="P964" s="22" t="n"/>
      <c r="Q964" s="22" t="n"/>
      <c r="R964" s="22" t="n"/>
      <c r="S964" s="22" t="n"/>
    </row>
    <row r="965">
      <c r="E965" s="22" t="n"/>
      <c r="F965" s="22" t="n"/>
      <c r="G965" s="22" t="n"/>
      <c r="H965" s="22" t="n"/>
      <c r="I965" s="22" t="n"/>
      <c r="J965" s="22" t="n"/>
      <c r="K965" s="22" t="n"/>
      <c r="L965" s="22" t="n"/>
      <c r="M965" s="22" t="n"/>
      <c r="N965" s="22" t="n"/>
      <c r="O965" s="22" t="n"/>
      <c r="P965" s="22" t="n"/>
      <c r="Q965" s="22" t="n"/>
      <c r="R965" s="22" t="n"/>
      <c r="S965" s="22" t="n"/>
    </row>
    <row r="966">
      <c r="E966" s="22" t="n"/>
      <c r="F966" s="22" t="n"/>
      <c r="G966" s="22" t="n"/>
      <c r="H966" s="22" t="n"/>
      <c r="I966" s="22" t="n"/>
      <c r="J966" s="22" t="n"/>
      <c r="K966" s="22" t="n"/>
      <c r="L966" s="22" t="n"/>
      <c r="M966" s="22" t="n"/>
      <c r="N966" s="22" t="n"/>
      <c r="O966" s="22" t="n"/>
      <c r="P966" s="22" t="n"/>
      <c r="Q966" s="22" t="n"/>
      <c r="R966" s="22" t="n"/>
      <c r="S966" s="22" t="n"/>
    </row>
    <row r="967">
      <c r="E967" s="22" t="n"/>
      <c r="F967" s="22" t="n"/>
      <c r="G967" s="22" t="n"/>
      <c r="H967" s="22" t="n"/>
      <c r="I967" s="22" t="n"/>
      <c r="J967" s="22" t="n"/>
      <c r="K967" s="22" t="n"/>
      <c r="L967" s="22" t="n"/>
      <c r="M967" s="22" t="n"/>
      <c r="N967" s="22" t="n"/>
      <c r="O967" s="22" t="n"/>
      <c r="P967" s="22" t="n"/>
      <c r="Q967" s="22" t="n"/>
      <c r="R967" s="22" t="n"/>
      <c r="S967" s="22" t="n"/>
    </row>
    <row r="968">
      <c r="E968" s="22" t="n"/>
      <c r="F968" s="22" t="n"/>
      <c r="G968" s="22" t="n"/>
      <c r="H968" s="22" t="n"/>
      <c r="I968" s="22" t="n"/>
      <c r="J968" s="22" t="n"/>
      <c r="K968" s="22" t="n"/>
      <c r="L968" s="22" t="n"/>
      <c r="M968" s="22" t="n"/>
      <c r="N968" s="22" t="n"/>
      <c r="O968" s="22" t="n"/>
      <c r="P968" s="22" t="n"/>
      <c r="Q968" s="22" t="n"/>
      <c r="R968" s="22" t="n"/>
      <c r="S968" s="22" t="n"/>
    </row>
    <row r="969">
      <c r="E969" s="22" t="n"/>
      <c r="F969" s="22" t="n"/>
      <c r="G969" s="22" t="n"/>
      <c r="H969" s="22" t="n"/>
      <c r="I969" s="22" t="n"/>
      <c r="J969" s="22" t="n"/>
      <c r="K969" s="22" t="n"/>
      <c r="L969" s="22" t="n"/>
      <c r="M969" s="22" t="n"/>
      <c r="N969" s="22" t="n"/>
      <c r="O969" s="22" t="n"/>
      <c r="P969" s="22" t="n"/>
      <c r="Q969" s="22" t="n"/>
      <c r="R969" s="22" t="n"/>
      <c r="S969" s="22" t="n"/>
    </row>
    <row r="970">
      <c r="E970" s="22" t="n"/>
      <c r="F970" s="22" t="n"/>
      <c r="G970" s="22" t="n"/>
      <c r="H970" s="22" t="n"/>
      <c r="I970" s="22" t="n"/>
      <c r="J970" s="22" t="n"/>
      <c r="K970" s="22" t="n"/>
      <c r="L970" s="22" t="n"/>
      <c r="M970" s="22" t="n"/>
      <c r="N970" s="22" t="n"/>
      <c r="O970" s="22" t="n"/>
      <c r="P970" s="22" t="n"/>
      <c r="Q970" s="22" t="n"/>
      <c r="R970" s="22" t="n"/>
      <c r="S970" s="22" t="n"/>
    </row>
    <row r="971">
      <c r="E971" s="22" t="n"/>
      <c r="F971" s="22" t="n"/>
      <c r="G971" s="22" t="n"/>
      <c r="H971" s="22" t="n"/>
      <c r="I971" s="22" t="n"/>
      <c r="J971" s="22" t="n"/>
      <c r="K971" s="22" t="n"/>
      <c r="L971" s="22" t="n"/>
      <c r="M971" s="22" t="n"/>
      <c r="N971" s="22" t="n"/>
      <c r="O971" s="22" t="n"/>
      <c r="P971" s="22" t="n"/>
      <c r="Q971" s="22" t="n"/>
      <c r="R971" s="22" t="n"/>
      <c r="S971" s="22" t="n"/>
    </row>
    <row r="972">
      <c r="E972" s="22" t="n"/>
      <c r="F972" s="22" t="n"/>
      <c r="G972" s="22" t="n"/>
      <c r="H972" s="22" t="n"/>
      <c r="I972" s="22" t="n"/>
      <c r="J972" s="22" t="n"/>
      <c r="K972" s="22" t="n"/>
      <c r="L972" s="22" t="n"/>
      <c r="M972" s="22" t="n"/>
      <c r="N972" s="22" t="n"/>
      <c r="O972" s="22" t="n"/>
      <c r="P972" s="22" t="n"/>
      <c r="Q972" s="22" t="n"/>
      <c r="R972" s="22" t="n"/>
      <c r="S972" s="22" t="n"/>
    </row>
    <row r="973">
      <c r="E973" s="22" t="n"/>
      <c r="F973" s="22" t="n"/>
      <c r="G973" s="22" t="n"/>
      <c r="H973" s="22" t="n"/>
      <c r="I973" s="22" t="n"/>
      <c r="J973" s="22" t="n"/>
      <c r="K973" s="22" t="n"/>
      <c r="L973" s="22" t="n"/>
      <c r="M973" s="22" t="n"/>
      <c r="N973" s="22" t="n"/>
      <c r="O973" s="22" t="n"/>
      <c r="P973" s="22" t="n"/>
      <c r="Q973" s="22" t="n"/>
      <c r="R973" s="22" t="n"/>
      <c r="S973" s="22" t="n"/>
    </row>
    <row r="974">
      <c r="E974" s="22" t="n"/>
      <c r="F974" s="22" t="n"/>
      <c r="G974" s="22" t="n"/>
      <c r="H974" s="22" t="n"/>
      <c r="I974" s="22" t="n"/>
      <c r="J974" s="22" t="n"/>
      <c r="K974" s="22" t="n"/>
      <c r="L974" s="22" t="n"/>
      <c r="M974" s="22" t="n"/>
      <c r="N974" s="22" t="n"/>
      <c r="O974" s="22" t="n"/>
      <c r="P974" s="22" t="n"/>
      <c r="Q974" s="22" t="n"/>
      <c r="R974" s="22" t="n"/>
      <c r="S974" s="22" t="n"/>
    </row>
    <row r="975">
      <c r="E975" s="22" t="n"/>
      <c r="F975" s="22" t="n"/>
      <c r="G975" s="22" t="n"/>
      <c r="H975" s="22" t="n"/>
      <c r="I975" s="22" t="n"/>
      <c r="J975" s="22" t="n"/>
      <c r="K975" s="22" t="n"/>
      <c r="L975" s="22" t="n"/>
      <c r="M975" s="22" t="n"/>
      <c r="N975" s="22" t="n"/>
      <c r="O975" s="22" t="n"/>
      <c r="P975" s="22" t="n"/>
      <c r="Q975" s="22" t="n"/>
      <c r="R975" s="22" t="n"/>
      <c r="S975" s="22" t="n"/>
    </row>
    <row r="976">
      <c r="E976" s="22" t="n"/>
      <c r="F976" s="22" t="n"/>
      <c r="G976" s="22" t="n"/>
      <c r="H976" s="22" t="n"/>
      <c r="I976" s="22" t="n"/>
      <c r="J976" s="22" t="n"/>
      <c r="K976" s="22" t="n"/>
      <c r="L976" s="22" t="n"/>
      <c r="M976" s="22" t="n"/>
      <c r="N976" s="22" t="n"/>
      <c r="O976" s="22" t="n"/>
      <c r="P976" s="22" t="n"/>
      <c r="Q976" s="22" t="n"/>
      <c r="R976" s="22" t="n"/>
      <c r="S976" s="22" t="n"/>
    </row>
    <row r="977">
      <c r="E977" s="22" t="n"/>
      <c r="F977" s="22" t="n"/>
      <c r="G977" s="22" t="n"/>
      <c r="H977" s="22" t="n"/>
      <c r="I977" s="22" t="n"/>
      <c r="J977" s="22" t="n"/>
      <c r="K977" s="22" t="n"/>
      <c r="L977" s="22" t="n"/>
      <c r="M977" s="22" t="n"/>
      <c r="N977" s="22" t="n"/>
      <c r="O977" s="22" t="n"/>
      <c r="P977" s="22" t="n"/>
      <c r="Q977" s="22" t="n"/>
      <c r="R977" s="22" t="n"/>
      <c r="S977" s="22" t="n"/>
    </row>
    <row r="978">
      <c r="E978" s="22" t="n"/>
      <c r="F978" s="22" t="n"/>
      <c r="G978" s="22" t="n"/>
      <c r="H978" s="22" t="n"/>
      <c r="I978" s="22" t="n"/>
      <c r="J978" s="22" t="n"/>
      <c r="K978" s="22" t="n"/>
      <c r="L978" s="22" t="n"/>
      <c r="M978" s="22" t="n"/>
      <c r="N978" s="22" t="n"/>
      <c r="O978" s="22" t="n"/>
      <c r="P978" s="22" t="n"/>
      <c r="Q978" s="22" t="n"/>
      <c r="R978" s="22" t="n"/>
      <c r="S978" s="22" t="n"/>
    </row>
    <row r="979">
      <c r="E979" s="22" t="n"/>
      <c r="F979" s="22" t="n"/>
      <c r="G979" s="22" t="n"/>
      <c r="H979" s="22" t="n"/>
      <c r="I979" s="22" t="n"/>
      <c r="J979" s="22" t="n"/>
      <c r="K979" s="22" t="n"/>
      <c r="L979" s="22" t="n"/>
      <c r="M979" s="22" t="n"/>
      <c r="N979" s="22" t="n"/>
      <c r="O979" s="22" t="n"/>
      <c r="P979" s="22" t="n"/>
      <c r="Q979" s="22" t="n"/>
      <c r="R979" s="22" t="n"/>
      <c r="S979" s="22" t="n"/>
    </row>
    <row r="980">
      <c r="E980" s="22" t="n"/>
      <c r="F980" s="22" t="n"/>
      <c r="G980" s="22" t="n"/>
      <c r="H980" s="22" t="n"/>
      <c r="I980" s="22" t="n"/>
      <c r="J980" s="22" t="n"/>
      <c r="K980" s="22" t="n"/>
      <c r="L980" s="22" t="n"/>
      <c r="M980" s="22" t="n"/>
      <c r="N980" s="22" t="n"/>
      <c r="O980" s="22" t="n"/>
      <c r="P980" s="22" t="n"/>
      <c r="Q980" s="22" t="n"/>
      <c r="R980" s="22" t="n"/>
      <c r="S980" s="22" t="n"/>
    </row>
    <row r="981">
      <c r="E981" s="22" t="n"/>
      <c r="F981" s="22" t="n"/>
      <c r="G981" s="22" t="n"/>
      <c r="H981" s="22" t="n"/>
      <c r="I981" s="22" t="n"/>
      <c r="J981" s="22" t="n"/>
      <c r="K981" s="22" t="n"/>
      <c r="L981" s="22" t="n"/>
      <c r="M981" s="22" t="n"/>
      <c r="N981" s="22" t="n"/>
      <c r="O981" s="22" t="n"/>
      <c r="P981" s="22" t="n"/>
      <c r="Q981" s="22" t="n"/>
      <c r="R981" s="22" t="n"/>
      <c r="S981" s="22" t="n"/>
    </row>
    <row r="982">
      <c r="E982" s="22" t="n"/>
      <c r="F982" s="22" t="n"/>
      <c r="G982" s="22" t="n"/>
      <c r="H982" s="22" t="n"/>
      <c r="I982" s="22" t="n"/>
      <c r="J982" s="22" t="n"/>
      <c r="K982" s="22" t="n"/>
      <c r="L982" s="22" t="n"/>
      <c r="M982" s="22" t="n"/>
      <c r="N982" s="22" t="n"/>
      <c r="O982" s="22" t="n"/>
      <c r="P982" s="22" t="n"/>
      <c r="Q982" s="22" t="n"/>
      <c r="R982" s="22" t="n"/>
      <c r="S982" s="22" t="n"/>
    </row>
    <row r="983">
      <c r="E983" s="22" t="n"/>
      <c r="F983" s="22" t="n"/>
      <c r="G983" s="22" t="n"/>
      <c r="H983" s="22" t="n"/>
      <c r="I983" s="22" t="n"/>
      <c r="J983" s="22" t="n"/>
      <c r="K983" s="22" t="n"/>
      <c r="L983" s="22" t="n"/>
      <c r="M983" s="22" t="n"/>
      <c r="N983" s="22" t="n"/>
      <c r="O983" s="22" t="n"/>
      <c r="P983" s="22" t="n"/>
      <c r="Q983" s="22" t="n"/>
      <c r="R983" s="22" t="n"/>
      <c r="S983" s="22" t="n"/>
    </row>
    <row r="984">
      <c r="E984" s="22" t="n"/>
      <c r="F984" s="22" t="n"/>
      <c r="G984" s="22" t="n"/>
      <c r="H984" s="22" t="n"/>
      <c r="I984" s="22" t="n"/>
      <c r="J984" s="22" t="n"/>
      <c r="K984" s="22" t="n"/>
      <c r="L984" s="22" t="n"/>
      <c r="M984" s="22" t="n"/>
      <c r="N984" s="22" t="n"/>
      <c r="O984" s="22" t="n"/>
      <c r="P984" s="22" t="n"/>
      <c r="Q984" s="22" t="n"/>
      <c r="R984" s="22" t="n"/>
      <c r="S984" s="22" t="n"/>
    </row>
    <row r="985">
      <c r="E985" s="22" t="n"/>
      <c r="F985" s="22" t="n"/>
      <c r="G985" s="22" t="n"/>
      <c r="H985" s="22" t="n"/>
      <c r="I985" s="22" t="n"/>
      <c r="J985" s="22" t="n"/>
      <c r="K985" s="22" t="n"/>
      <c r="L985" s="22" t="n"/>
      <c r="M985" s="22" t="n"/>
      <c r="N985" s="22" t="n"/>
      <c r="O985" s="22" t="n"/>
      <c r="P985" s="22" t="n"/>
      <c r="Q985" s="22" t="n"/>
      <c r="R985" s="22" t="n"/>
      <c r="S985" s="22" t="n"/>
    </row>
    <row r="986">
      <c r="E986" s="22" t="n"/>
      <c r="F986" s="22" t="n"/>
      <c r="G986" s="22" t="n"/>
      <c r="H986" s="22" t="n"/>
      <c r="I986" s="22" t="n"/>
      <c r="J986" s="22" t="n"/>
      <c r="K986" s="22" t="n"/>
      <c r="L986" s="22" t="n"/>
      <c r="M986" s="22" t="n"/>
      <c r="N986" s="22" t="n"/>
      <c r="O986" s="22" t="n"/>
      <c r="P986" s="22" t="n"/>
      <c r="Q986" s="22" t="n"/>
      <c r="R986" s="22" t="n"/>
      <c r="S986" s="22" t="n"/>
    </row>
    <row r="987">
      <c r="E987" s="22" t="n"/>
      <c r="F987" s="22" t="n"/>
      <c r="G987" s="22" t="n"/>
      <c r="H987" s="22" t="n"/>
      <c r="I987" s="22" t="n"/>
      <c r="J987" s="22" t="n"/>
      <c r="K987" s="22" t="n"/>
      <c r="L987" s="22" t="n"/>
      <c r="M987" s="22" t="n"/>
      <c r="N987" s="22" t="n"/>
      <c r="O987" s="22" t="n"/>
      <c r="P987" s="22" t="n"/>
      <c r="Q987" s="22" t="n"/>
      <c r="R987" s="22" t="n"/>
      <c r="S987" s="22" t="n"/>
    </row>
    <row r="988">
      <c r="E988" s="22" t="n"/>
      <c r="F988" s="22" t="n"/>
      <c r="G988" s="22" t="n"/>
      <c r="H988" s="22" t="n"/>
      <c r="I988" s="22" t="n"/>
      <c r="J988" s="22" t="n"/>
      <c r="K988" s="22" t="n"/>
      <c r="L988" s="22" t="n"/>
      <c r="M988" s="22" t="n"/>
      <c r="N988" s="22" t="n"/>
      <c r="O988" s="22" t="n"/>
      <c r="P988" s="22" t="n"/>
      <c r="Q988" s="22" t="n"/>
      <c r="R988" s="22" t="n"/>
      <c r="S988" s="22" t="n"/>
    </row>
    <row r="989">
      <c r="E989" s="22" t="n"/>
      <c r="F989" s="22" t="n"/>
      <c r="G989" s="22" t="n"/>
      <c r="H989" s="22" t="n"/>
      <c r="I989" s="22" t="n"/>
      <c r="J989" s="22" t="n"/>
      <c r="K989" s="22" t="n"/>
      <c r="L989" s="22" t="n"/>
      <c r="M989" s="22" t="n"/>
      <c r="N989" s="22" t="n"/>
      <c r="O989" s="22" t="n"/>
      <c r="P989" s="22" t="n"/>
      <c r="Q989" s="22" t="n"/>
      <c r="R989" s="22" t="n"/>
      <c r="S989" s="22" t="n"/>
    </row>
    <row r="990">
      <c r="E990" s="22" t="n"/>
      <c r="F990" s="22" t="n"/>
      <c r="G990" s="22" t="n"/>
      <c r="H990" s="22" t="n"/>
      <c r="I990" s="22" t="n"/>
      <c r="J990" s="22" t="n"/>
      <c r="K990" s="22" t="n"/>
      <c r="L990" s="22" t="n"/>
      <c r="M990" s="22" t="n"/>
      <c r="N990" s="22" t="n"/>
      <c r="O990" s="22" t="n"/>
      <c r="P990" s="22" t="n"/>
      <c r="Q990" s="22" t="n"/>
      <c r="R990" s="22" t="n"/>
      <c r="S990" s="22" t="n"/>
    </row>
    <row r="991">
      <c r="E991" s="22" t="n"/>
      <c r="F991" s="22" t="n"/>
      <c r="G991" s="22" t="n"/>
      <c r="H991" s="22" t="n"/>
      <c r="I991" s="22" t="n"/>
      <c r="J991" s="22" t="n"/>
      <c r="K991" s="22" t="n"/>
      <c r="L991" s="22" t="n"/>
      <c r="M991" s="22" t="n"/>
      <c r="N991" s="22" t="n"/>
      <c r="O991" s="22" t="n"/>
      <c r="P991" s="22" t="n"/>
      <c r="Q991" s="22" t="n"/>
      <c r="R991" s="22" t="n"/>
      <c r="S991" s="22" t="n"/>
    </row>
    <row r="992">
      <c r="E992" s="22" t="n"/>
      <c r="F992" s="22" t="n"/>
      <c r="G992" s="22" t="n"/>
      <c r="H992" s="22" t="n"/>
      <c r="I992" s="22" t="n"/>
      <c r="J992" s="22" t="n"/>
      <c r="K992" s="22" t="n"/>
      <c r="L992" s="22" t="n"/>
      <c r="M992" s="22" t="n"/>
      <c r="N992" s="22" t="n"/>
      <c r="O992" s="22" t="n"/>
      <c r="P992" s="22" t="n"/>
      <c r="Q992" s="22" t="n"/>
      <c r="R992" s="22" t="n"/>
      <c r="S992" s="22" t="n"/>
    </row>
    <row r="993">
      <c r="E993" s="22" t="n"/>
      <c r="F993" s="22" t="n"/>
      <c r="G993" s="22" t="n"/>
      <c r="H993" s="22" t="n"/>
      <c r="I993" s="22" t="n"/>
      <c r="J993" s="22" t="n"/>
      <c r="K993" s="22" t="n"/>
      <c r="L993" s="22" t="n"/>
      <c r="M993" s="22" t="n"/>
      <c r="N993" s="22" t="n"/>
      <c r="O993" s="22" t="n"/>
      <c r="P993" s="22" t="n"/>
      <c r="Q993" s="22" t="n"/>
      <c r="R993" s="22" t="n"/>
      <c r="S993" s="22" t="n"/>
    </row>
    <row r="994">
      <c r="E994" s="22" t="n"/>
      <c r="F994" s="22" t="n"/>
      <c r="G994" s="22" t="n"/>
      <c r="H994" s="22" t="n"/>
      <c r="I994" s="22" t="n"/>
      <c r="J994" s="22" t="n"/>
      <c r="K994" s="22" t="n"/>
      <c r="L994" s="22" t="n"/>
      <c r="M994" s="22" t="n"/>
      <c r="N994" s="22" t="n"/>
      <c r="O994" s="22" t="n"/>
      <c r="P994" s="22" t="n"/>
      <c r="Q994" s="22" t="n"/>
      <c r="R994" s="22" t="n"/>
      <c r="S994" s="22" t="n"/>
    </row>
    <row r="995">
      <c r="E995" s="22" t="n"/>
      <c r="F995" s="22" t="n"/>
      <c r="G995" s="22" t="n"/>
      <c r="H995" s="22" t="n"/>
      <c r="I995" s="22" t="n"/>
      <c r="J995" s="22" t="n"/>
      <c r="K995" s="22" t="n"/>
      <c r="L995" s="22" t="n"/>
      <c r="M995" s="22" t="n"/>
      <c r="N995" s="22" t="n"/>
      <c r="O995" s="22" t="n"/>
      <c r="P995" s="22" t="n"/>
      <c r="Q995" s="22" t="n"/>
      <c r="R995" s="22" t="n"/>
      <c r="S995" s="22" t="n"/>
    </row>
    <row r="996">
      <c r="E996" s="22" t="n"/>
      <c r="F996" s="22" t="n"/>
      <c r="G996" s="22" t="n"/>
      <c r="H996" s="22" t="n"/>
      <c r="I996" s="22" t="n"/>
      <c r="J996" s="22" t="n"/>
      <c r="K996" s="22" t="n"/>
      <c r="L996" s="22" t="n"/>
      <c r="M996" s="22" t="n"/>
      <c r="N996" s="22" t="n"/>
      <c r="O996" s="22" t="n"/>
      <c r="P996" s="22" t="n"/>
      <c r="Q996" s="22" t="n"/>
      <c r="R996" s="22" t="n"/>
      <c r="S996" s="22" t="n"/>
    </row>
    <row r="997">
      <c r="E997" s="22" t="n"/>
      <c r="F997" s="22" t="n"/>
      <c r="G997" s="22" t="n"/>
      <c r="H997" s="22" t="n"/>
      <c r="I997" s="22" t="n"/>
      <c r="J997" s="22" t="n"/>
      <c r="K997" s="22" t="n"/>
      <c r="L997" s="22" t="n"/>
      <c r="M997" s="22" t="n"/>
      <c r="N997" s="22" t="n"/>
      <c r="O997" s="22" t="n"/>
      <c r="P997" s="22" t="n"/>
      <c r="Q997" s="22" t="n"/>
      <c r="R997" s="22" t="n"/>
      <c r="S997" s="22" t="n"/>
    </row>
    <row r="998">
      <c r="E998" s="22" t="n"/>
      <c r="F998" s="22" t="n"/>
      <c r="G998" s="22" t="n"/>
      <c r="H998" s="22" t="n"/>
      <c r="I998" s="22" t="n"/>
      <c r="J998" s="22" t="n"/>
      <c r="K998" s="22" t="n"/>
      <c r="L998" s="22" t="n"/>
      <c r="M998" s="22" t="n"/>
      <c r="N998" s="22" t="n"/>
      <c r="O998" s="22" t="n"/>
      <c r="P998" s="22" t="n"/>
      <c r="Q998" s="22" t="n"/>
      <c r="R998" s="22" t="n"/>
      <c r="S998" s="22" t="n"/>
    </row>
    <row r="999">
      <c r="E999" s="22" t="n"/>
      <c r="F999" s="22" t="n"/>
      <c r="G999" s="22" t="n"/>
      <c r="H999" s="22" t="n"/>
      <c r="I999" s="22" t="n"/>
      <c r="J999" s="22" t="n"/>
      <c r="K999" s="22" t="n"/>
      <c r="L999" s="22" t="n"/>
      <c r="M999" s="22" t="n"/>
      <c r="N999" s="22" t="n"/>
      <c r="O999" s="22" t="n"/>
      <c r="P999" s="22" t="n"/>
      <c r="Q999" s="22" t="n"/>
      <c r="R999" s="22" t="n"/>
      <c r="S999" s="22" t="n"/>
    </row>
    <row r="1000">
      <c r="E1000" s="22" t="n"/>
      <c r="F1000" s="22" t="n"/>
      <c r="G1000" s="22" t="n"/>
      <c r="H1000" s="22" t="n"/>
      <c r="I1000" s="22" t="n"/>
      <c r="J1000" s="22" t="n"/>
      <c r="K1000" s="22" t="n"/>
      <c r="L1000" s="22" t="n"/>
      <c r="M1000" s="22" t="n"/>
      <c r="N1000" s="22" t="n"/>
      <c r="O1000" s="22" t="n"/>
      <c r="P1000" s="22" t="n"/>
      <c r="Q1000" s="22" t="n"/>
      <c r="R1000" s="22" t="n"/>
      <c r="S1000" s="22" t="n"/>
    </row>
  </sheetData>
  <conditionalFormatting sqref="W3:W1000">
    <cfRule type="cellIs" priority="1" operator="equal" dxfId="0">
      <formula>"⚑"</formula>
    </cfRule>
  </conditionalFormatting>
  <conditionalFormatting sqref="X3:X1000">
    <cfRule type="cellIs" priority="2" operator="equal" dxfId="0">
      <formula>"⚑"</formula>
    </cfRule>
  </conditionalFormatting>
  <conditionalFormatting sqref="Y3:Y1000">
    <cfRule type="cellIs" priority="3" operator="equal" dxfId="0">
      <formula>"⚑"</formula>
    </cfRule>
  </conditionalFormatting>
  <conditionalFormatting sqref="Z3:Z1000">
    <cfRule type="cellIs" priority="4" operator="equal" dxfId="0">
      <formula>"⚑"</formula>
    </cfRule>
  </conditionalFormatting>
  <conditionalFormatting sqref="AA3:AA1000">
    <cfRule type="cellIs" priority="5" operator="equal" dxfId="0">
      <formula>"⚑"</formula>
    </cfRule>
  </conditionalFormatting>
  <conditionalFormatting sqref="AB3:AB1000">
    <cfRule type="cellIs" priority="6" operator="equal" dxfId="1">
      <formula>"Có"</formula>
    </cfRule>
    <cfRule type="cellIs" priority="7" operator="equal" dxfId="0">
      <formula>"Không"</formula>
    </cfRule>
  </conditionalFormatting>
  <dataValidations count="1">
    <dataValidation sqref="B3:B1000" showDropDown="0" showInputMessage="0" showErrorMessage="0" allowBlank="1" type="list">
      <formula1>=DS!$K$2:$K$4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12" customWidth="1" min="4" max="4"/>
    <col width="14" customWidth="1" min="5" max="5"/>
    <col width="14" customWidth="1" min="6" max="6"/>
    <col width="11" customWidth="1" min="7" max="7"/>
    <col width="16" customWidth="1" min="8" max="8"/>
    <col width="10" customWidth="1" min="9" max="9"/>
    <col width="9" customWidth="1" min="10" max="10"/>
    <col width="9" customWidth="1" min="11" max="11"/>
    <col width="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9" customWidth="1" min="20" max="20"/>
    <col width="9" customWidth="1" min="21" max="21"/>
    <col width="10" customWidth="1" min="22" max="22"/>
    <col width="10" customWidth="1" min="23" max="23"/>
    <col width="10" customWidth="1" min="24" max="24"/>
    <col width="36" customWidth="1" min="25" max="25"/>
  </cols>
  <sheetData>
    <row r="1">
      <c r="A1" s="4" t="inlineStr">
        <is>
          <t>SOP-B · Case hậu mãi — mỗi case một dòng · đóng case phải có nguyên nhân gốc</t>
        </is>
      </c>
    </row>
    <row r="2" ht="42" customHeight="1">
      <c r="A2" s="16" t="inlineStr">
        <is>
          <t>Mã case</t>
        </is>
      </c>
      <c r="B2" s="16" t="inlineStr">
        <is>
          <t>Mã đơn</t>
        </is>
      </c>
      <c r="C2" s="16" t="inlineStr">
        <is>
          <t>Loại</t>
        </is>
      </c>
      <c r="D2" s="16" t="inlineStr">
        <is>
          <t>Kênh</t>
        </is>
      </c>
      <c r="E2" s="16" t="inlineStr">
        <is>
          <t>Mở lúc</t>
        </is>
      </c>
      <c r="F2" s="16" t="inlineStr">
        <is>
          <t>Phản hồi đầu lúc</t>
        </is>
      </c>
      <c r="G2" s="16" t="inlineStr">
        <is>
          <t>Đủ bằng chứng</t>
        </is>
      </c>
      <c r="H2" s="16" t="inlineStr">
        <is>
          <t>Giải pháp</t>
        </is>
      </c>
      <c r="I2" s="16" t="inlineStr">
        <is>
          <t>Đền bù / hoàn (A$)</t>
        </is>
      </c>
      <c r="J2" s="17" t="inlineStr">
        <is>
          <t>Cấp duyệt cần</t>
        </is>
      </c>
      <c r="K2" s="20" t="inlineStr">
        <is>
          <t>Người duyệt</t>
        </is>
      </c>
      <c r="L2" s="17" t="inlineStr">
        <is>
          <t>Đúng cấp?</t>
        </is>
      </c>
      <c r="M2" s="18" t="inlineStr">
        <is>
          <t>Thực thi xong</t>
        </is>
      </c>
      <c r="N2" s="21" t="inlineStr">
        <is>
          <t>Ngày hoàn tiền</t>
        </is>
      </c>
      <c r="O2" s="16" t="inlineStr">
        <is>
          <t>Đóng case</t>
        </is>
      </c>
      <c r="P2" s="20" t="inlineStr">
        <is>
          <t>Nguyên nhân gốc</t>
        </is>
      </c>
      <c r="Q2" s="18" t="inlineStr">
        <is>
          <t>Thu hồi từ</t>
        </is>
      </c>
      <c r="R2" s="21" t="inlineStr">
        <is>
          <t>Số thu hồi (A$)</t>
        </is>
      </c>
      <c r="S2" s="17" t="inlineStr">
        <is>
          <t>Chi phí ròng (A$)</t>
        </is>
      </c>
      <c r="T2" s="17" t="inlineStr">
        <is>
          <t>Giờ phản hồi</t>
        </is>
      </c>
      <c r="U2" s="17" t="inlineStr">
        <is>
          <t>Số ngày mở</t>
        </is>
      </c>
      <c r="V2" s="17" t="inlineStr">
        <is>
          <t>⚑ Phản hồi &gt;24h</t>
        </is>
      </c>
      <c r="W2" s="17" t="inlineStr">
        <is>
          <t>⚑ Mở &gt;7 ngày</t>
        </is>
      </c>
      <c r="X2" s="17" t="inlineStr">
        <is>
          <t>⚑ Duyệt sai cấp</t>
        </is>
      </c>
      <c r="Y2" s="16" t="inlineStr">
        <is>
          <t>Ghi chú (không ghi dữ liệu cá nhân)</t>
        </is>
      </c>
    </row>
    <row r="3">
      <c r="E3" s="23" t="n"/>
      <c r="F3" s="23" t="n"/>
      <c r="G3" s="22" t="n"/>
      <c r="J3">
        <f>ARRAYFORMULA(IF(I3:I1000="","",IF((I3:I1000&gt;150)+(H3:H1000="R4 Hoàn 100%"),"CEO",IF(I3:I1000&gt;50,"OPS","CX"))))</f>
        <v/>
      </c>
      <c r="L3">
        <f>ARRAYFORMULA(IF((J3:J1000="")+(K3:K1000=""),"",IF(IFERROR(MATCH(K3:K1000,DS!$H$2:$H$4,0),0)&gt;=IFERROR(MATCH(J3:J1000,DS!$H$2:$H$4,0),9),"✓","✗")))</f>
        <v/>
      </c>
      <c r="M3" s="22" t="n"/>
      <c r="N3" s="22" t="n"/>
      <c r="O3" s="22" t="n"/>
      <c r="S3">
        <f>ARRAYFORMULA(IF(A3:A1000="","",IFERROR(I3:I1000*1,0)-IFERROR(R3:R1000*1,0)))</f>
        <v/>
      </c>
      <c r="T3">
        <f>ARRAYFORMULA(IF((E3:E1000="")+(F3:F1000=""),"",ROUND((F3:F1000-E3:E1000)*24,1)))</f>
        <v/>
      </c>
      <c r="U3">
        <f>ARRAYFORMULA(IF(E3:E1000="","",INT(IF(O3:O1000="",NOW(),O3:O1000)-E3:E1000)))</f>
        <v/>
      </c>
      <c r="V3">
        <f>ARRAYFORMULA(IF(E3:E1000="","",IF(F3:F1000="",IF((NOW()-E3:E1000)*24&gt;24,"⚑",""),IF((F3:F1000-E3:E1000)*24&gt;24,"⚑",""))))</f>
        <v/>
      </c>
      <c r="W3">
        <f>ARRAYFORMULA(IF((E3:E1000="")+(O3:O1000&lt;&gt;""),"",IF(NOW()-E3:E1000&gt;7,"⚑","")))</f>
        <v/>
      </c>
      <c r="X3">
        <f>ARRAYFORMULA(IF(L3:L1000="✗","⚑",""))</f>
        <v/>
      </c>
    </row>
    <row r="4">
      <c r="E4" s="23" t="n"/>
      <c r="F4" s="23" t="n"/>
      <c r="G4" s="22" t="n"/>
      <c r="M4" s="22" t="n"/>
      <c r="N4" s="22" t="n"/>
      <c r="O4" s="22" t="n"/>
    </row>
    <row r="5">
      <c r="E5" s="23" t="n"/>
      <c r="F5" s="23" t="n"/>
      <c r="G5" s="22" t="n"/>
      <c r="M5" s="22" t="n"/>
      <c r="N5" s="22" t="n"/>
      <c r="O5" s="22" t="n"/>
    </row>
    <row r="6">
      <c r="E6" s="23" t="n"/>
      <c r="F6" s="23" t="n"/>
      <c r="G6" s="22" t="n"/>
      <c r="M6" s="22" t="n"/>
      <c r="N6" s="22" t="n"/>
      <c r="O6" s="22" t="n"/>
    </row>
    <row r="7">
      <c r="E7" s="23" t="n"/>
      <c r="F7" s="23" t="n"/>
      <c r="G7" s="22" t="n"/>
      <c r="M7" s="22" t="n"/>
      <c r="N7" s="22" t="n"/>
      <c r="O7" s="22" t="n"/>
    </row>
    <row r="8">
      <c r="E8" s="23" t="n"/>
      <c r="F8" s="23" t="n"/>
      <c r="G8" s="22" t="n"/>
      <c r="M8" s="22" t="n"/>
      <c r="N8" s="22" t="n"/>
      <c r="O8" s="22" t="n"/>
    </row>
    <row r="9">
      <c r="E9" s="23" t="n"/>
      <c r="F9" s="23" t="n"/>
      <c r="G9" s="22" t="n"/>
      <c r="M9" s="22" t="n"/>
      <c r="N9" s="22" t="n"/>
      <c r="O9" s="22" t="n"/>
    </row>
    <row r="10">
      <c r="E10" s="23" t="n"/>
      <c r="F10" s="23" t="n"/>
      <c r="G10" s="22" t="n"/>
      <c r="M10" s="22" t="n"/>
      <c r="N10" s="22" t="n"/>
      <c r="O10" s="22" t="n"/>
    </row>
    <row r="11">
      <c r="E11" s="23" t="n"/>
      <c r="F11" s="23" t="n"/>
      <c r="G11" s="22" t="n"/>
      <c r="M11" s="22" t="n"/>
      <c r="N11" s="22" t="n"/>
      <c r="O11" s="22" t="n"/>
    </row>
    <row r="12">
      <c r="E12" s="23" t="n"/>
      <c r="F12" s="23" t="n"/>
      <c r="G12" s="22" t="n"/>
      <c r="M12" s="22" t="n"/>
      <c r="N12" s="22" t="n"/>
      <c r="O12" s="22" t="n"/>
    </row>
    <row r="13">
      <c r="E13" s="23" t="n"/>
      <c r="F13" s="23" t="n"/>
      <c r="G13" s="22" t="n"/>
      <c r="M13" s="22" t="n"/>
      <c r="N13" s="22" t="n"/>
      <c r="O13" s="22" t="n"/>
    </row>
    <row r="14">
      <c r="E14" s="23" t="n"/>
      <c r="F14" s="23" t="n"/>
      <c r="G14" s="22" t="n"/>
      <c r="M14" s="22" t="n"/>
      <c r="N14" s="22" t="n"/>
      <c r="O14" s="22" t="n"/>
    </row>
    <row r="15">
      <c r="E15" s="23" t="n"/>
      <c r="F15" s="23" t="n"/>
      <c r="G15" s="22" t="n"/>
      <c r="M15" s="22" t="n"/>
      <c r="N15" s="22" t="n"/>
      <c r="O15" s="22" t="n"/>
    </row>
    <row r="16">
      <c r="E16" s="23" t="n"/>
      <c r="F16" s="23" t="n"/>
      <c r="G16" s="22" t="n"/>
      <c r="M16" s="22" t="n"/>
      <c r="N16" s="22" t="n"/>
      <c r="O16" s="22" t="n"/>
    </row>
    <row r="17">
      <c r="E17" s="23" t="n"/>
      <c r="F17" s="23" t="n"/>
      <c r="G17" s="22" t="n"/>
      <c r="M17" s="22" t="n"/>
      <c r="N17" s="22" t="n"/>
      <c r="O17" s="22" t="n"/>
    </row>
    <row r="18">
      <c r="E18" s="23" t="n"/>
      <c r="F18" s="23" t="n"/>
      <c r="G18" s="22" t="n"/>
      <c r="M18" s="22" t="n"/>
      <c r="N18" s="22" t="n"/>
      <c r="O18" s="22" t="n"/>
    </row>
    <row r="19">
      <c r="E19" s="23" t="n"/>
      <c r="F19" s="23" t="n"/>
      <c r="G19" s="22" t="n"/>
      <c r="M19" s="22" t="n"/>
      <c r="N19" s="22" t="n"/>
      <c r="O19" s="22" t="n"/>
    </row>
    <row r="20">
      <c r="E20" s="23" t="n"/>
      <c r="F20" s="23" t="n"/>
      <c r="G20" s="22" t="n"/>
      <c r="M20" s="22" t="n"/>
      <c r="N20" s="22" t="n"/>
      <c r="O20" s="22" t="n"/>
    </row>
    <row r="21">
      <c r="E21" s="23" t="n"/>
      <c r="F21" s="23" t="n"/>
      <c r="G21" s="22" t="n"/>
      <c r="M21" s="22" t="n"/>
      <c r="N21" s="22" t="n"/>
      <c r="O21" s="22" t="n"/>
    </row>
    <row r="22">
      <c r="E22" s="23" t="n"/>
      <c r="F22" s="23" t="n"/>
      <c r="G22" s="22" t="n"/>
      <c r="M22" s="22" t="n"/>
      <c r="N22" s="22" t="n"/>
      <c r="O22" s="22" t="n"/>
    </row>
    <row r="23">
      <c r="E23" s="23" t="n"/>
      <c r="F23" s="23" t="n"/>
      <c r="G23" s="22" t="n"/>
      <c r="M23" s="22" t="n"/>
      <c r="N23" s="22" t="n"/>
      <c r="O23" s="22" t="n"/>
    </row>
    <row r="24">
      <c r="E24" s="23" t="n"/>
      <c r="F24" s="23" t="n"/>
      <c r="G24" s="22" t="n"/>
      <c r="M24" s="22" t="n"/>
      <c r="N24" s="22" t="n"/>
      <c r="O24" s="22" t="n"/>
    </row>
    <row r="25">
      <c r="E25" s="23" t="n"/>
      <c r="F25" s="23" t="n"/>
      <c r="G25" s="22" t="n"/>
      <c r="M25" s="22" t="n"/>
      <c r="N25" s="22" t="n"/>
      <c r="O25" s="22" t="n"/>
    </row>
    <row r="26">
      <c r="E26" s="23" t="n"/>
      <c r="F26" s="23" t="n"/>
      <c r="G26" s="22" t="n"/>
      <c r="M26" s="22" t="n"/>
      <c r="N26" s="22" t="n"/>
      <c r="O26" s="22" t="n"/>
    </row>
    <row r="27">
      <c r="E27" s="23" t="n"/>
      <c r="F27" s="23" t="n"/>
      <c r="G27" s="22" t="n"/>
      <c r="M27" s="22" t="n"/>
      <c r="N27" s="22" t="n"/>
      <c r="O27" s="22" t="n"/>
    </row>
    <row r="28">
      <c r="E28" s="23" t="n"/>
      <c r="F28" s="23" t="n"/>
      <c r="G28" s="22" t="n"/>
      <c r="M28" s="22" t="n"/>
      <c r="N28" s="22" t="n"/>
      <c r="O28" s="22" t="n"/>
    </row>
    <row r="29">
      <c r="E29" s="23" t="n"/>
      <c r="F29" s="23" t="n"/>
      <c r="G29" s="22" t="n"/>
      <c r="M29" s="22" t="n"/>
      <c r="N29" s="22" t="n"/>
      <c r="O29" s="22" t="n"/>
    </row>
    <row r="30">
      <c r="E30" s="23" t="n"/>
      <c r="F30" s="23" t="n"/>
      <c r="G30" s="22" t="n"/>
      <c r="M30" s="22" t="n"/>
      <c r="N30" s="22" t="n"/>
      <c r="O30" s="22" t="n"/>
    </row>
    <row r="31">
      <c r="E31" s="23" t="n"/>
      <c r="F31" s="23" t="n"/>
      <c r="G31" s="22" t="n"/>
      <c r="M31" s="22" t="n"/>
      <c r="N31" s="22" t="n"/>
      <c r="O31" s="22" t="n"/>
    </row>
    <row r="32">
      <c r="E32" s="23" t="n"/>
      <c r="F32" s="23" t="n"/>
      <c r="G32" s="22" t="n"/>
      <c r="M32" s="22" t="n"/>
      <c r="N32" s="22" t="n"/>
      <c r="O32" s="22" t="n"/>
    </row>
    <row r="33">
      <c r="E33" s="23" t="n"/>
      <c r="F33" s="23" t="n"/>
      <c r="G33" s="22" t="n"/>
      <c r="M33" s="22" t="n"/>
      <c r="N33" s="22" t="n"/>
      <c r="O33" s="22" t="n"/>
    </row>
    <row r="34">
      <c r="E34" s="23" t="n"/>
      <c r="F34" s="23" t="n"/>
      <c r="G34" s="22" t="n"/>
      <c r="M34" s="22" t="n"/>
      <c r="N34" s="22" t="n"/>
      <c r="O34" s="22" t="n"/>
    </row>
    <row r="35">
      <c r="E35" s="23" t="n"/>
      <c r="F35" s="23" t="n"/>
      <c r="G35" s="22" t="n"/>
      <c r="M35" s="22" t="n"/>
      <c r="N35" s="22" t="n"/>
      <c r="O35" s="22" t="n"/>
    </row>
    <row r="36">
      <c r="E36" s="23" t="n"/>
      <c r="F36" s="23" t="n"/>
      <c r="G36" s="22" t="n"/>
      <c r="M36" s="22" t="n"/>
      <c r="N36" s="22" t="n"/>
      <c r="O36" s="22" t="n"/>
    </row>
    <row r="37">
      <c r="E37" s="23" t="n"/>
      <c r="F37" s="23" t="n"/>
      <c r="G37" s="22" t="n"/>
      <c r="M37" s="22" t="n"/>
      <c r="N37" s="22" t="n"/>
      <c r="O37" s="22" t="n"/>
    </row>
    <row r="38">
      <c r="E38" s="23" t="n"/>
      <c r="F38" s="23" t="n"/>
      <c r="G38" s="22" t="n"/>
      <c r="M38" s="22" t="n"/>
      <c r="N38" s="22" t="n"/>
      <c r="O38" s="22" t="n"/>
    </row>
    <row r="39">
      <c r="E39" s="23" t="n"/>
      <c r="F39" s="23" t="n"/>
      <c r="G39" s="22" t="n"/>
      <c r="M39" s="22" t="n"/>
      <c r="N39" s="22" t="n"/>
      <c r="O39" s="22" t="n"/>
    </row>
    <row r="40">
      <c r="E40" s="23" t="n"/>
      <c r="F40" s="23" t="n"/>
      <c r="G40" s="22" t="n"/>
      <c r="M40" s="22" t="n"/>
      <c r="N40" s="22" t="n"/>
      <c r="O40" s="22" t="n"/>
    </row>
    <row r="41">
      <c r="E41" s="23" t="n"/>
      <c r="F41" s="23" t="n"/>
      <c r="G41" s="22" t="n"/>
      <c r="M41" s="22" t="n"/>
      <c r="N41" s="22" t="n"/>
      <c r="O41" s="22" t="n"/>
    </row>
    <row r="42">
      <c r="E42" s="23" t="n"/>
      <c r="F42" s="23" t="n"/>
      <c r="G42" s="22" t="n"/>
      <c r="M42" s="22" t="n"/>
      <c r="N42" s="22" t="n"/>
      <c r="O42" s="22" t="n"/>
    </row>
    <row r="43">
      <c r="E43" s="23" t="n"/>
      <c r="F43" s="23" t="n"/>
      <c r="G43" s="22" t="n"/>
      <c r="M43" s="22" t="n"/>
      <c r="N43" s="22" t="n"/>
      <c r="O43" s="22" t="n"/>
    </row>
    <row r="44">
      <c r="E44" s="23" t="n"/>
      <c r="F44" s="23" t="n"/>
      <c r="G44" s="22" t="n"/>
      <c r="M44" s="22" t="n"/>
      <c r="N44" s="22" t="n"/>
      <c r="O44" s="22" t="n"/>
    </row>
    <row r="45">
      <c r="E45" s="23" t="n"/>
      <c r="F45" s="23" t="n"/>
      <c r="G45" s="22" t="n"/>
      <c r="M45" s="22" t="n"/>
      <c r="N45" s="22" t="n"/>
      <c r="O45" s="22" t="n"/>
    </row>
    <row r="46">
      <c r="E46" s="23" t="n"/>
      <c r="F46" s="23" t="n"/>
      <c r="G46" s="22" t="n"/>
      <c r="M46" s="22" t="n"/>
      <c r="N46" s="22" t="n"/>
      <c r="O46" s="22" t="n"/>
    </row>
    <row r="47">
      <c r="E47" s="23" t="n"/>
      <c r="F47" s="23" t="n"/>
      <c r="G47" s="22" t="n"/>
      <c r="M47" s="22" t="n"/>
      <c r="N47" s="22" t="n"/>
      <c r="O47" s="22" t="n"/>
    </row>
    <row r="48">
      <c r="E48" s="23" t="n"/>
      <c r="F48" s="23" t="n"/>
      <c r="G48" s="22" t="n"/>
      <c r="M48" s="22" t="n"/>
      <c r="N48" s="22" t="n"/>
      <c r="O48" s="22" t="n"/>
    </row>
    <row r="49">
      <c r="E49" s="23" t="n"/>
      <c r="F49" s="23" t="n"/>
      <c r="G49" s="22" t="n"/>
      <c r="M49" s="22" t="n"/>
      <c r="N49" s="22" t="n"/>
      <c r="O49" s="22" t="n"/>
    </row>
    <row r="50">
      <c r="E50" s="23" t="n"/>
      <c r="F50" s="23" t="n"/>
      <c r="G50" s="22" t="n"/>
      <c r="M50" s="22" t="n"/>
      <c r="N50" s="22" t="n"/>
      <c r="O50" s="22" t="n"/>
    </row>
    <row r="51">
      <c r="E51" s="23" t="n"/>
      <c r="F51" s="23" t="n"/>
      <c r="G51" s="22" t="n"/>
      <c r="M51" s="22" t="n"/>
      <c r="N51" s="22" t="n"/>
      <c r="O51" s="22" t="n"/>
    </row>
    <row r="52">
      <c r="E52" s="23" t="n"/>
      <c r="F52" s="23" t="n"/>
      <c r="G52" s="22" t="n"/>
      <c r="M52" s="22" t="n"/>
      <c r="N52" s="22" t="n"/>
      <c r="O52" s="22" t="n"/>
    </row>
    <row r="53">
      <c r="E53" s="23" t="n"/>
      <c r="F53" s="23" t="n"/>
      <c r="G53" s="22" t="n"/>
      <c r="M53" s="22" t="n"/>
      <c r="N53" s="22" t="n"/>
      <c r="O53" s="22" t="n"/>
    </row>
    <row r="54">
      <c r="E54" s="23" t="n"/>
      <c r="F54" s="23" t="n"/>
      <c r="G54" s="22" t="n"/>
      <c r="M54" s="22" t="n"/>
      <c r="N54" s="22" t="n"/>
      <c r="O54" s="22" t="n"/>
    </row>
    <row r="55">
      <c r="E55" s="23" t="n"/>
      <c r="F55" s="23" t="n"/>
      <c r="G55" s="22" t="n"/>
      <c r="M55" s="22" t="n"/>
      <c r="N55" s="22" t="n"/>
      <c r="O55" s="22" t="n"/>
    </row>
    <row r="56">
      <c r="E56" s="23" t="n"/>
      <c r="F56" s="23" t="n"/>
      <c r="G56" s="22" t="n"/>
      <c r="M56" s="22" t="n"/>
      <c r="N56" s="22" t="n"/>
      <c r="O56" s="22" t="n"/>
    </row>
    <row r="57">
      <c r="E57" s="23" t="n"/>
      <c r="F57" s="23" t="n"/>
      <c r="G57" s="22" t="n"/>
      <c r="M57" s="22" t="n"/>
      <c r="N57" s="22" t="n"/>
      <c r="O57" s="22" t="n"/>
    </row>
    <row r="58">
      <c r="E58" s="23" t="n"/>
      <c r="F58" s="23" t="n"/>
      <c r="G58" s="22" t="n"/>
      <c r="M58" s="22" t="n"/>
      <c r="N58" s="22" t="n"/>
      <c r="O58" s="22" t="n"/>
    </row>
    <row r="59">
      <c r="E59" s="23" t="n"/>
      <c r="F59" s="23" t="n"/>
      <c r="G59" s="22" t="n"/>
      <c r="M59" s="22" t="n"/>
      <c r="N59" s="22" t="n"/>
      <c r="O59" s="22" t="n"/>
    </row>
    <row r="60">
      <c r="E60" s="23" t="n"/>
      <c r="F60" s="23" t="n"/>
      <c r="G60" s="22" t="n"/>
      <c r="M60" s="22" t="n"/>
      <c r="N60" s="22" t="n"/>
      <c r="O60" s="22" t="n"/>
    </row>
    <row r="61">
      <c r="E61" s="23" t="n"/>
      <c r="F61" s="23" t="n"/>
      <c r="G61" s="22" t="n"/>
      <c r="M61" s="22" t="n"/>
      <c r="N61" s="22" t="n"/>
      <c r="O61" s="22" t="n"/>
    </row>
    <row r="62">
      <c r="E62" s="23" t="n"/>
      <c r="F62" s="23" t="n"/>
      <c r="G62" s="22" t="n"/>
      <c r="M62" s="22" t="n"/>
      <c r="N62" s="22" t="n"/>
      <c r="O62" s="22" t="n"/>
    </row>
    <row r="63">
      <c r="E63" s="23" t="n"/>
      <c r="F63" s="23" t="n"/>
      <c r="G63" s="22" t="n"/>
      <c r="M63" s="22" t="n"/>
      <c r="N63" s="22" t="n"/>
      <c r="O63" s="22" t="n"/>
    </row>
    <row r="64">
      <c r="E64" s="23" t="n"/>
      <c r="F64" s="23" t="n"/>
      <c r="G64" s="22" t="n"/>
      <c r="M64" s="22" t="n"/>
      <c r="N64" s="22" t="n"/>
      <c r="O64" s="22" t="n"/>
    </row>
    <row r="65">
      <c r="E65" s="23" t="n"/>
      <c r="F65" s="23" t="n"/>
      <c r="G65" s="22" t="n"/>
      <c r="M65" s="22" t="n"/>
      <c r="N65" s="22" t="n"/>
      <c r="O65" s="22" t="n"/>
    </row>
    <row r="66">
      <c r="E66" s="23" t="n"/>
      <c r="F66" s="23" t="n"/>
      <c r="G66" s="22" t="n"/>
      <c r="M66" s="22" t="n"/>
      <c r="N66" s="22" t="n"/>
      <c r="O66" s="22" t="n"/>
    </row>
    <row r="67">
      <c r="E67" s="23" t="n"/>
      <c r="F67" s="23" t="n"/>
      <c r="G67" s="22" t="n"/>
      <c r="M67" s="22" t="n"/>
      <c r="N67" s="22" t="n"/>
      <c r="O67" s="22" t="n"/>
    </row>
    <row r="68">
      <c r="E68" s="23" t="n"/>
      <c r="F68" s="23" t="n"/>
      <c r="G68" s="22" t="n"/>
      <c r="M68" s="22" t="n"/>
      <c r="N68" s="22" t="n"/>
      <c r="O68" s="22" t="n"/>
    </row>
    <row r="69">
      <c r="E69" s="23" t="n"/>
      <c r="F69" s="23" t="n"/>
      <c r="G69" s="22" t="n"/>
      <c r="M69" s="22" t="n"/>
      <c r="N69" s="22" t="n"/>
      <c r="O69" s="22" t="n"/>
    </row>
    <row r="70">
      <c r="E70" s="23" t="n"/>
      <c r="F70" s="23" t="n"/>
      <c r="G70" s="22" t="n"/>
      <c r="M70" s="22" t="n"/>
      <c r="N70" s="22" t="n"/>
      <c r="O70" s="22" t="n"/>
    </row>
    <row r="71">
      <c r="E71" s="23" t="n"/>
      <c r="F71" s="23" t="n"/>
      <c r="G71" s="22" t="n"/>
      <c r="M71" s="22" t="n"/>
      <c r="N71" s="22" t="n"/>
      <c r="O71" s="22" t="n"/>
    </row>
    <row r="72">
      <c r="E72" s="23" t="n"/>
      <c r="F72" s="23" t="n"/>
      <c r="G72" s="22" t="n"/>
      <c r="M72" s="22" t="n"/>
      <c r="N72" s="22" t="n"/>
      <c r="O72" s="22" t="n"/>
    </row>
    <row r="73">
      <c r="E73" s="23" t="n"/>
      <c r="F73" s="23" t="n"/>
      <c r="G73" s="22" t="n"/>
      <c r="M73" s="22" t="n"/>
      <c r="N73" s="22" t="n"/>
      <c r="O73" s="22" t="n"/>
    </row>
    <row r="74">
      <c r="E74" s="23" t="n"/>
      <c r="F74" s="23" t="n"/>
      <c r="G74" s="22" t="n"/>
      <c r="M74" s="22" t="n"/>
      <c r="N74" s="22" t="n"/>
      <c r="O74" s="22" t="n"/>
    </row>
    <row r="75">
      <c r="E75" s="23" t="n"/>
      <c r="F75" s="23" t="n"/>
      <c r="G75" s="22" t="n"/>
      <c r="M75" s="22" t="n"/>
      <c r="N75" s="22" t="n"/>
      <c r="O75" s="22" t="n"/>
    </row>
    <row r="76">
      <c r="E76" s="23" t="n"/>
      <c r="F76" s="23" t="n"/>
      <c r="G76" s="22" t="n"/>
      <c r="M76" s="22" t="n"/>
      <c r="N76" s="22" t="n"/>
      <c r="O76" s="22" t="n"/>
    </row>
    <row r="77">
      <c r="E77" s="23" t="n"/>
      <c r="F77" s="23" t="n"/>
      <c r="G77" s="22" t="n"/>
      <c r="M77" s="22" t="n"/>
      <c r="N77" s="22" t="n"/>
      <c r="O77" s="22" t="n"/>
    </row>
    <row r="78">
      <c r="E78" s="23" t="n"/>
      <c r="F78" s="23" t="n"/>
      <c r="G78" s="22" t="n"/>
      <c r="M78" s="22" t="n"/>
      <c r="N78" s="22" t="n"/>
      <c r="O78" s="22" t="n"/>
    </row>
    <row r="79">
      <c r="E79" s="23" t="n"/>
      <c r="F79" s="23" t="n"/>
      <c r="G79" s="22" t="n"/>
      <c r="M79" s="22" t="n"/>
      <c r="N79" s="22" t="n"/>
      <c r="O79" s="22" t="n"/>
    </row>
    <row r="80">
      <c r="E80" s="23" t="n"/>
      <c r="F80" s="23" t="n"/>
      <c r="G80" s="22" t="n"/>
      <c r="M80" s="22" t="n"/>
      <c r="N80" s="22" t="n"/>
      <c r="O80" s="22" t="n"/>
    </row>
    <row r="81">
      <c r="E81" s="23" t="n"/>
      <c r="F81" s="23" t="n"/>
      <c r="G81" s="22" t="n"/>
      <c r="M81" s="22" t="n"/>
      <c r="N81" s="22" t="n"/>
      <c r="O81" s="22" t="n"/>
    </row>
    <row r="82">
      <c r="E82" s="23" t="n"/>
      <c r="F82" s="23" t="n"/>
      <c r="G82" s="22" t="n"/>
      <c r="M82" s="22" t="n"/>
      <c r="N82" s="22" t="n"/>
      <c r="O82" s="22" t="n"/>
    </row>
    <row r="83">
      <c r="E83" s="23" t="n"/>
      <c r="F83" s="23" t="n"/>
      <c r="G83" s="22" t="n"/>
      <c r="M83" s="22" t="n"/>
      <c r="N83" s="22" t="n"/>
      <c r="O83" s="22" t="n"/>
    </row>
    <row r="84">
      <c r="E84" s="23" t="n"/>
      <c r="F84" s="23" t="n"/>
      <c r="G84" s="22" t="n"/>
      <c r="M84" s="22" t="n"/>
      <c r="N84" s="22" t="n"/>
      <c r="O84" s="22" t="n"/>
    </row>
    <row r="85">
      <c r="E85" s="23" t="n"/>
      <c r="F85" s="23" t="n"/>
      <c r="G85" s="22" t="n"/>
      <c r="M85" s="22" t="n"/>
      <c r="N85" s="22" t="n"/>
      <c r="O85" s="22" t="n"/>
    </row>
    <row r="86">
      <c r="E86" s="23" t="n"/>
      <c r="F86" s="23" t="n"/>
      <c r="G86" s="22" t="n"/>
      <c r="M86" s="22" t="n"/>
      <c r="N86" s="22" t="n"/>
      <c r="O86" s="22" t="n"/>
    </row>
    <row r="87">
      <c r="E87" s="23" t="n"/>
      <c r="F87" s="23" t="n"/>
      <c r="G87" s="22" t="n"/>
      <c r="M87" s="22" t="n"/>
      <c r="N87" s="22" t="n"/>
      <c r="O87" s="22" t="n"/>
    </row>
    <row r="88">
      <c r="E88" s="23" t="n"/>
      <c r="F88" s="23" t="n"/>
      <c r="G88" s="22" t="n"/>
      <c r="M88" s="22" t="n"/>
      <c r="N88" s="22" t="n"/>
      <c r="O88" s="22" t="n"/>
    </row>
    <row r="89">
      <c r="E89" s="23" t="n"/>
      <c r="F89" s="23" t="n"/>
      <c r="G89" s="22" t="n"/>
      <c r="M89" s="22" t="n"/>
      <c r="N89" s="22" t="n"/>
      <c r="O89" s="22" t="n"/>
    </row>
    <row r="90">
      <c r="E90" s="23" t="n"/>
      <c r="F90" s="23" t="n"/>
      <c r="G90" s="22" t="n"/>
      <c r="M90" s="22" t="n"/>
      <c r="N90" s="22" t="n"/>
      <c r="O90" s="22" t="n"/>
    </row>
    <row r="91">
      <c r="E91" s="23" t="n"/>
      <c r="F91" s="23" t="n"/>
      <c r="G91" s="22" t="n"/>
      <c r="M91" s="22" t="n"/>
      <c r="N91" s="22" t="n"/>
      <c r="O91" s="22" t="n"/>
    </row>
    <row r="92">
      <c r="E92" s="23" t="n"/>
      <c r="F92" s="23" t="n"/>
      <c r="G92" s="22" t="n"/>
      <c r="M92" s="22" t="n"/>
      <c r="N92" s="22" t="n"/>
      <c r="O92" s="22" t="n"/>
    </row>
    <row r="93">
      <c r="E93" s="23" t="n"/>
      <c r="F93" s="23" t="n"/>
      <c r="G93" s="22" t="n"/>
      <c r="M93" s="22" t="n"/>
      <c r="N93" s="22" t="n"/>
      <c r="O93" s="22" t="n"/>
    </row>
    <row r="94">
      <c r="E94" s="23" t="n"/>
      <c r="F94" s="23" t="n"/>
      <c r="G94" s="22" t="n"/>
      <c r="M94" s="22" t="n"/>
      <c r="N94" s="22" t="n"/>
      <c r="O94" s="22" t="n"/>
    </row>
    <row r="95">
      <c r="E95" s="23" t="n"/>
      <c r="F95" s="23" t="n"/>
      <c r="G95" s="22" t="n"/>
      <c r="M95" s="22" t="n"/>
      <c r="N95" s="22" t="n"/>
      <c r="O95" s="22" t="n"/>
    </row>
    <row r="96">
      <c r="E96" s="23" t="n"/>
      <c r="F96" s="23" t="n"/>
      <c r="G96" s="22" t="n"/>
      <c r="M96" s="22" t="n"/>
      <c r="N96" s="22" t="n"/>
      <c r="O96" s="22" t="n"/>
    </row>
    <row r="97">
      <c r="E97" s="23" t="n"/>
      <c r="F97" s="23" t="n"/>
      <c r="G97" s="22" t="n"/>
      <c r="M97" s="22" t="n"/>
      <c r="N97" s="22" t="n"/>
      <c r="O97" s="22" t="n"/>
    </row>
    <row r="98">
      <c r="E98" s="23" t="n"/>
      <c r="F98" s="23" t="n"/>
      <c r="G98" s="22" t="n"/>
      <c r="M98" s="22" t="n"/>
      <c r="N98" s="22" t="n"/>
      <c r="O98" s="22" t="n"/>
    </row>
    <row r="99">
      <c r="E99" s="23" t="n"/>
      <c r="F99" s="23" t="n"/>
      <c r="G99" s="22" t="n"/>
      <c r="M99" s="22" t="n"/>
      <c r="N99" s="22" t="n"/>
      <c r="O99" s="22" t="n"/>
    </row>
    <row r="100">
      <c r="E100" s="23" t="n"/>
      <c r="F100" s="23" t="n"/>
      <c r="G100" s="22" t="n"/>
      <c r="M100" s="22" t="n"/>
      <c r="N100" s="22" t="n"/>
      <c r="O100" s="22" t="n"/>
    </row>
    <row r="101">
      <c r="E101" s="23" t="n"/>
      <c r="F101" s="23" t="n"/>
      <c r="G101" s="22" t="n"/>
      <c r="M101" s="22" t="n"/>
      <c r="N101" s="22" t="n"/>
      <c r="O101" s="22" t="n"/>
    </row>
    <row r="102">
      <c r="E102" s="23" t="n"/>
      <c r="F102" s="23" t="n"/>
      <c r="G102" s="22" t="n"/>
      <c r="M102" s="22" t="n"/>
      <c r="N102" s="22" t="n"/>
      <c r="O102" s="22" t="n"/>
    </row>
    <row r="103">
      <c r="E103" s="23" t="n"/>
      <c r="F103" s="23" t="n"/>
      <c r="G103" s="22" t="n"/>
      <c r="M103" s="22" t="n"/>
      <c r="N103" s="22" t="n"/>
      <c r="O103" s="22" t="n"/>
    </row>
    <row r="104">
      <c r="E104" s="23" t="n"/>
      <c r="F104" s="23" t="n"/>
      <c r="G104" s="22" t="n"/>
      <c r="M104" s="22" t="n"/>
      <c r="N104" s="22" t="n"/>
      <c r="O104" s="22" t="n"/>
    </row>
    <row r="105">
      <c r="E105" s="23" t="n"/>
      <c r="F105" s="23" t="n"/>
      <c r="G105" s="22" t="n"/>
      <c r="M105" s="22" t="n"/>
      <c r="N105" s="22" t="n"/>
      <c r="O105" s="22" t="n"/>
    </row>
    <row r="106">
      <c r="E106" s="23" t="n"/>
      <c r="F106" s="23" t="n"/>
      <c r="G106" s="22" t="n"/>
      <c r="M106" s="22" t="n"/>
      <c r="N106" s="22" t="n"/>
      <c r="O106" s="22" t="n"/>
    </row>
    <row r="107">
      <c r="E107" s="23" t="n"/>
      <c r="F107" s="23" t="n"/>
      <c r="G107" s="22" t="n"/>
      <c r="M107" s="22" t="n"/>
      <c r="N107" s="22" t="n"/>
      <c r="O107" s="22" t="n"/>
    </row>
    <row r="108">
      <c r="E108" s="23" t="n"/>
      <c r="F108" s="23" t="n"/>
      <c r="G108" s="22" t="n"/>
      <c r="M108" s="22" t="n"/>
      <c r="N108" s="22" t="n"/>
      <c r="O108" s="22" t="n"/>
    </row>
    <row r="109">
      <c r="E109" s="23" t="n"/>
      <c r="F109" s="23" t="n"/>
      <c r="G109" s="22" t="n"/>
      <c r="M109" s="22" t="n"/>
      <c r="N109" s="22" t="n"/>
      <c r="O109" s="22" t="n"/>
    </row>
    <row r="110">
      <c r="E110" s="23" t="n"/>
      <c r="F110" s="23" t="n"/>
      <c r="G110" s="22" t="n"/>
      <c r="M110" s="22" t="n"/>
      <c r="N110" s="22" t="n"/>
      <c r="O110" s="22" t="n"/>
    </row>
    <row r="111">
      <c r="E111" s="23" t="n"/>
      <c r="F111" s="23" t="n"/>
      <c r="G111" s="22" t="n"/>
      <c r="M111" s="22" t="n"/>
      <c r="N111" s="22" t="n"/>
      <c r="O111" s="22" t="n"/>
    </row>
    <row r="112">
      <c r="E112" s="23" t="n"/>
      <c r="F112" s="23" t="n"/>
      <c r="G112" s="22" t="n"/>
      <c r="M112" s="22" t="n"/>
      <c r="N112" s="22" t="n"/>
      <c r="O112" s="22" t="n"/>
    </row>
    <row r="113">
      <c r="E113" s="23" t="n"/>
      <c r="F113" s="23" t="n"/>
      <c r="G113" s="22" t="n"/>
      <c r="M113" s="22" t="n"/>
      <c r="N113" s="22" t="n"/>
      <c r="O113" s="22" t="n"/>
    </row>
    <row r="114">
      <c r="E114" s="23" t="n"/>
      <c r="F114" s="23" t="n"/>
      <c r="G114" s="22" t="n"/>
      <c r="M114" s="22" t="n"/>
      <c r="N114" s="22" t="n"/>
      <c r="O114" s="22" t="n"/>
    </row>
    <row r="115">
      <c r="E115" s="23" t="n"/>
      <c r="F115" s="23" t="n"/>
      <c r="G115" s="22" t="n"/>
      <c r="M115" s="22" t="n"/>
      <c r="N115" s="22" t="n"/>
      <c r="O115" s="22" t="n"/>
    </row>
    <row r="116">
      <c r="E116" s="23" t="n"/>
      <c r="F116" s="23" t="n"/>
      <c r="G116" s="22" t="n"/>
      <c r="M116" s="22" t="n"/>
      <c r="N116" s="22" t="n"/>
      <c r="O116" s="22" t="n"/>
    </row>
    <row r="117">
      <c r="E117" s="23" t="n"/>
      <c r="F117" s="23" t="n"/>
      <c r="G117" s="22" t="n"/>
      <c r="M117" s="22" t="n"/>
      <c r="N117" s="22" t="n"/>
      <c r="O117" s="22" t="n"/>
    </row>
    <row r="118">
      <c r="E118" s="23" t="n"/>
      <c r="F118" s="23" t="n"/>
      <c r="G118" s="22" t="n"/>
      <c r="M118" s="22" t="n"/>
      <c r="N118" s="22" t="n"/>
      <c r="O118" s="22" t="n"/>
    </row>
    <row r="119">
      <c r="E119" s="23" t="n"/>
      <c r="F119" s="23" t="n"/>
      <c r="G119" s="22" t="n"/>
      <c r="M119" s="22" t="n"/>
      <c r="N119" s="22" t="n"/>
      <c r="O119" s="22" t="n"/>
    </row>
    <row r="120">
      <c r="E120" s="23" t="n"/>
      <c r="F120" s="23" t="n"/>
      <c r="G120" s="22" t="n"/>
      <c r="M120" s="22" t="n"/>
      <c r="N120" s="22" t="n"/>
      <c r="O120" s="22" t="n"/>
    </row>
    <row r="121">
      <c r="E121" s="23" t="n"/>
      <c r="F121" s="23" t="n"/>
      <c r="G121" s="22" t="n"/>
      <c r="M121" s="22" t="n"/>
      <c r="N121" s="22" t="n"/>
      <c r="O121" s="22" t="n"/>
    </row>
    <row r="122">
      <c r="E122" s="23" t="n"/>
      <c r="F122" s="23" t="n"/>
      <c r="G122" s="22" t="n"/>
      <c r="M122" s="22" t="n"/>
      <c r="N122" s="22" t="n"/>
      <c r="O122" s="22" t="n"/>
    </row>
    <row r="123">
      <c r="E123" s="23" t="n"/>
      <c r="F123" s="23" t="n"/>
      <c r="G123" s="22" t="n"/>
      <c r="M123" s="22" t="n"/>
      <c r="N123" s="22" t="n"/>
      <c r="O123" s="22" t="n"/>
    </row>
    <row r="124">
      <c r="E124" s="23" t="n"/>
      <c r="F124" s="23" t="n"/>
      <c r="G124" s="22" t="n"/>
      <c r="M124" s="22" t="n"/>
      <c r="N124" s="22" t="n"/>
      <c r="O124" s="22" t="n"/>
    </row>
    <row r="125">
      <c r="E125" s="23" t="n"/>
      <c r="F125" s="23" t="n"/>
      <c r="G125" s="22" t="n"/>
      <c r="M125" s="22" t="n"/>
      <c r="N125" s="22" t="n"/>
      <c r="O125" s="22" t="n"/>
    </row>
    <row r="126">
      <c r="E126" s="23" t="n"/>
      <c r="F126" s="23" t="n"/>
      <c r="G126" s="22" t="n"/>
      <c r="M126" s="22" t="n"/>
      <c r="N126" s="22" t="n"/>
      <c r="O126" s="22" t="n"/>
    </row>
    <row r="127">
      <c r="E127" s="23" t="n"/>
      <c r="F127" s="23" t="n"/>
      <c r="G127" s="22" t="n"/>
      <c r="M127" s="22" t="n"/>
      <c r="N127" s="22" t="n"/>
      <c r="O127" s="22" t="n"/>
    </row>
    <row r="128">
      <c r="E128" s="23" t="n"/>
      <c r="F128" s="23" t="n"/>
      <c r="G128" s="22" t="n"/>
      <c r="M128" s="22" t="n"/>
      <c r="N128" s="22" t="n"/>
      <c r="O128" s="22" t="n"/>
    </row>
    <row r="129">
      <c r="E129" s="23" t="n"/>
      <c r="F129" s="23" t="n"/>
      <c r="G129" s="22" t="n"/>
      <c r="M129" s="22" t="n"/>
      <c r="N129" s="22" t="n"/>
      <c r="O129" s="22" t="n"/>
    </row>
    <row r="130">
      <c r="E130" s="23" t="n"/>
      <c r="F130" s="23" t="n"/>
      <c r="G130" s="22" t="n"/>
      <c r="M130" s="22" t="n"/>
      <c r="N130" s="22" t="n"/>
      <c r="O130" s="22" t="n"/>
    </row>
    <row r="131">
      <c r="E131" s="23" t="n"/>
      <c r="F131" s="23" t="n"/>
      <c r="G131" s="22" t="n"/>
      <c r="M131" s="22" t="n"/>
      <c r="N131" s="22" t="n"/>
      <c r="O131" s="22" t="n"/>
    </row>
    <row r="132">
      <c r="E132" s="23" t="n"/>
      <c r="F132" s="23" t="n"/>
      <c r="G132" s="22" t="n"/>
      <c r="M132" s="22" t="n"/>
      <c r="N132" s="22" t="n"/>
      <c r="O132" s="22" t="n"/>
    </row>
    <row r="133">
      <c r="E133" s="23" t="n"/>
      <c r="F133" s="23" t="n"/>
      <c r="G133" s="22" t="n"/>
      <c r="M133" s="22" t="n"/>
      <c r="N133" s="22" t="n"/>
      <c r="O133" s="22" t="n"/>
    </row>
    <row r="134">
      <c r="E134" s="23" t="n"/>
      <c r="F134" s="23" t="n"/>
      <c r="G134" s="22" t="n"/>
      <c r="M134" s="22" t="n"/>
      <c r="N134" s="22" t="n"/>
      <c r="O134" s="22" t="n"/>
    </row>
    <row r="135">
      <c r="E135" s="23" t="n"/>
      <c r="F135" s="23" t="n"/>
      <c r="G135" s="22" t="n"/>
      <c r="M135" s="22" t="n"/>
      <c r="N135" s="22" t="n"/>
      <c r="O135" s="22" t="n"/>
    </row>
    <row r="136">
      <c r="E136" s="23" t="n"/>
      <c r="F136" s="23" t="n"/>
      <c r="G136" s="22" t="n"/>
      <c r="M136" s="22" t="n"/>
      <c r="N136" s="22" t="n"/>
      <c r="O136" s="22" t="n"/>
    </row>
    <row r="137">
      <c r="E137" s="23" t="n"/>
      <c r="F137" s="23" t="n"/>
      <c r="G137" s="22" t="n"/>
      <c r="M137" s="22" t="n"/>
      <c r="N137" s="22" t="n"/>
      <c r="O137" s="22" t="n"/>
    </row>
    <row r="138">
      <c r="E138" s="23" t="n"/>
      <c r="F138" s="23" t="n"/>
      <c r="G138" s="22" t="n"/>
      <c r="M138" s="22" t="n"/>
      <c r="N138" s="22" t="n"/>
      <c r="O138" s="22" t="n"/>
    </row>
    <row r="139">
      <c r="E139" s="23" t="n"/>
      <c r="F139" s="23" t="n"/>
      <c r="G139" s="22" t="n"/>
      <c r="M139" s="22" t="n"/>
      <c r="N139" s="22" t="n"/>
      <c r="O139" s="22" t="n"/>
    </row>
    <row r="140">
      <c r="E140" s="23" t="n"/>
      <c r="F140" s="23" t="n"/>
      <c r="G140" s="22" t="n"/>
      <c r="M140" s="22" t="n"/>
      <c r="N140" s="22" t="n"/>
      <c r="O140" s="22" t="n"/>
    </row>
    <row r="141">
      <c r="E141" s="23" t="n"/>
      <c r="F141" s="23" t="n"/>
      <c r="G141" s="22" t="n"/>
      <c r="M141" s="22" t="n"/>
      <c r="N141" s="22" t="n"/>
      <c r="O141" s="22" t="n"/>
    </row>
    <row r="142">
      <c r="E142" s="23" t="n"/>
      <c r="F142" s="23" t="n"/>
      <c r="G142" s="22" t="n"/>
      <c r="M142" s="22" t="n"/>
      <c r="N142" s="22" t="n"/>
      <c r="O142" s="22" t="n"/>
    </row>
    <row r="143">
      <c r="E143" s="23" t="n"/>
      <c r="F143" s="23" t="n"/>
      <c r="G143" s="22" t="n"/>
      <c r="M143" s="22" t="n"/>
      <c r="N143" s="22" t="n"/>
      <c r="O143" s="22" t="n"/>
    </row>
    <row r="144">
      <c r="E144" s="23" t="n"/>
      <c r="F144" s="23" t="n"/>
      <c r="G144" s="22" t="n"/>
      <c r="M144" s="22" t="n"/>
      <c r="N144" s="22" t="n"/>
      <c r="O144" s="22" t="n"/>
    </row>
    <row r="145">
      <c r="E145" s="23" t="n"/>
      <c r="F145" s="23" t="n"/>
      <c r="G145" s="22" t="n"/>
      <c r="M145" s="22" t="n"/>
      <c r="N145" s="22" t="n"/>
      <c r="O145" s="22" t="n"/>
    </row>
    <row r="146">
      <c r="E146" s="23" t="n"/>
      <c r="F146" s="23" t="n"/>
      <c r="G146" s="22" t="n"/>
      <c r="M146" s="22" t="n"/>
      <c r="N146" s="22" t="n"/>
      <c r="O146" s="22" t="n"/>
    </row>
    <row r="147">
      <c r="E147" s="23" t="n"/>
      <c r="F147" s="23" t="n"/>
      <c r="G147" s="22" t="n"/>
      <c r="M147" s="22" t="n"/>
      <c r="N147" s="22" t="n"/>
      <c r="O147" s="22" t="n"/>
    </row>
    <row r="148">
      <c r="E148" s="23" t="n"/>
      <c r="F148" s="23" t="n"/>
      <c r="G148" s="22" t="n"/>
      <c r="M148" s="22" t="n"/>
      <c r="N148" s="22" t="n"/>
      <c r="O148" s="22" t="n"/>
    </row>
    <row r="149">
      <c r="E149" s="23" t="n"/>
      <c r="F149" s="23" t="n"/>
      <c r="G149" s="22" t="n"/>
      <c r="M149" s="22" t="n"/>
      <c r="N149" s="22" t="n"/>
      <c r="O149" s="22" t="n"/>
    </row>
    <row r="150">
      <c r="E150" s="23" t="n"/>
      <c r="F150" s="23" t="n"/>
      <c r="G150" s="22" t="n"/>
      <c r="M150" s="22" t="n"/>
      <c r="N150" s="22" t="n"/>
      <c r="O150" s="22" t="n"/>
    </row>
    <row r="151">
      <c r="E151" s="23" t="n"/>
      <c r="F151" s="23" t="n"/>
      <c r="G151" s="22" t="n"/>
      <c r="M151" s="22" t="n"/>
      <c r="N151" s="22" t="n"/>
      <c r="O151" s="22" t="n"/>
    </row>
    <row r="152">
      <c r="E152" s="23" t="n"/>
      <c r="F152" s="23" t="n"/>
      <c r="G152" s="22" t="n"/>
      <c r="M152" s="22" t="n"/>
      <c r="N152" s="22" t="n"/>
      <c r="O152" s="22" t="n"/>
    </row>
    <row r="153">
      <c r="E153" s="23" t="n"/>
      <c r="F153" s="23" t="n"/>
      <c r="G153" s="22" t="n"/>
      <c r="M153" s="22" t="n"/>
      <c r="N153" s="22" t="n"/>
      <c r="O153" s="22" t="n"/>
    </row>
    <row r="154">
      <c r="E154" s="23" t="n"/>
      <c r="F154" s="23" t="n"/>
      <c r="G154" s="22" t="n"/>
      <c r="M154" s="22" t="n"/>
      <c r="N154" s="22" t="n"/>
      <c r="O154" s="22" t="n"/>
    </row>
    <row r="155">
      <c r="E155" s="23" t="n"/>
      <c r="F155" s="23" t="n"/>
      <c r="G155" s="22" t="n"/>
      <c r="M155" s="22" t="n"/>
      <c r="N155" s="22" t="n"/>
      <c r="O155" s="22" t="n"/>
    </row>
    <row r="156">
      <c r="E156" s="23" t="n"/>
      <c r="F156" s="23" t="n"/>
      <c r="G156" s="22" t="n"/>
      <c r="M156" s="22" t="n"/>
      <c r="N156" s="22" t="n"/>
      <c r="O156" s="22" t="n"/>
    </row>
    <row r="157">
      <c r="E157" s="23" t="n"/>
      <c r="F157" s="23" t="n"/>
      <c r="G157" s="22" t="n"/>
      <c r="M157" s="22" t="n"/>
      <c r="N157" s="22" t="n"/>
      <c r="O157" s="22" t="n"/>
    </row>
    <row r="158">
      <c r="E158" s="23" t="n"/>
      <c r="F158" s="23" t="n"/>
      <c r="G158" s="22" t="n"/>
      <c r="M158" s="22" t="n"/>
      <c r="N158" s="22" t="n"/>
      <c r="O158" s="22" t="n"/>
    </row>
    <row r="159">
      <c r="E159" s="23" t="n"/>
      <c r="F159" s="23" t="n"/>
      <c r="G159" s="22" t="n"/>
      <c r="M159" s="22" t="n"/>
      <c r="N159" s="22" t="n"/>
      <c r="O159" s="22" t="n"/>
    </row>
    <row r="160">
      <c r="E160" s="23" t="n"/>
      <c r="F160" s="23" t="n"/>
      <c r="G160" s="22" t="n"/>
      <c r="M160" s="22" t="n"/>
      <c r="N160" s="22" t="n"/>
      <c r="O160" s="22" t="n"/>
    </row>
    <row r="161">
      <c r="E161" s="23" t="n"/>
      <c r="F161" s="23" t="n"/>
      <c r="G161" s="22" t="n"/>
      <c r="M161" s="22" t="n"/>
      <c r="N161" s="22" t="n"/>
      <c r="O161" s="22" t="n"/>
    </row>
    <row r="162">
      <c r="E162" s="23" t="n"/>
      <c r="F162" s="23" t="n"/>
      <c r="G162" s="22" t="n"/>
      <c r="M162" s="22" t="n"/>
      <c r="N162" s="22" t="n"/>
      <c r="O162" s="22" t="n"/>
    </row>
    <row r="163">
      <c r="E163" s="23" t="n"/>
      <c r="F163" s="23" t="n"/>
      <c r="G163" s="22" t="n"/>
      <c r="M163" s="22" t="n"/>
      <c r="N163" s="22" t="n"/>
      <c r="O163" s="22" t="n"/>
    </row>
    <row r="164">
      <c r="E164" s="23" t="n"/>
      <c r="F164" s="23" t="n"/>
      <c r="G164" s="22" t="n"/>
      <c r="M164" s="22" t="n"/>
      <c r="N164" s="22" t="n"/>
      <c r="O164" s="22" t="n"/>
    </row>
    <row r="165">
      <c r="E165" s="23" t="n"/>
      <c r="F165" s="23" t="n"/>
      <c r="G165" s="22" t="n"/>
      <c r="M165" s="22" t="n"/>
      <c r="N165" s="22" t="n"/>
      <c r="O165" s="22" t="n"/>
    </row>
    <row r="166">
      <c r="E166" s="23" t="n"/>
      <c r="F166" s="23" t="n"/>
      <c r="G166" s="22" t="n"/>
      <c r="M166" s="22" t="n"/>
      <c r="N166" s="22" t="n"/>
      <c r="O166" s="22" t="n"/>
    </row>
    <row r="167">
      <c r="E167" s="23" t="n"/>
      <c r="F167" s="23" t="n"/>
      <c r="G167" s="22" t="n"/>
      <c r="M167" s="22" t="n"/>
      <c r="N167" s="22" t="n"/>
      <c r="O167" s="22" t="n"/>
    </row>
    <row r="168">
      <c r="E168" s="23" t="n"/>
      <c r="F168" s="23" t="n"/>
      <c r="G168" s="22" t="n"/>
      <c r="M168" s="22" t="n"/>
      <c r="N168" s="22" t="n"/>
      <c r="O168" s="22" t="n"/>
    </row>
    <row r="169">
      <c r="E169" s="23" t="n"/>
      <c r="F169" s="23" t="n"/>
      <c r="G169" s="22" t="n"/>
      <c r="M169" s="22" t="n"/>
      <c r="N169" s="22" t="n"/>
      <c r="O169" s="22" t="n"/>
    </row>
    <row r="170">
      <c r="E170" s="23" t="n"/>
      <c r="F170" s="23" t="n"/>
      <c r="G170" s="22" t="n"/>
      <c r="M170" s="22" t="n"/>
      <c r="N170" s="22" t="n"/>
      <c r="O170" s="22" t="n"/>
    </row>
    <row r="171">
      <c r="E171" s="23" t="n"/>
      <c r="F171" s="23" t="n"/>
      <c r="G171" s="22" t="n"/>
      <c r="M171" s="22" t="n"/>
      <c r="N171" s="22" t="n"/>
      <c r="O171" s="22" t="n"/>
    </row>
    <row r="172">
      <c r="E172" s="23" t="n"/>
      <c r="F172" s="23" t="n"/>
      <c r="G172" s="22" t="n"/>
      <c r="M172" s="22" t="n"/>
      <c r="N172" s="22" t="n"/>
      <c r="O172" s="22" t="n"/>
    </row>
    <row r="173">
      <c r="E173" s="23" t="n"/>
      <c r="F173" s="23" t="n"/>
      <c r="G173" s="22" t="n"/>
      <c r="M173" s="22" t="n"/>
      <c r="N173" s="22" t="n"/>
      <c r="O173" s="22" t="n"/>
    </row>
    <row r="174">
      <c r="E174" s="23" t="n"/>
      <c r="F174" s="23" t="n"/>
      <c r="G174" s="22" t="n"/>
      <c r="M174" s="22" t="n"/>
      <c r="N174" s="22" t="n"/>
      <c r="O174" s="22" t="n"/>
    </row>
    <row r="175">
      <c r="E175" s="23" t="n"/>
      <c r="F175" s="23" t="n"/>
      <c r="G175" s="22" t="n"/>
      <c r="M175" s="22" t="n"/>
      <c r="N175" s="22" t="n"/>
      <c r="O175" s="22" t="n"/>
    </row>
    <row r="176">
      <c r="E176" s="23" t="n"/>
      <c r="F176" s="23" t="n"/>
      <c r="G176" s="22" t="n"/>
      <c r="M176" s="22" t="n"/>
      <c r="N176" s="22" t="n"/>
      <c r="O176" s="22" t="n"/>
    </row>
    <row r="177">
      <c r="E177" s="23" t="n"/>
      <c r="F177" s="23" t="n"/>
      <c r="G177" s="22" t="n"/>
      <c r="M177" s="22" t="n"/>
      <c r="N177" s="22" t="n"/>
      <c r="O177" s="22" t="n"/>
    </row>
    <row r="178">
      <c r="E178" s="23" t="n"/>
      <c r="F178" s="23" t="n"/>
      <c r="G178" s="22" t="n"/>
      <c r="M178" s="22" t="n"/>
      <c r="N178" s="22" t="n"/>
      <c r="O178" s="22" t="n"/>
    </row>
    <row r="179">
      <c r="E179" s="23" t="n"/>
      <c r="F179" s="23" t="n"/>
      <c r="G179" s="22" t="n"/>
      <c r="M179" s="22" t="n"/>
      <c r="N179" s="22" t="n"/>
      <c r="O179" s="22" t="n"/>
    </row>
    <row r="180">
      <c r="E180" s="23" t="n"/>
      <c r="F180" s="23" t="n"/>
      <c r="G180" s="22" t="n"/>
      <c r="M180" s="22" t="n"/>
      <c r="N180" s="22" t="n"/>
      <c r="O180" s="22" t="n"/>
    </row>
    <row r="181">
      <c r="E181" s="23" t="n"/>
      <c r="F181" s="23" t="n"/>
      <c r="G181" s="22" t="n"/>
      <c r="M181" s="22" t="n"/>
      <c r="N181" s="22" t="n"/>
      <c r="O181" s="22" t="n"/>
    </row>
    <row r="182">
      <c r="E182" s="23" t="n"/>
      <c r="F182" s="23" t="n"/>
      <c r="G182" s="22" t="n"/>
      <c r="M182" s="22" t="n"/>
      <c r="N182" s="22" t="n"/>
      <c r="O182" s="22" t="n"/>
    </row>
    <row r="183">
      <c r="E183" s="23" t="n"/>
      <c r="F183" s="23" t="n"/>
      <c r="G183" s="22" t="n"/>
      <c r="M183" s="22" t="n"/>
      <c r="N183" s="22" t="n"/>
      <c r="O183" s="22" t="n"/>
    </row>
    <row r="184">
      <c r="E184" s="23" t="n"/>
      <c r="F184" s="23" t="n"/>
      <c r="G184" s="22" t="n"/>
      <c r="M184" s="22" t="n"/>
      <c r="N184" s="22" t="n"/>
      <c r="O184" s="22" t="n"/>
    </row>
    <row r="185">
      <c r="E185" s="23" t="n"/>
      <c r="F185" s="23" t="n"/>
      <c r="G185" s="22" t="n"/>
      <c r="M185" s="22" t="n"/>
      <c r="N185" s="22" t="n"/>
      <c r="O185" s="22" t="n"/>
    </row>
    <row r="186">
      <c r="E186" s="23" t="n"/>
      <c r="F186" s="23" t="n"/>
      <c r="G186" s="22" t="n"/>
      <c r="M186" s="22" t="n"/>
      <c r="N186" s="22" t="n"/>
      <c r="O186" s="22" t="n"/>
    </row>
    <row r="187">
      <c r="E187" s="23" t="n"/>
      <c r="F187" s="23" t="n"/>
      <c r="G187" s="22" t="n"/>
      <c r="M187" s="22" t="n"/>
      <c r="N187" s="22" t="n"/>
      <c r="O187" s="22" t="n"/>
    </row>
    <row r="188">
      <c r="E188" s="23" t="n"/>
      <c r="F188" s="23" t="n"/>
      <c r="G188" s="22" t="n"/>
      <c r="M188" s="22" t="n"/>
      <c r="N188" s="22" t="n"/>
      <c r="O188" s="22" t="n"/>
    </row>
    <row r="189">
      <c r="E189" s="23" t="n"/>
      <c r="F189" s="23" t="n"/>
      <c r="G189" s="22" t="n"/>
      <c r="M189" s="22" t="n"/>
      <c r="N189" s="22" t="n"/>
      <c r="O189" s="22" t="n"/>
    </row>
    <row r="190">
      <c r="E190" s="23" t="n"/>
      <c r="F190" s="23" t="n"/>
      <c r="G190" s="22" t="n"/>
      <c r="M190" s="22" t="n"/>
      <c r="N190" s="22" t="n"/>
      <c r="O190" s="22" t="n"/>
    </row>
    <row r="191">
      <c r="E191" s="23" t="n"/>
      <c r="F191" s="23" t="n"/>
      <c r="G191" s="22" t="n"/>
      <c r="M191" s="22" t="n"/>
      <c r="N191" s="22" t="n"/>
      <c r="O191" s="22" t="n"/>
    </row>
    <row r="192">
      <c r="E192" s="23" t="n"/>
      <c r="F192" s="23" t="n"/>
      <c r="G192" s="22" t="n"/>
      <c r="M192" s="22" t="n"/>
      <c r="N192" s="22" t="n"/>
      <c r="O192" s="22" t="n"/>
    </row>
    <row r="193">
      <c r="E193" s="23" t="n"/>
      <c r="F193" s="23" t="n"/>
      <c r="G193" s="22" t="n"/>
      <c r="M193" s="22" t="n"/>
      <c r="N193" s="22" t="n"/>
      <c r="O193" s="22" t="n"/>
    </row>
    <row r="194">
      <c r="E194" s="23" t="n"/>
      <c r="F194" s="23" t="n"/>
      <c r="G194" s="22" t="n"/>
      <c r="M194" s="22" t="n"/>
      <c r="N194" s="22" t="n"/>
      <c r="O194" s="22" t="n"/>
    </row>
    <row r="195">
      <c r="E195" s="23" t="n"/>
      <c r="F195" s="23" t="n"/>
      <c r="G195" s="22" t="n"/>
      <c r="M195" s="22" t="n"/>
      <c r="N195" s="22" t="n"/>
      <c r="O195" s="22" t="n"/>
    </row>
    <row r="196">
      <c r="E196" s="23" t="n"/>
      <c r="F196" s="23" t="n"/>
      <c r="G196" s="22" t="n"/>
      <c r="M196" s="22" t="n"/>
      <c r="N196" s="22" t="n"/>
      <c r="O196" s="22" t="n"/>
    </row>
    <row r="197">
      <c r="E197" s="23" t="n"/>
      <c r="F197" s="23" t="n"/>
      <c r="G197" s="22" t="n"/>
      <c r="M197" s="22" t="n"/>
      <c r="N197" s="22" t="n"/>
      <c r="O197" s="22" t="n"/>
    </row>
    <row r="198">
      <c r="E198" s="23" t="n"/>
      <c r="F198" s="23" t="n"/>
      <c r="G198" s="22" t="n"/>
      <c r="M198" s="22" t="n"/>
      <c r="N198" s="22" t="n"/>
      <c r="O198" s="22" t="n"/>
    </row>
    <row r="199">
      <c r="E199" s="23" t="n"/>
      <c r="F199" s="23" t="n"/>
      <c r="G199" s="22" t="n"/>
      <c r="M199" s="22" t="n"/>
      <c r="N199" s="22" t="n"/>
      <c r="O199" s="22" t="n"/>
    </row>
    <row r="200">
      <c r="E200" s="23" t="n"/>
      <c r="F200" s="23" t="n"/>
      <c r="G200" s="22" t="n"/>
      <c r="M200" s="22" t="n"/>
      <c r="N200" s="22" t="n"/>
      <c r="O200" s="22" t="n"/>
    </row>
    <row r="201">
      <c r="E201" s="23" t="n"/>
      <c r="F201" s="23" t="n"/>
      <c r="G201" s="22" t="n"/>
      <c r="M201" s="22" t="n"/>
      <c r="N201" s="22" t="n"/>
      <c r="O201" s="22" t="n"/>
    </row>
    <row r="202">
      <c r="E202" s="23" t="n"/>
      <c r="F202" s="23" t="n"/>
      <c r="G202" s="22" t="n"/>
      <c r="M202" s="22" t="n"/>
      <c r="N202" s="22" t="n"/>
      <c r="O202" s="22" t="n"/>
    </row>
    <row r="203">
      <c r="E203" s="23" t="n"/>
      <c r="F203" s="23" t="n"/>
      <c r="G203" s="22" t="n"/>
      <c r="M203" s="22" t="n"/>
      <c r="N203" s="22" t="n"/>
      <c r="O203" s="22" t="n"/>
    </row>
    <row r="204">
      <c r="E204" s="23" t="n"/>
      <c r="F204" s="23" t="n"/>
      <c r="G204" s="22" t="n"/>
      <c r="M204" s="22" t="n"/>
      <c r="N204" s="22" t="n"/>
      <c r="O204" s="22" t="n"/>
    </row>
    <row r="205">
      <c r="E205" s="23" t="n"/>
      <c r="F205" s="23" t="n"/>
      <c r="G205" s="22" t="n"/>
      <c r="M205" s="22" t="n"/>
      <c r="N205" s="22" t="n"/>
      <c r="O205" s="22" t="n"/>
    </row>
    <row r="206">
      <c r="E206" s="23" t="n"/>
      <c r="F206" s="23" t="n"/>
      <c r="G206" s="22" t="n"/>
      <c r="M206" s="22" t="n"/>
      <c r="N206" s="22" t="n"/>
      <c r="O206" s="22" t="n"/>
    </row>
    <row r="207">
      <c r="E207" s="23" t="n"/>
      <c r="F207" s="23" t="n"/>
      <c r="G207" s="22" t="n"/>
      <c r="M207" s="22" t="n"/>
      <c r="N207" s="22" t="n"/>
      <c r="O207" s="22" t="n"/>
    </row>
    <row r="208">
      <c r="E208" s="23" t="n"/>
      <c r="F208" s="23" t="n"/>
      <c r="G208" s="22" t="n"/>
      <c r="M208" s="22" t="n"/>
      <c r="N208" s="22" t="n"/>
      <c r="O208" s="22" t="n"/>
    </row>
    <row r="209">
      <c r="E209" s="23" t="n"/>
      <c r="F209" s="23" t="n"/>
      <c r="G209" s="22" t="n"/>
      <c r="M209" s="22" t="n"/>
      <c r="N209" s="22" t="n"/>
      <c r="O209" s="22" t="n"/>
    </row>
    <row r="210">
      <c r="E210" s="23" t="n"/>
      <c r="F210" s="23" t="n"/>
      <c r="G210" s="22" t="n"/>
      <c r="M210" s="22" t="n"/>
      <c r="N210" s="22" t="n"/>
      <c r="O210" s="22" t="n"/>
    </row>
    <row r="211">
      <c r="E211" s="23" t="n"/>
      <c r="F211" s="23" t="n"/>
      <c r="G211" s="22" t="n"/>
      <c r="M211" s="22" t="n"/>
      <c r="N211" s="22" t="n"/>
      <c r="O211" s="22" t="n"/>
    </row>
    <row r="212">
      <c r="E212" s="23" t="n"/>
      <c r="F212" s="23" t="n"/>
      <c r="G212" s="22" t="n"/>
      <c r="M212" s="22" t="n"/>
      <c r="N212" s="22" t="n"/>
      <c r="O212" s="22" t="n"/>
    </row>
    <row r="213">
      <c r="E213" s="23" t="n"/>
      <c r="F213" s="23" t="n"/>
      <c r="G213" s="22" t="n"/>
      <c r="M213" s="22" t="n"/>
      <c r="N213" s="22" t="n"/>
      <c r="O213" s="22" t="n"/>
    </row>
    <row r="214">
      <c r="E214" s="23" t="n"/>
      <c r="F214" s="23" t="n"/>
      <c r="G214" s="22" t="n"/>
      <c r="M214" s="22" t="n"/>
      <c r="N214" s="22" t="n"/>
      <c r="O214" s="22" t="n"/>
    </row>
    <row r="215">
      <c r="E215" s="23" t="n"/>
      <c r="F215" s="23" t="n"/>
      <c r="G215" s="22" t="n"/>
      <c r="M215" s="22" t="n"/>
      <c r="N215" s="22" t="n"/>
      <c r="O215" s="22" t="n"/>
    </row>
    <row r="216">
      <c r="E216" s="23" t="n"/>
      <c r="F216" s="23" t="n"/>
      <c r="G216" s="22" t="n"/>
      <c r="M216" s="22" t="n"/>
      <c r="N216" s="22" t="n"/>
      <c r="O216" s="22" t="n"/>
    </row>
    <row r="217">
      <c r="E217" s="23" t="n"/>
      <c r="F217" s="23" t="n"/>
      <c r="G217" s="22" t="n"/>
      <c r="M217" s="22" t="n"/>
      <c r="N217" s="22" t="n"/>
      <c r="O217" s="22" t="n"/>
    </row>
    <row r="218">
      <c r="E218" s="23" t="n"/>
      <c r="F218" s="23" t="n"/>
      <c r="G218" s="22" t="n"/>
      <c r="M218" s="22" t="n"/>
      <c r="N218" s="22" t="n"/>
      <c r="O218" s="22" t="n"/>
    </row>
    <row r="219">
      <c r="E219" s="23" t="n"/>
      <c r="F219" s="23" t="n"/>
      <c r="G219" s="22" t="n"/>
      <c r="M219" s="22" t="n"/>
      <c r="N219" s="22" t="n"/>
      <c r="O219" s="22" t="n"/>
    </row>
    <row r="220">
      <c r="E220" s="23" t="n"/>
      <c r="F220" s="23" t="n"/>
      <c r="G220" s="22" t="n"/>
      <c r="M220" s="22" t="n"/>
      <c r="N220" s="22" t="n"/>
      <c r="O220" s="22" t="n"/>
    </row>
    <row r="221">
      <c r="E221" s="23" t="n"/>
      <c r="F221" s="23" t="n"/>
      <c r="G221" s="22" t="n"/>
      <c r="M221" s="22" t="n"/>
      <c r="N221" s="22" t="n"/>
      <c r="O221" s="22" t="n"/>
    </row>
    <row r="222">
      <c r="E222" s="23" t="n"/>
      <c r="F222" s="23" t="n"/>
      <c r="G222" s="22" t="n"/>
      <c r="M222" s="22" t="n"/>
      <c r="N222" s="22" t="n"/>
      <c r="O222" s="22" t="n"/>
    </row>
    <row r="223">
      <c r="E223" s="23" t="n"/>
      <c r="F223" s="23" t="n"/>
      <c r="G223" s="22" t="n"/>
      <c r="M223" s="22" t="n"/>
      <c r="N223" s="22" t="n"/>
      <c r="O223" s="22" t="n"/>
    </row>
    <row r="224">
      <c r="E224" s="23" t="n"/>
      <c r="F224" s="23" t="n"/>
      <c r="G224" s="22" t="n"/>
      <c r="M224" s="22" t="n"/>
      <c r="N224" s="22" t="n"/>
      <c r="O224" s="22" t="n"/>
    </row>
    <row r="225">
      <c r="E225" s="23" t="n"/>
      <c r="F225" s="23" t="n"/>
      <c r="G225" s="22" t="n"/>
      <c r="M225" s="22" t="n"/>
      <c r="N225" s="22" t="n"/>
      <c r="O225" s="22" t="n"/>
    </row>
    <row r="226">
      <c r="E226" s="23" t="n"/>
      <c r="F226" s="23" t="n"/>
      <c r="G226" s="22" t="n"/>
      <c r="M226" s="22" t="n"/>
      <c r="N226" s="22" t="n"/>
      <c r="O226" s="22" t="n"/>
    </row>
    <row r="227">
      <c r="E227" s="23" t="n"/>
      <c r="F227" s="23" t="n"/>
      <c r="G227" s="22" t="n"/>
      <c r="M227" s="22" t="n"/>
      <c r="N227" s="22" t="n"/>
      <c r="O227" s="22" t="n"/>
    </row>
    <row r="228">
      <c r="E228" s="23" t="n"/>
      <c r="F228" s="23" t="n"/>
      <c r="G228" s="22" t="n"/>
      <c r="M228" s="22" t="n"/>
      <c r="N228" s="22" t="n"/>
      <c r="O228" s="22" t="n"/>
    </row>
    <row r="229">
      <c r="E229" s="23" t="n"/>
      <c r="F229" s="23" t="n"/>
      <c r="G229" s="22" t="n"/>
      <c r="M229" s="22" t="n"/>
      <c r="N229" s="22" t="n"/>
      <c r="O229" s="22" t="n"/>
    </row>
    <row r="230">
      <c r="E230" s="23" t="n"/>
      <c r="F230" s="23" t="n"/>
      <c r="G230" s="22" t="n"/>
      <c r="M230" s="22" t="n"/>
      <c r="N230" s="22" t="n"/>
      <c r="O230" s="22" t="n"/>
    </row>
    <row r="231">
      <c r="E231" s="23" t="n"/>
      <c r="F231" s="23" t="n"/>
      <c r="G231" s="22" t="n"/>
      <c r="M231" s="22" t="n"/>
      <c r="N231" s="22" t="n"/>
      <c r="O231" s="22" t="n"/>
    </row>
    <row r="232">
      <c r="E232" s="23" t="n"/>
      <c r="F232" s="23" t="n"/>
      <c r="G232" s="22" t="n"/>
      <c r="M232" s="22" t="n"/>
      <c r="N232" s="22" t="n"/>
      <c r="O232" s="22" t="n"/>
    </row>
    <row r="233">
      <c r="E233" s="23" t="n"/>
      <c r="F233" s="23" t="n"/>
      <c r="G233" s="22" t="n"/>
      <c r="M233" s="22" t="n"/>
      <c r="N233" s="22" t="n"/>
      <c r="O233" s="22" t="n"/>
    </row>
    <row r="234">
      <c r="E234" s="23" t="n"/>
      <c r="F234" s="23" t="n"/>
      <c r="G234" s="22" t="n"/>
      <c r="M234" s="22" t="n"/>
      <c r="N234" s="22" t="n"/>
      <c r="O234" s="22" t="n"/>
    </row>
    <row r="235">
      <c r="E235" s="23" t="n"/>
      <c r="F235" s="23" t="n"/>
      <c r="G235" s="22" t="n"/>
      <c r="M235" s="22" t="n"/>
      <c r="N235" s="22" t="n"/>
      <c r="O235" s="22" t="n"/>
    </row>
    <row r="236">
      <c r="E236" s="23" t="n"/>
      <c r="F236" s="23" t="n"/>
      <c r="G236" s="22" t="n"/>
      <c r="M236" s="22" t="n"/>
      <c r="N236" s="22" t="n"/>
      <c r="O236" s="22" t="n"/>
    </row>
    <row r="237">
      <c r="E237" s="23" t="n"/>
      <c r="F237" s="23" t="n"/>
      <c r="G237" s="22" t="n"/>
      <c r="M237" s="22" t="n"/>
      <c r="N237" s="22" t="n"/>
      <c r="O237" s="22" t="n"/>
    </row>
    <row r="238">
      <c r="E238" s="23" t="n"/>
      <c r="F238" s="23" t="n"/>
      <c r="G238" s="22" t="n"/>
      <c r="M238" s="22" t="n"/>
      <c r="N238" s="22" t="n"/>
      <c r="O238" s="22" t="n"/>
    </row>
    <row r="239">
      <c r="E239" s="23" t="n"/>
      <c r="F239" s="23" t="n"/>
      <c r="G239" s="22" t="n"/>
      <c r="M239" s="22" t="n"/>
      <c r="N239" s="22" t="n"/>
      <c r="O239" s="22" t="n"/>
    </row>
    <row r="240">
      <c r="E240" s="23" t="n"/>
      <c r="F240" s="23" t="n"/>
      <c r="G240" s="22" t="n"/>
      <c r="M240" s="22" t="n"/>
      <c r="N240" s="22" t="n"/>
      <c r="O240" s="22" t="n"/>
    </row>
    <row r="241">
      <c r="E241" s="23" t="n"/>
      <c r="F241" s="23" t="n"/>
      <c r="G241" s="22" t="n"/>
      <c r="M241" s="22" t="n"/>
      <c r="N241" s="22" t="n"/>
      <c r="O241" s="22" t="n"/>
    </row>
    <row r="242">
      <c r="E242" s="23" t="n"/>
      <c r="F242" s="23" t="n"/>
      <c r="G242" s="22" t="n"/>
      <c r="M242" s="22" t="n"/>
      <c r="N242" s="22" t="n"/>
      <c r="O242" s="22" t="n"/>
    </row>
    <row r="243">
      <c r="E243" s="23" t="n"/>
      <c r="F243" s="23" t="n"/>
      <c r="G243" s="22" t="n"/>
      <c r="M243" s="22" t="n"/>
      <c r="N243" s="22" t="n"/>
      <c r="O243" s="22" t="n"/>
    </row>
    <row r="244">
      <c r="E244" s="23" t="n"/>
      <c r="F244" s="23" t="n"/>
      <c r="G244" s="22" t="n"/>
      <c r="M244" s="22" t="n"/>
      <c r="N244" s="22" t="n"/>
      <c r="O244" s="22" t="n"/>
    </row>
    <row r="245">
      <c r="E245" s="23" t="n"/>
      <c r="F245" s="23" t="n"/>
      <c r="G245" s="22" t="n"/>
      <c r="M245" s="22" t="n"/>
      <c r="N245" s="22" t="n"/>
      <c r="O245" s="22" t="n"/>
    </row>
    <row r="246">
      <c r="E246" s="23" t="n"/>
      <c r="F246" s="23" t="n"/>
      <c r="G246" s="22" t="n"/>
      <c r="M246" s="22" t="n"/>
      <c r="N246" s="22" t="n"/>
      <c r="O246" s="22" t="n"/>
    </row>
    <row r="247">
      <c r="E247" s="23" t="n"/>
      <c r="F247" s="23" t="n"/>
      <c r="G247" s="22" t="n"/>
      <c r="M247" s="22" t="n"/>
      <c r="N247" s="22" t="n"/>
      <c r="O247" s="22" t="n"/>
    </row>
    <row r="248">
      <c r="E248" s="23" t="n"/>
      <c r="F248" s="23" t="n"/>
      <c r="G248" s="22" t="n"/>
      <c r="M248" s="22" t="n"/>
      <c r="N248" s="22" t="n"/>
      <c r="O248" s="22" t="n"/>
    </row>
    <row r="249">
      <c r="E249" s="23" t="n"/>
      <c r="F249" s="23" t="n"/>
      <c r="G249" s="22" t="n"/>
      <c r="M249" s="22" t="n"/>
      <c r="N249" s="22" t="n"/>
      <c r="O249" s="22" t="n"/>
    </row>
    <row r="250">
      <c r="E250" s="23" t="n"/>
      <c r="F250" s="23" t="n"/>
      <c r="G250" s="22" t="n"/>
      <c r="M250" s="22" t="n"/>
      <c r="N250" s="22" t="n"/>
      <c r="O250" s="22" t="n"/>
    </row>
    <row r="251">
      <c r="E251" s="23" t="n"/>
      <c r="F251" s="23" t="n"/>
      <c r="G251" s="22" t="n"/>
      <c r="M251" s="22" t="n"/>
      <c r="N251" s="22" t="n"/>
      <c r="O251" s="22" t="n"/>
    </row>
    <row r="252">
      <c r="E252" s="23" t="n"/>
      <c r="F252" s="23" t="n"/>
      <c r="G252" s="22" t="n"/>
      <c r="M252" s="22" t="n"/>
      <c r="N252" s="22" t="n"/>
      <c r="O252" s="22" t="n"/>
    </row>
    <row r="253">
      <c r="E253" s="23" t="n"/>
      <c r="F253" s="23" t="n"/>
      <c r="G253" s="22" t="n"/>
      <c r="M253" s="22" t="n"/>
      <c r="N253" s="22" t="n"/>
      <c r="O253" s="22" t="n"/>
    </row>
    <row r="254">
      <c r="E254" s="23" t="n"/>
      <c r="F254" s="23" t="n"/>
      <c r="G254" s="22" t="n"/>
      <c r="M254" s="22" t="n"/>
      <c r="N254" s="22" t="n"/>
      <c r="O254" s="22" t="n"/>
    </row>
    <row r="255">
      <c r="E255" s="23" t="n"/>
      <c r="F255" s="23" t="n"/>
      <c r="G255" s="22" t="n"/>
      <c r="M255" s="22" t="n"/>
      <c r="N255" s="22" t="n"/>
      <c r="O255" s="22" t="n"/>
    </row>
    <row r="256">
      <c r="E256" s="23" t="n"/>
      <c r="F256" s="23" t="n"/>
      <c r="G256" s="22" t="n"/>
      <c r="M256" s="22" t="n"/>
      <c r="N256" s="22" t="n"/>
      <c r="O256" s="22" t="n"/>
    </row>
    <row r="257">
      <c r="E257" s="23" t="n"/>
      <c r="F257" s="23" t="n"/>
      <c r="G257" s="22" t="n"/>
      <c r="M257" s="22" t="n"/>
      <c r="N257" s="22" t="n"/>
      <c r="O257" s="22" t="n"/>
    </row>
    <row r="258">
      <c r="E258" s="23" t="n"/>
      <c r="F258" s="23" t="n"/>
      <c r="G258" s="22" t="n"/>
      <c r="M258" s="22" t="n"/>
      <c r="N258" s="22" t="n"/>
      <c r="O258" s="22" t="n"/>
    </row>
    <row r="259">
      <c r="E259" s="23" t="n"/>
      <c r="F259" s="23" t="n"/>
      <c r="G259" s="22" t="n"/>
      <c r="M259" s="22" t="n"/>
      <c r="N259" s="22" t="n"/>
      <c r="O259" s="22" t="n"/>
    </row>
    <row r="260">
      <c r="E260" s="23" t="n"/>
      <c r="F260" s="23" t="n"/>
      <c r="G260" s="22" t="n"/>
      <c r="M260" s="22" t="n"/>
      <c r="N260" s="22" t="n"/>
      <c r="O260" s="22" t="n"/>
    </row>
    <row r="261">
      <c r="E261" s="23" t="n"/>
      <c r="F261" s="23" t="n"/>
      <c r="G261" s="22" t="n"/>
      <c r="M261" s="22" t="n"/>
      <c r="N261" s="22" t="n"/>
      <c r="O261" s="22" t="n"/>
    </row>
    <row r="262">
      <c r="E262" s="23" t="n"/>
      <c r="F262" s="23" t="n"/>
      <c r="G262" s="22" t="n"/>
      <c r="M262" s="22" t="n"/>
      <c r="N262" s="22" t="n"/>
      <c r="O262" s="22" t="n"/>
    </row>
    <row r="263">
      <c r="E263" s="23" t="n"/>
      <c r="F263" s="23" t="n"/>
      <c r="G263" s="22" t="n"/>
      <c r="M263" s="22" t="n"/>
      <c r="N263" s="22" t="n"/>
      <c r="O263" s="22" t="n"/>
    </row>
    <row r="264">
      <c r="E264" s="23" t="n"/>
      <c r="F264" s="23" t="n"/>
      <c r="G264" s="22" t="n"/>
      <c r="M264" s="22" t="n"/>
      <c r="N264" s="22" t="n"/>
      <c r="O264" s="22" t="n"/>
    </row>
    <row r="265">
      <c r="E265" s="23" t="n"/>
      <c r="F265" s="23" t="n"/>
      <c r="G265" s="22" t="n"/>
      <c r="M265" s="22" t="n"/>
      <c r="N265" s="22" t="n"/>
      <c r="O265" s="22" t="n"/>
    </row>
    <row r="266">
      <c r="E266" s="23" t="n"/>
      <c r="F266" s="23" t="n"/>
      <c r="G266" s="22" t="n"/>
      <c r="M266" s="22" t="n"/>
      <c r="N266" s="22" t="n"/>
      <c r="O266" s="22" t="n"/>
    </row>
    <row r="267">
      <c r="E267" s="23" t="n"/>
      <c r="F267" s="23" t="n"/>
      <c r="G267" s="22" t="n"/>
      <c r="M267" s="22" t="n"/>
      <c r="N267" s="22" t="n"/>
      <c r="O267" s="22" t="n"/>
    </row>
    <row r="268">
      <c r="E268" s="23" t="n"/>
      <c r="F268" s="23" t="n"/>
      <c r="G268" s="22" t="n"/>
      <c r="M268" s="22" t="n"/>
      <c r="N268" s="22" t="n"/>
      <c r="O268" s="22" t="n"/>
    </row>
    <row r="269">
      <c r="E269" s="23" t="n"/>
      <c r="F269" s="23" t="n"/>
      <c r="G269" s="22" t="n"/>
      <c r="M269" s="22" t="n"/>
      <c r="N269" s="22" t="n"/>
      <c r="O269" s="22" t="n"/>
    </row>
    <row r="270">
      <c r="E270" s="23" t="n"/>
      <c r="F270" s="23" t="n"/>
      <c r="G270" s="22" t="n"/>
      <c r="M270" s="22" t="n"/>
      <c r="N270" s="22" t="n"/>
      <c r="O270" s="22" t="n"/>
    </row>
    <row r="271">
      <c r="E271" s="23" t="n"/>
      <c r="F271" s="23" t="n"/>
      <c r="G271" s="22" t="n"/>
      <c r="M271" s="22" t="n"/>
      <c r="N271" s="22" t="n"/>
      <c r="O271" s="22" t="n"/>
    </row>
    <row r="272">
      <c r="E272" s="23" t="n"/>
      <c r="F272" s="23" t="n"/>
      <c r="G272" s="22" t="n"/>
      <c r="M272" s="22" t="n"/>
      <c r="N272" s="22" t="n"/>
      <c r="O272" s="22" t="n"/>
    </row>
    <row r="273">
      <c r="E273" s="23" t="n"/>
      <c r="F273" s="23" t="n"/>
      <c r="G273" s="22" t="n"/>
      <c r="M273" s="22" t="n"/>
      <c r="N273" s="22" t="n"/>
      <c r="O273" s="22" t="n"/>
    </row>
    <row r="274">
      <c r="E274" s="23" t="n"/>
      <c r="F274" s="23" t="n"/>
      <c r="G274" s="22" t="n"/>
      <c r="M274" s="22" t="n"/>
      <c r="N274" s="22" t="n"/>
      <c r="O274" s="22" t="n"/>
    </row>
    <row r="275">
      <c r="E275" s="23" t="n"/>
      <c r="F275" s="23" t="n"/>
      <c r="G275" s="22" t="n"/>
      <c r="M275" s="22" t="n"/>
      <c r="N275" s="22" t="n"/>
      <c r="O275" s="22" t="n"/>
    </row>
    <row r="276">
      <c r="E276" s="23" t="n"/>
      <c r="F276" s="23" t="n"/>
      <c r="G276" s="22" t="n"/>
      <c r="M276" s="22" t="n"/>
      <c r="N276" s="22" t="n"/>
      <c r="O276" s="22" t="n"/>
    </row>
    <row r="277">
      <c r="E277" s="23" t="n"/>
      <c r="F277" s="23" t="n"/>
      <c r="G277" s="22" t="n"/>
      <c r="M277" s="22" t="n"/>
      <c r="N277" s="22" t="n"/>
      <c r="O277" s="22" t="n"/>
    </row>
    <row r="278">
      <c r="E278" s="23" t="n"/>
      <c r="F278" s="23" t="n"/>
      <c r="G278" s="22" t="n"/>
      <c r="M278" s="22" t="n"/>
      <c r="N278" s="22" t="n"/>
      <c r="O278" s="22" t="n"/>
    </row>
    <row r="279">
      <c r="E279" s="23" t="n"/>
      <c r="F279" s="23" t="n"/>
      <c r="G279" s="22" t="n"/>
      <c r="M279" s="22" t="n"/>
      <c r="N279" s="22" t="n"/>
      <c r="O279" s="22" t="n"/>
    </row>
    <row r="280">
      <c r="E280" s="23" t="n"/>
      <c r="F280" s="23" t="n"/>
      <c r="G280" s="22" t="n"/>
      <c r="M280" s="22" t="n"/>
      <c r="N280" s="22" t="n"/>
      <c r="O280" s="22" t="n"/>
    </row>
    <row r="281">
      <c r="E281" s="23" t="n"/>
      <c r="F281" s="23" t="n"/>
      <c r="G281" s="22" t="n"/>
      <c r="M281" s="22" t="n"/>
      <c r="N281" s="22" t="n"/>
      <c r="O281" s="22" t="n"/>
    </row>
    <row r="282">
      <c r="E282" s="23" t="n"/>
      <c r="F282" s="23" t="n"/>
      <c r="G282" s="22" t="n"/>
      <c r="M282" s="22" t="n"/>
      <c r="N282" s="22" t="n"/>
      <c r="O282" s="22" t="n"/>
    </row>
    <row r="283">
      <c r="E283" s="23" t="n"/>
      <c r="F283" s="23" t="n"/>
      <c r="G283" s="22" t="n"/>
      <c r="M283" s="22" t="n"/>
      <c r="N283" s="22" t="n"/>
      <c r="O283" s="22" t="n"/>
    </row>
    <row r="284">
      <c r="E284" s="23" t="n"/>
      <c r="F284" s="23" t="n"/>
      <c r="G284" s="22" t="n"/>
      <c r="M284" s="22" t="n"/>
      <c r="N284" s="22" t="n"/>
      <c r="O284" s="22" t="n"/>
    </row>
    <row r="285">
      <c r="E285" s="23" t="n"/>
      <c r="F285" s="23" t="n"/>
      <c r="G285" s="22" t="n"/>
      <c r="M285" s="22" t="n"/>
      <c r="N285" s="22" t="n"/>
      <c r="O285" s="22" t="n"/>
    </row>
    <row r="286">
      <c r="E286" s="23" t="n"/>
      <c r="F286" s="23" t="n"/>
      <c r="G286" s="22" t="n"/>
      <c r="M286" s="22" t="n"/>
      <c r="N286" s="22" t="n"/>
      <c r="O286" s="22" t="n"/>
    </row>
    <row r="287">
      <c r="E287" s="23" t="n"/>
      <c r="F287" s="23" t="n"/>
      <c r="G287" s="22" t="n"/>
      <c r="M287" s="22" t="n"/>
      <c r="N287" s="22" t="n"/>
      <c r="O287" s="22" t="n"/>
    </row>
    <row r="288">
      <c r="E288" s="23" t="n"/>
      <c r="F288" s="23" t="n"/>
      <c r="G288" s="22" t="n"/>
      <c r="M288" s="22" t="n"/>
      <c r="N288" s="22" t="n"/>
      <c r="O288" s="22" t="n"/>
    </row>
    <row r="289">
      <c r="E289" s="23" t="n"/>
      <c r="F289" s="23" t="n"/>
      <c r="G289" s="22" t="n"/>
      <c r="M289" s="22" t="n"/>
      <c r="N289" s="22" t="n"/>
      <c r="O289" s="22" t="n"/>
    </row>
    <row r="290">
      <c r="E290" s="23" t="n"/>
      <c r="F290" s="23" t="n"/>
      <c r="G290" s="22" t="n"/>
      <c r="M290" s="22" t="n"/>
      <c r="N290" s="22" t="n"/>
      <c r="O290" s="22" t="n"/>
    </row>
    <row r="291">
      <c r="E291" s="23" t="n"/>
      <c r="F291" s="23" t="n"/>
      <c r="G291" s="22" t="n"/>
      <c r="M291" s="22" t="n"/>
      <c r="N291" s="22" t="n"/>
      <c r="O291" s="22" t="n"/>
    </row>
    <row r="292">
      <c r="E292" s="23" t="n"/>
      <c r="F292" s="23" t="n"/>
      <c r="G292" s="22" t="n"/>
      <c r="M292" s="22" t="n"/>
      <c r="N292" s="22" t="n"/>
      <c r="O292" s="22" t="n"/>
    </row>
    <row r="293">
      <c r="E293" s="23" t="n"/>
      <c r="F293" s="23" t="n"/>
      <c r="G293" s="22" t="n"/>
      <c r="M293" s="22" t="n"/>
      <c r="N293" s="22" t="n"/>
      <c r="O293" s="22" t="n"/>
    </row>
    <row r="294">
      <c r="E294" s="23" t="n"/>
      <c r="F294" s="23" t="n"/>
      <c r="G294" s="22" t="n"/>
      <c r="M294" s="22" t="n"/>
      <c r="N294" s="22" t="n"/>
      <c r="O294" s="22" t="n"/>
    </row>
    <row r="295">
      <c r="E295" s="23" t="n"/>
      <c r="F295" s="23" t="n"/>
      <c r="G295" s="22" t="n"/>
      <c r="M295" s="22" t="n"/>
      <c r="N295" s="22" t="n"/>
      <c r="O295" s="22" t="n"/>
    </row>
    <row r="296">
      <c r="E296" s="23" t="n"/>
      <c r="F296" s="23" t="n"/>
      <c r="G296" s="22" t="n"/>
      <c r="M296" s="22" t="n"/>
      <c r="N296" s="22" t="n"/>
      <c r="O296" s="22" t="n"/>
    </row>
    <row r="297">
      <c r="E297" s="23" t="n"/>
      <c r="F297" s="23" t="n"/>
      <c r="G297" s="22" t="n"/>
      <c r="M297" s="22" t="n"/>
      <c r="N297" s="22" t="n"/>
      <c r="O297" s="22" t="n"/>
    </row>
    <row r="298">
      <c r="E298" s="23" t="n"/>
      <c r="F298" s="23" t="n"/>
      <c r="G298" s="22" t="n"/>
      <c r="M298" s="22" t="n"/>
      <c r="N298" s="22" t="n"/>
      <c r="O298" s="22" t="n"/>
    </row>
    <row r="299">
      <c r="E299" s="23" t="n"/>
      <c r="F299" s="23" t="n"/>
      <c r="G299" s="22" t="n"/>
      <c r="M299" s="22" t="n"/>
      <c r="N299" s="22" t="n"/>
      <c r="O299" s="22" t="n"/>
    </row>
    <row r="300">
      <c r="E300" s="23" t="n"/>
      <c r="F300" s="23" t="n"/>
      <c r="G300" s="22" t="n"/>
      <c r="M300" s="22" t="n"/>
      <c r="N300" s="22" t="n"/>
      <c r="O300" s="22" t="n"/>
    </row>
    <row r="301">
      <c r="E301" s="23" t="n"/>
      <c r="F301" s="23" t="n"/>
      <c r="G301" s="22" t="n"/>
      <c r="M301" s="22" t="n"/>
      <c r="N301" s="22" t="n"/>
      <c r="O301" s="22" t="n"/>
    </row>
    <row r="302">
      <c r="E302" s="23" t="n"/>
      <c r="F302" s="23" t="n"/>
      <c r="G302" s="22" t="n"/>
      <c r="M302" s="22" t="n"/>
      <c r="N302" s="22" t="n"/>
      <c r="O302" s="22" t="n"/>
    </row>
    <row r="303">
      <c r="E303" s="23" t="n"/>
      <c r="F303" s="23" t="n"/>
      <c r="G303" s="22" t="n"/>
      <c r="M303" s="22" t="n"/>
      <c r="N303" s="22" t="n"/>
      <c r="O303" s="22" t="n"/>
    </row>
    <row r="304">
      <c r="E304" s="23" t="n"/>
      <c r="F304" s="23" t="n"/>
      <c r="G304" s="22" t="n"/>
      <c r="M304" s="22" t="n"/>
      <c r="N304" s="22" t="n"/>
      <c r="O304" s="22" t="n"/>
    </row>
    <row r="305">
      <c r="E305" s="23" t="n"/>
      <c r="F305" s="23" t="n"/>
      <c r="G305" s="22" t="n"/>
      <c r="M305" s="22" t="n"/>
      <c r="N305" s="22" t="n"/>
      <c r="O305" s="22" t="n"/>
    </row>
    <row r="306">
      <c r="E306" s="23" t="n"/>
      <c r="F306" s="23" t="n"/>
      <c r="G306" s="22" t="n"/>
      <c r="M306" s="22" t="n"/>
      <c r="N306" s="22" t="n"/>
      <c r="O306" s="22" t="n"/>
    </row>
    <row r="307">
      <c r="E307" s="23" t="n"/>
      <c r="F307" s="23" t="n"/>
      <c r="G307" s="22" t="n"/>
      <c r="M307" s="22" t="n"/>
      <c r="N307" s="22" t="n"/>
      <c r="O307" s="22" t="n"/>
    </row>
    <row r="308">
      <c r="E308" s="23" t="n"/>
      <c r="F308" s="23" t="n"/>
      <c r="G308" s="22" t="n"/>
      <c r="M308" s="22" t="n"/>
      <c r="N308" s="22" t="n"/>
      <c r="O308" s="22" t="n"/>
    </row>
    <row r="309">
      <c r="E309" s="23" t="n"/>
      <c r="F309" s="23" t="n"/>
      <c r="G309" s="22" t="n"/>
      <c r="M309" s="22" t="n"/>
      <c r="N309" s="22" t="n"/>
      <c r="O309" s="22" t="n"/>
    </row>
    <row r="310">
      <c r="E310" s="23" t="n"/>
      <c r="F310" s="23" t="n"/>
      <c r="G310" s="22" t="n"/>
      <c r="M310" s="22" t="n"/>
      <c r="N310" s="22" t="n"/>
      <c r="O310" s="22" t="n"/>
    </row>
    <row r="311">
      <c r="E311" s="23" t="n"/>
      <c r="F311" s="23" t="n"/>
      <c r="G311" s="22" t="n"/>
      <c r="M311" s="22" t="n"/>
      <c r="N311" s="22" t="n"/>
      <c r="O311" s="22" t="n"/>
    </row>
    <row r="312">
      <c r="E312" s="23" t="n"/>
      <c r="F312" s="23" t="n"/>
      <c r="G312" s="22" t="n"/>
      <c r="M312" s="22" t="n"/>
      <c r="N312" s="22" t="n"/>
      <c r="O312" s="22" t="n"/>
    </row>
    <row r="313">
      <c r="E313" s="23" t="n"/>
      <c r="F313" s="23" t="n"/>
      <c r="G313" s="22" t="n"/>
      <c r="M313" s="22" t="n"/>
      <c r="N313" s="22" t="n"/>
      <c r="O313" s="22" t="n"/>
    </row>
    <row r="314">
      <c r="E314" s="23" t="n"/>
      <c r="F314" s="23" t="n"/>
      <c r="G314" s="22" t="n"/>
      <c r="M314" s="22" t="n"/>
      <c r="N314" s="22" t="n"/>
      <c r="O314" s="22" t="n"/>
    </row>
    <row r="315">
      <c r="E315" s="23" t="n"/>
      <c r="F315" s="23" t="n"/>
      <c r="G315" s="22" t="n"/>
      <c r="M315" s="22" t="n"/>
      <c r="N315" s="22" t="n"/>
      <c r="O315" s="22" t="n"/>
    </row>
    <row r="316">
      <c r="E316" s="23" t="n"/>
      <c r="F316" s="23" t="n"/>
      <c r="G316" s="22" t="n"/>
      <c r="M316" s="22" t="n"/>
      <c r="N316" s="22" t="n"/>
      <c r="O316" s="22" t="n"/>
    </row>
    <row r="317">
      <c r="E317" s="23" t="n"/>
      <c r="F317" s="23" t="n"/>
      <c r="G317" s="22" t="n"/>
      <c r="M317" s="22" t="n"/>
      <c r="N317" s="22" t="n"/>
      <c r="O317" s="22" t="n"/>
    </row>
    <row r="318">
      <c r="E318" s="23" t="n"/>
      <c r="F318" s="23" t="n"/>
      <c r="G318" s="22" t="n"/>
      <c r="M318" s="22" t="n"/>
      <c r="N318" s="22" t="n"/>
      <c r="O318" s="22" t="n"/>
    </row>
    <row r="319">
      <c r="E319" s="23" t="n"/>
      <c r="F319" s="23" t="n"/>
      <c r="G319" s="22" t="n"/>
      <c r="M319" s="22" t="n"/>
      <c r="N319" s="22" t="n"/>
      <c r="O319" s="22" t="n"/>
    </row>
    <row r="320">
      <c r="E320" s="23" t="n"/>
      <c r="F320" s="23" t="n"/>
      <c r="G320" s="22" t="n"/>
      <c r="M320" s="22" t="n"/>
      <c r="N320" s="22" t="n"/>
      <c r="O320" s="22" t="n"/>
    </row>
    <row r="321">
      <c r="E321" s="23" t="n"/>
      <c r="F321" s="23" t="n"/>
      <c r="G321" s="22" t="n"/>
      <c r="M321" s="22" t="n"/>
      <c r="N321" s="22" t="n"/>
      <c r="O321" s="22" t="n"/>
    </row>
    <row r="322">
      <c r="E322" s="23" t="n"/>
      <c r="F322" s="23" t="n"/>
      <c r="G322" s="22" t="n"/>
      <c r="M322" s="22" t="n"/>
      <c r="N322" s="22" t="n"/>
      <c r="O322" s="22" t="n"/>
    </row>
    <row r="323">
      <c r="E323" s="23" t="n"/>
      <c r="F323" s="23" t="n"/>
      <c r="G323" s="22" t="n"/>
      <c r="M323" s="22" t="n"/>
      <c r="N323" s="22" t="n"/>
      <c r="O323" s="22" t="n"/>
    </row>
    <row r="324">
      <c r="E324" s="23" t="n"/>
      <c r="F324" s="23" t="n"/>
      <c r="G324" s="22" t="n"/>
      <c r="M324" s="22" t="n"/>
      <c r="N324" s="22" t="n"/>
      <c r="O324" s="22" t="n"/>
    </row>
    <row r="325">
      <c r="E325" s="23" t="n"/>
      <c r="F325" s="23" t="n"/>
      <c r="G325" s="22" t="n"/>
      <c r="M325" s="22" t="n"/>
      <c r="N325" s="22" t="n"/>
      <c r="O325" s="22" t="n"/>
    </row>
    <row r="326">
      <c r="E326" s="23" t="n"/>
      <c r="F326" s="23" t="n"/>
      <c r="G326" s="22" t="n"/>
      <c r="M326" s="22" t="n"/>
      <c r="N326" s="22" t="n"/>
      <c r="O326" s="22" t="n"/>
    </row>
    <row r="327">
      <c r="E327" s="23" t="n"/>
      <c r="F327" s="23" t="n"/>
      <c r="G327" s="22" t="n"/>
      <c r="M327" s="22" t="n"/>
      <c r="N327" s="22" t="n"/>
      <c r="O327" s="22" t="n"/>
    </row>
    <row r="328">
      <c r="E328" s="23" t="n"/>
      <c r="F328" s="23" t="n"/>
      <c r="G328" s="22" t="n"/>
      <c r="M328" s="22" t="n"/>
      <c r="N328" s="22" t="n"/>
      <c r="O328" s="22" t="n"/>
    </row>
    <row r="329">
      <c r="E329" s="23" t="n"/>
      <c r="F329" s="23" t="n"/>
      <c r="G329" s="22" t="n"/>
      <c r="M329" s="22" t="n"/>
      <c r="N329" s="22" t="n"/>
      <c r="O329" s="22" t="n"/>
    </row>
    <row r="330">
      <c r="E330" s="23" t="n"/>
      <c r="F330" s="23" t="n"/>
      <c r="G330" s="22" t="n"/>
      <c r="M330" s="22" t="n"/>
      <c r="N330" s="22" t="n"/>
      <c r="O330" s="22" t="n"/>
    </row>
    <row r="331">
      <c r="E331" s="23" t="n"/>
      <c r="F331" s="23" t="n"/>
      <c r="G331" s="22" t="n"/>
      <c r="M331" s="22" t="n"/>
      <c r="N331" s="22" t="n"/>
      <c r="O331" s="22" t="n"/>
    </row>
    <row r="332">
      <c r="E332" s="23" t="n"/>
      <c r="F332" s="23" t="n"/>
      <c r="G332" s="22" t="n"/>
      <c r="M332" s="22" t="n"/>
      <c r="N332" s="22" t="n"/>
      <c r="O332" s="22" t="n"/>
    </row>
    <row r="333">
      <c r="E333" s="23" t="n"/>
      <c r="F333" s="23" t="n"/>
      <c r="G333" s="22" t="n"/>
      <c r="M333" s="22" t="n"/>
      <c r="N333" s="22" t="n"/>
      <c r="O333" s="22" t="n"/>
    </row>
    <row r="334">
      <c r="E334" s="23" t="n"/>
      <c r="F334" s="23" t="n"/>
      <c r="G334" s="22" t="n"/>
      <c r="M334" s="22" t="n"/>
      <c r="N334" s="22" t="n"/>
      <c r="O334" s="22" t="n"/>
    </row>
    <row r="335">
      <c r="E335" s="23" t="n"/>
      <c r="F335" s="23" t="n"/>
      <c r="G335" s="22" t="n"/>
      <c r="M335" s="22" t="n"/>
      <c r="N335" s="22" t="n"/>
      <c r="O335" s="22" t="n"/>
    </row>
    <row r="336">
      <c r="E336" s="23" t="n"/>
      <c r="F336" s="23" t="n"/>
      <c r="G336" s="22" t="n"/>
      <c r="M336" s="22" t="n"/>
      <c r="N336" s="22" t="n"/>
      <c r="O336" s="22" t="n"/>
    </row>
    <row r="337">
      <c r="E337" s="23" t="n"/>
      <c r="F337" s="23" t="n"/>
      <c r="G337" s="22" t="n"/>
      <c r="M337" s="22" t="n"/>
      <c r="N337" s="22" t="n"/>
      <c r="O337" s="22" t="n"/>
    </row>
    <row r="338">
      <c r="E338" s="23" t="n"/>
      <c r="F338" s="23" t="n"/>
      <c r="G338" s="22" t="n"/>
      <c r="M338" s="22" t="n"/>
      <c r="N338" s="22" t="n"/>
      <c r="O338" s="22" t="n"/>
    </row>
    <row r="339">
      <c r="E339" s="23" t="n"/>
      <c r="F339" s="23" t="n"/>
      <c r="G339" s="22" t="n"/>
      <c r="M339" s="22" t="n"/>
      <c r="N339" s="22" t="n"/>
      <c r="O339" s="22" t="n"/>
    </row>
    <row r="340">
      <c r="E340" s="23" t="n"/>
      <c r="F340" s="23" t="n"/>
      <c r="G340" s="22" t="n"/>
      <c r="M340" s="22" t="n"/>
      <c r="N340" s="22" t="n"/>
      <c r="O340" s="22" t="n"/>
    </row>
    <row r="341">
      <c r="E341" s="23" t="n"/>
      <c r="F341" s="23" t="n"/>
      <c r="G341" s="22" t="n"/>
      <c r="M341" s="22" t="n"/>
      <c r="N341" s="22" t="n"/>
      <c r="O341" s="22" t="n"/>
    </row>
    <row r="342">
      <c r="E342" s="23" t="n"/>
      <c r="F342" s="23" t="n"/>
      <c r="G342" s="22" t="n"/>
      <c r="M342" s="22" t="n"/>
      <c r="N342" s="22" t="n"/>
      <c r="O342" s="22" t="n"/>
    </row>
    <row r="343">
      <c r="E343" s="23" t="n"/>
      <c r="F343" s="23" t="n"/>
      <c r="G343" s="22" t="n"/>
      <c r="M343" s="22" t="n"/>
      <c r="N343" s="22" t="n"/>
      <c r="O343" s="22" t="n"/>
    </row>
    <row r="344">
      <c r="E344" s="23" t="n"/>
      <c r="F344" s="23" t="n"/>
      <c r="G344" s="22" t="n"/>
      <c r="M344" s="22" t="n"/>
      <c r="N344" s="22" t="n"/>
      <c r="O344" s="22" t="n"/>
    </row>
    <row r="345">
      <c r="E345" s="23" t="n"/>
      <c r="F345" s="23" t="n"/>
      <c r="G345" s="22" t="n"/>
      <c r="M345" s="22" t="n"/>
      <c r="N345" s="22" t="n"/>
      <c r="O345" s="22" t="n"/>
    </row>
    <row r="346">
      <c r="E346" s="23" t="n"/>
      <c r="F346" s="23" t="n"/>
      <c r="G346" s="22" t="n"/>
      <c r="M346" s="22" t="n"/>
      <c r="N346" s="22" t="n"/>
      <c r="O346" s="22" t="n"/>
    </row>
    <row r="347">
      <c r="E347" s="23" t="n"/>
      <c r="F347" s="23" t="n"/>
      <c r="G347" s="22" t="n"/>
      <c r="M347" s="22" t="n"/>
      <c r="N347" s="22" t="n"/>
      <c r="O347" s="22" t="n"/>
    </row>
    <row r="348">
      <c r="E348" s="23" t="n"/>
      <c r="F348" s="23" t="n"/>
      <c r="G348" s="22" t="n"/>
      <c r="M348" s="22" t="n"/>
      <c r="N348" s="22" t="n"/>
      <c r="O348" s="22" t="n"/>
    </row>
    <row r="349">
      <c r="E349" s="23" t="n"/>
      <c r="F349" s="23" t="n"/>
      <c r="G349" s="22" t="n"/>
      <c r="M349" s="22" t="n"/>
      <c r="N349" s="22" t="n"/>
      <c r="O349" s="22" t="n"/>
    </row>
    <row r="350">
      <c r="E350" s="23" t="n"/>
      <c r="F350" s="23" t="n"/>
      <c r="G350" s="22" t="n"/>
      <c r="M350" s="22" t="n"/>
      <c r="N350" s="22" t="n"/>
      <c r="O350" s="22" t="n"/>
    </row>
    <row r="351">
      <c r="E351" s="23" t="n"/>
      <c r="F351" s="23" t="n"/>
      <c r="G351" s="22" t="n"/>
      <c r="M351" s="22" t="n"/>
      <c r="N351" s="22" t="n"/>
      <c r="O351" s="22" t="n"/>
    </row>
    <row r="352">
      <c r="E352" s="23" t="n"/>
      <c r="F352" s="23" t="n"/>
      <c r="G352" s="22" t="n"/>
      <c r="M352" s="22" t="n"/>
      <c r="N352" s="22" t="n"/>
      <c r="O352" s="22" t="n"/>
    </row>
    <row r="353">
      <c r="E353" s="23" t="n"/>
      <c r="F353" s="23" t="n"/>
      <c r="G353" s="22" t="n"/>
      <c r="M353" s="22" t="n"/>
      <c r="N353" s="22" t="n"/>
      <c r="O353" s="22" t="n"/>
    </row>
    <row r="354">
      <c r="E354" s="23" t="n"/>
      <c r="F354" s="23" t="n"/>
      <c r="G354" s="22" t="n"/>
      <c r="M354" s="22" t="n"/>
      <c r="N354" s="22" t="n"/>
      <c r="O354" s="22" t="n"/>
    </row>
    <row r="355">
      <c r="E355" s="23" t="n"/>
      <c r="F355" s="23" t="n"/>
      <c r="G355" s="22" t="n"/>
      <c r="M355" s="22" t="n"/>
      <c r="N355" s="22" t="n"/>
      <c r="O355" s="22" t="n"/>
    </row>
    <row r="356">
      <c r="E356" s="23" t="n"/>
      <c r="F356" s="23" t="n"/>
      <c r="G356" s="22" t="n"/>
      <c r="M356" s="22" t="n"/>
      <c r="N356" s="22" t="n"/>
      <c r="O356" s="22" t="n"/>
    </row>
    <row r="357">
      <c r="E357" s="23" t="n"/>
      <c r="F357" s="23" t="n"/>
      <c r="G357" s="22" t="n"/>
      <c r="M357" s="22" t="n"/>
      <c r="N357" s="22" t="n"/>
      <c r="O357" s="22" t="n"/>
    </row>
    <row r="358">
      <c r="E358" s="23" t="n"/>
      <c r="F358" s="23" t="n"/>
      <c r="G358" s="22" t="n"/>
      <c r="M358" s="22" t="n"/>
      <c r="N358" s="22" t="n"/>
      <c r="O358" s="22" t="n"/>
    </row>
    <row r="359">
      <c r="E359" s="23" t="n"/>
      <c r="F359" s="23" t="n"/>
      <c r="G359" s="22" t="n"/>
      <c r="M359" s="22" t="n"/>
      <c r="N359" s="22" t="n"/>
      <c r="O359" s="22" t="n"/>
    </row>
    <row r="360">
      <c r="E360" s="23" t="n"/>
      <c r="F360" s="23" t="n"/>
      <c r="G360" s="22" t="n"/>
      <c r="M360" s="22" t="n"/>
      <c r="N360" s="22" t="n"/>
      <c r="O360" s="22" t="n"/>
    </row>
    <row r="361">
      <c r="E361" s="23" t="n"/>
      <c r="F361" s="23" t="n"/>
      <c r="G361" s="22" t="n"/>
      <c r="M361" s="22" t="n"/>
      <c r="N361" s="22" t="n"/>
      <c r="O361" s="22" t="n"/>
    </row>
    <row r="362">
      <c r="E362" s="23" t="n"/>
      <c r="F362" s="23" t="n"/>
      <c r="G362" s="22" t="n"/>
      <c r="M362" s="22" t="n"/>
      <c r="N362" s="22" t="n"/>
      <c r="O362" s="22" t="n"/>
    </row>
    <row r="363">
      <c r="E363" s="23" t="n"/>
      <c r="F363" s="23" t="n"/>
      <c r="G363" s="22" t="n"/>
      <c r="M363" s="22" t="n"/>
      <c r="N363" s="22" t="n"/>
      <c r="O363" s="22" t="n"/>
    </row>
    <row r="364">
      <c r="E364" s="23" t="n"/>
      <c r="F364" s="23" t="n"/>
      <c r="G364" s="22" t="n"/>
      <c r="M364" s="22" t="n"/>
      <c r="N364" s="22" t="n"/>
      <c r="O364" s="22" t="n"/>
    </row>
    <row r="365">
      <c r="E365" s="23" t="n"/>
      <c r="F365" s="23" t="n"/>
      <c r="G365" s="22" t="n"/>
      <c r="M365" s="22" t="n"/>
      <c r="N365" s="22" t="n"/>
      <c r="O365" s="22" t="n"/>
    </row>
    <row r="366">
      <c r="E366" s="23" t="n"/>
      <c r="F366" s="23" t="n"/>
      <c r="G366" s="22" t="n"/>
      <c r="M366" s="22" t="n"/>
      <c r="N366" s="22" t="n"/>
      <c r="O366" s="22" t="n"/>
    </row>
    <row r="367">
      <c r="E367" s="23" t="n"/>
      <c r="F367" s="23" t="n"/>
      <c r="G367" s="22" t="n"/>
      <c r="M367" s="22" t="n"/>
      <c r="N367" s="22" t="n"/>
      <c r="O367" s="22" t="n"/>
    </row>
    <row r="368">
      <c r="E368" s="23" t="n"/>
      <c r="F368" s="23" t="n"/>
      <c r="G368" s="22" t="n"/>
      <c r="M368" s="22" t="n"/>
      <c r="N368" s="22" t="n"/>
      <c r="O368" s="22" t="n"/>
    </row>
    <row r="369">
      <c r="E369" s="23" t="n"/>
      <c r="F369" s="23" t="n"/>
      <c r="G369" s="22" t="n"/>
      <c r="M369" s="22" t="n"/>
      <c r="N369" s="22" t="n"/>
      <c r="O369" s="22" t="n"/>
    </row>
    <row r="370">
      <c r="E370" s="23" t="n"/>
      <c r="F370" s="23" t="n"/>
      <c r="G370" s="22" t="n"/>
      <c r="M370" s="22" t="n"/>
      <c r="N370" s="22" t="n"/>
      <c r="O370" s="22" t="n"/>
    </row>
    <row r="371">
      <c r="E371" s="23" t="n"/>
      <c r="F371" s="23" t="n"/>
      <c r="G371" s="22" t="n"/>
      <c r="M371" s="22" t="n"/>
      <c r="N371" s="22" t="n"/>
      <c r="O371" s="22" t="n"/>
    </row>
    <row r="372">
      <c r="E372" s="23" t="n"/>
      <c r="F372" s="23" t="n"/>
      <c r="G372" s="22" t="n"/>
      <c r="M372" s="22" t="n"/>
      <c r="N372" s="22" t="n"/>
      <c r="O372" s="22" t="n"/>
    </row>
    <row r="373">
      <c r="E373" s="23" t="n"/>
      <c r="F373" s="23" t="n"/>
      <c r="G373" s="22" t="n"/>
      <c r="M373" s="22" t="n"/>
      <c r="N373" s="22" t="n"/>
      <c r="O373" s="22" t="n"/>
    </row>
    <row r="374">
      <c r="E374" s="23" t="n"/>
      <c r="F374" s="23" t="n"/>
      <c r="G374" s="22" t="n"/>
      <c r="M374" s="22" t="n"/>
      <c r="N374" s="22" t="n"/>
      <c r="O374" s="22" t="n"/>
    </row>
    <row r="375">
      <c r="E375" s="23" t="n"/>
      <c r="F375" s="23" t="n"/>
      <c r="G375" s="22" t="n"/>
      <c r="M375" s="22" t="n"/>
      <c r="N375" s="22" t="n"/>
      <c r="O375" s="22" t="n"/>
    </row>
    <row r="376">
      <c r="E376" s="23" t="n"/>
      <c r="F376" s="23" t="n"/>
      <c r="G376" s="22" t="n"/>
      <c r="M376" s="22" t="n"/>
      <c r="N376" s="22" t="n"/>
      <c r="O376" s="22" t="n"/>
    </row>
    <row r="377">
      <c r="E377" s="23" t="n"/>
      <c r="F377" s="23" t="n"/>
      <c r="G377" s="22" t="n"/>
      <c r="M377" s="22" t="n"/>
      <c r="N377" s="22" t="n"/>
      <c r="O377" s="22" t="n"/>
    </row>
    <row r="378">
      <c r="E378" s="23" t="n"/>
      <c r="F378" s="23" t="n"/>
      <c r="G378" s="22" t="n"/>
      <c r="M378" s="22" t="n"/>
      <c r="N378" s="22" t="n"/>
      <c r="O378" s="22" t="n"/>
    </row>
    <row r="379">
      <c r="E379" s="23" t="n"/>
      <c r="F379" s="23" t="n"/>
      <c r="G379" s="22" t="n"/>
      <c r="M379" s="22" t="n"/>
      <c r="N379" s="22" t="n"/>
      <c r="O379" s="22" t="n"/>
    </row>
    <row r="380">
      <c r="E380" s="23" t="n"/>
      <c r="F380" s="23" t="n"/>
      <c r="G380" s="22" t="n"/>
      <c r="M380" s="22" t="n"/>
      <c r="N380" s="22" t="n"/>
      <c r="O380" s="22" t="n"/>
    </row>
    <row r="381">
      <c r="E381" s="23" t="n"/>
      <c r="F381" s="23" t="n"/>
      <c r="G381" s="22" t="n"/>
      <c r="M381" s="22" t="n"/>
      <c r="N381" s="22" t="n"/>
      <c r="O381" s="22" t="n"/>
    </row>
    <row r="382">
      <c r="E382" s="23" t="n"/>
      <c r="F382" s="23" t="n"/>
      <c r="G382" s="22" t="n"/>
      <c r="M382" s="22" t="n"/>
      <c r="N382" s="22" t="n"/>
      <c r="O382" s="22" t="n"/>
    </row>
    <row r="383">
      <c r="E383" s="23" t="n"/>
      <c r="F383" s="23" t="n"/>
      <c r="G383" s="22" t="n"/>
      <c r="M383" s="22" t="n"/>
      <c r="N383" s="22" t="n"/>
      <c r="O383" s="22" t="n"/>
    </row>
    <row r="384">
      <c r="E384" s="23" t="n"/>
      <c r="F384" s="23" t="n"/>
      <c r="G384" s="22" t="n"/>
      <c r="M384" s="22" t="n"/>
      <c r="N384" s="22" t="n"/>
      <c r="O384" s="22" t="n"/>
    </row>
    <row r="385">
      <c r="E385" s="23" t="n"/>
      <c r="F385" s="23" t="n"/>
      <c r="G385" s="22" t="n"/>
      <c r="M385" s="22" t="n"/>
      <c r="N385" s="22" t="n"/>
      <c r="O385" s="22" t="n"/>
    </row>
    <row r="386">
      <c r="E386" s="23" t="n"/>
      <c r="F386" s="23" t="n"/>
      <c r="G386" s="22" t="n"/>
      <c r="M386" s="22" t="n"/>
      <c r="N386" s="22" t="n"/>
      <c r="O386" s="22" t="n"/>
    </row>
    <row r="387">
      <c r="E387" s="23" t="n"/>
      <c r="F387" s="23" t="n"/>
      <c r="G387" s="22" t="n"/>
      <c r="M387" s="22" t="n"/>
      <c r="N387" s="22" t="n"/>
      <c r="O387" s="22" t="n"/>
    </row>
    <row r="388">
      <c r="E388" s="23" t="n"/>
      <c r="F388" s="23" t="n"/>
      <c r="G388" s="22" t="n"/>
      <c r="M388" s="22" t="n"/>
      <c r="N388" s="22" t="n"/>
      <c r="O388" s="22" t="n"/>
    </row>
    <row r="389">
      <c r="E389" s="23" t="n"/>
      <c r="F389" s="23" t="n"/>
      <c r="G389" s="22" t="n"/>
      <c r="M389" s="22" t="n"/>
      <c r="N389" s="22" t="n"/>
      <c r="O389" s="22" t="n"/>
    </row>
    <row r="390">
      <c r="E390" s="23" t="n"/>
      <c r="F390" s="23" t="n"/>
      <c r="G390" s="22" t="n"/>
      <c r="M390" s="22" t="n"/>
      <c r="N390" s="22" t="n"/>
      <c r="O390" s="22" t="n"/>
    </row>
    <row r="391">
      <c r="E391" s="23" t="n"/>
      <c r="F391" s="23" t="n"/>
      <c r="G391" s="22" t="n"/>
      <c r="M391" s="22" t="n"/>
      <c r="N391" s="22" t="n"/>
      <c r="O391" s="22" t="n"/>
    </row>
    <row r="392">
      <c r="E392" s="23" t="n"/>
      <c r="F392" s="23" t="n"/>
      <c r="G392" s="22" t="n"/>
      <c r="M392" s="22" t="n"/>
      <c r="N392" s="22" t="n"/>
      <c r="O392" s="22" t="n"/>
    </row>
    <row r="393">
      <c r="E393" s="23" t="n"/>
      <c r="F393" s="23" t="n"/>
      <c r="G393" s="22" t="n"/>
      <c r="M393" s="22" t="n"/>
      <c r="N393" s="22" t="n"/>
      <c r="O393" s="22" t="n"/>
    </row>
    <row r="394">
      <c r="E394" s="23" t="n"/>
      <c r="F394" s="23" t="n"/>
      <c r="G394" s="22" t="n"/>
      <c r="M394" s="22" t="n"/>
      <c r="N394" s="22" t="n"/>
      <c r="O394" s="22" t="n"/>
    </row>
    <row r="395">
      <c r="E395" s="23" t="n"/>
      <c r="F395" s="23" t="n"/>
      <c r="G395" s="22" t="n"/>
      <c r="M395" s="22" t="n"/>
      <c r="N395" s="22" t="n"/>
      <c r="O395" s="22" t="n"/>
    </row>
    <row r="396">
      <c r="E396" s="23" t="n"/>
      <c r="F396" s="23" t="n"/>
      <c r="G396" s="22" t="n"/>
      <c r="M396" s="22" t="n"/>
      <c r="N396" s="22" t="n"/>
      <c r="O396" s="22" t="n"/>
    </row>
    <row r="397">
      <c r="E397" s="23" t="n"/>
      <c r="F397" s="23" t="n"/>
      <c r="G397" s="22" t="n"/>
      <c r="M397" s="22" t="n"/>
      <c r="N397" s="22" t="n"/>
      <c r="O397" s="22" t="n"/>
    </row>
    <row r="398">
      <c r="E398" s="23" t="n"/>
      <c r="F398" s="23" t="n"/>
      <c r="G398" s="22" t="n"/>
      <c r="M398" s="22" t="n"/>
      <c r="N398" s="22" t="n"/>
      <c r="O398" s="22" t="n"/>
    </row>
    <row r="399">
      <c r="E399" s="23" t="n"/>
      <c r="F399" s="23" t="n"/>
      <c r="G399" s="22" t="n"/>
      <c r="M399" s="22" t="n"/>
      <c r="N399" s="22" t="n"/>
      <c r="O399" s="22" t="n"/>
    </row>
    <row r="400">
      <c r="E400" s="23" t="n"/>
      <c r="F400" s="23" t="n"/>
      <c r="G400" s="22" t="n"/>
      <c r="M400" s="22" t="n"/>
      <c r="N400" s="22" t="n"/>
      <c r="O400" s="22" t="n"/>
    </row>
    <row r="401">
      <c r="E401" s="23" t="n"/>
      <c r="F401" s="23" t="n"/>
      <c r="G401" s="22" t="n"/>
      <c r="M401" s="22" t="n"/>
      <c r="N401" s="22" t="n"/>
      <c r="O401" s="22" t="n"/>
    </row>
    <row r="402">
      <c r="E402" s="23" t="n"/>
      <c r="F402" s="23" t="n"/>
      <c r="G402" s="22" t="n"/>
      <c r="M402" s="22" t="n"/>
      <c r="N402" s="22" t="n"/>
      <c r="O402" s="22" t="n"/>
    </row>
    <row r="403">
      <c r="E403" s="23" t="n"/>
      <c r="F403" s="23" t="n"/>
      <c r="G403" s="22" t="n"/>
      <c r="M403" s="22" t="n"/>
      <c r="N403" s="22" t="n"/>
      <c r="O403" s="22" t="n"/>
    </row>
    <row r="404">
      <c r="E404" s="23" t="n"/>
      <c r="F404" s="23" t="n"/>
      <c r="G404" s="22" t="n"/>
      <c r="M404" s="22" t="n"/>
      <c r="N404" s="22" t="n"/>
      <c r="O404" s="22" t="n"/>
    </row>
    <row r="405">
      <c r="E405" s="23" t="n"/>
      <c r="F405" s="23" t="n"/>
      <c r="G405" s="22" t="n"/>
      <c r="M405" s="22" t="n"/>
      <c r="N405" s="22" t="n"/>
      <c r="O405" s="22" t="n"/>
    </row>
    <row r="406">
      <c r="E406" s="23" t="n"/>
      <c r="F406" s="23" t="n"/>
      <c r="G406" s="22" t="n"/>
      <c r="M406" s="22" t="n"/>
      <c r="N406" s="22" t="n"/>
      <c r="O406" s="22" t="n"/>
    </row>
    <row r="407">
      <c r="E407" s="23" t="n"/>
      <c r="F407" s="23" t="n"/>
      <c r="G407" s="22" t="n"/>
      <c r="M407" s="22" t="n"/>
      <c r="N407" s="22" t="n"/>
      <c r="O407" s="22" t="n"/>
    </row>
    <row r="408">
      <c r="E408" s="23" t="n"/>
      <c r="F408" s="23" t="n"/>
      <c r="G408" s="22" t="n"/>
      <c r="M408" s="22" t="n"/>
      <c r="N408" s="22" t="n"/>
      <c r="O408" s="22" t="n"/>
    </row>
    <row r="409">
      <c r="E409" s="23" t="n"/>
      <c r="F409" s="23" t="n"/>
      <c r="G409" s="22" t="n"/>
      <c r="M409" s="22" t="n"/>
      <c r="N409" s="22" t="n"/>
      <c r="O409" s="22" t="n"/>
    </row>
    <row r="410">
      <c r="E410" s="23" t="n"/>
      <c r="F410" s="23" t="n"/>
      <c r="G410" s="22" t="n"/>
      <c r="M410" s="22" t="n"/>
      <c r="N410" s="22" t="n"/>
      <c r="O410" s="22" t="n"/>
    </row>
    <row r="411">
      <c r="E411" s="23" t="n"/>
      <c r="F411" s="23" t="n"/>
      <c r="G411" s="22" t="n"/>
      <c r="M411" s="22" t="n"/>
      <c r="N411" s="22" t="n"/>
      <c r="O411" s="22" t="n"/>
    </row>
    <row r="412">
      <c r="E412" s="23" t="n"/>
      <c r="F412" s="23" t="n"/>
      <c r="G412" s="22" t="n"/>
      <c r="M412" s="22" t="n"/>
      <c r="N412" s="22" t="n"/>
      <c r="O412" s="22" t="n"/>
    </row>
    <row r="413">
      <c r="E413" s="23" t="n"/>
      <c r="F413" s="23" t="n"/>
      <c r="G413" s="22" t="n"/>
      <c r="M413" s="22" t="n"/>
      <c r="N413" s="22" t="n"/>
      <c r="O413" s="22" t="n"/>
    </row>
    <row r="414">
      <c r="E414" s="23" t="n"/>
      <c r="F414" s="23" t="n"/>
      <c r="G414" s="22" t="n"/>
      <c r="M414" s="22" t="n"/>
      <c r="N414" s="22" t="n"/>
      <c r="O414" s="22" t="n"/>
    </row>
    <row r="415">
      <c r="E415" s="23" t="n"/>
      <c r="F415" s="23" t="n"/>
      <c r="G415" s="22" t="n"/>
      <c r="M415" s="22" t="n"/>
      <c r="N415" s="22" t="n"/>
      <c r="O415" s="22" t="n"/>
    </row>
    <row r="416">
      <c r="E416" s="23" t="n"/>
      <c r="F416" s="23" t="n"/>
      <c r="G416" s="22" t="n"/>
      <c r="M416" s="22" t="n"/>
      <c r="N416" s="22" t="n"/>
      <c r="O416" s="22" t="n"/>
    </row>
    <row r="417">
      <c r="E417" s="23" t="n"/>
      <c r="F417" s="23" t="n"/>
      <c r="G417" s="22" t="n"/>
      <c r="M417" s="22" t="n"/>
      <c r="N417" s="22" t="n"/>
      <c r="O417" s="22" t="n"/>
    </row>
    <row r="418">
      <c r="E418" s="23" t="n"/>
      <c r="F418" s="23" t="n"/>
      <c r="G418" s="22" t="n"/>
      <c r="M418" s="22" t="n"/>
      <c r="N418" s="22" t="n"/>
      <c r="O418" s="22" t="n"/>
    </row>
    <row r="419">
      <c r="E419" s="23" t="n"/>
      <c r="F419" s="23" t="n"/>
      <c r="G419" s="22" t="n"/>
      <c r="M419" s="22" t="n"/>
      <c r="N419" s="22" t="n"/>
      <c r="O419" s="22" t="n"/>
    </row>
    <row r="420">
      <c r="E420" s="23" t="n"/>
      <c r="F420" s="23" t="n"/>
      <c r="G420" s="22" t="n"/>
      <c r="M420" s="22" t="n"/>
      <c r="N420" s="22" t="n"/>
      <c r="O420" s="22" t="n"/>
    </row>
    <row r="421">
      <c r="E421" s="23" t="n"/>
      <c r="F421" s="23" t="n"/>
      <c r="G421" s="22" t="n"/>
      <c r="M421" s="22" t="n"/>
      <c r="N421" s="22" t="n"/>
      <c r="O421" s="22" t="n"/>
    </row>
    <row r="422">
      <c r="E422" s="23" t="n"/>
      <c r="F422" s="23" t="n"/>
      <c r="G422" s="22" t="n"/>
      <c r="M422" s="22" t="n"/>
      <c r="N422" s="22" t="n"/>
      <c r="O422" s="22" t="n"/>
    </row>
    <row r="423">
      <c r="E423" s="23" t="n"/>
      <c r="F423" s="23" t="n"/>
      <c r="G423" s="22" t="n"/>
      <c r="M423" s="22" t="n"/>
      <c r="N423" s="22" t="n"/>
      <c r="O423" s="22" t="n"/>
    </row>
    <row r="424">
      <c r="E424" s="23" t="n"/>
      <c r="F424" s="23" t="n"/>
      <c r="G424" s="22" t="n"/>
      <c r="M424" s="22" t="n"/>
      <c r="N424" s="22" t="n"/>
      <c r="O424" s="22" t="n"/>
    </row>
    <row r="425">
      <c r="E425" s="23" t="n"/>
      <c r="F425" s="23" t="n"/>
      <c r="G425" s="22" t="n"/>
      <c r="M425" s="22" t="n"/>
      <c r="N425" s="22" t="n"/>
      <c r="O425" s="22" t="n"/>
    </row>
    <row r="426">
      <c r="E426" s="23" t="n"/>
      <c r="F426" s="23" t="n"/>
      <c r="G426" s="22" t="n"/>
      <c r="M426" s="22" t="n"/>
      <c r="N426" s="22" t="n"/>
      <c r="O426" s="22" t="n"/>
    </row>
    <row r="427">
      <c r="E427" s="23" t="n"/>
      <c r="F427" s="23" t="n"/>
      <c r="G427" s="22" t="n"/>
      <c r="M427" s="22" t="n"/>
      <c r="N427" s="22" t="n"/>
      <c r="O427" s="22" t="n"/>
    </row>
    <row r="428">
      <c r="E428" s="23" t="n"/>
      <c r="F428" s="23" t="n"/>
      <c r="G428" s="22" t="n"/>
      <c r="M428" s="22" t="n"/>
      <c r="N428" s="22" t="n"/>
      <c r="O428" s="22" t="n"/>
    </row>
    <row r="429">
      <c r="E429" s="23" t="n"/>
      <c r="F429" s="23" t="n"/>
      <c r="G429" s="22" t="n"/>
      <c r="M429" s="22" t="n"/>
      <c r="N429" s="22" t="n"/>
      <c r="O429" s="22" t="n"/>
    </row>
    <row r="430">
      <c r="E430" s="23" t="n"/>
      <c r="F430" s="23" t="n"/>
      <c r="G430" s="22" t="n"/>
      <c r="M430" s="22" t="n"/>
      <c r="N430" s="22" t="n"/>
      <c r="O430" s="22" t="n"/>
    </row>
    <row r="431">
      <c r="E431" s="23" t="n"/>
      <c r="F431" s="23" t="n"/>
      <c r="G431" s="22" t="n"/>
      <c r="M431" s="22" t="n"/>
      <c r="N431" s="22" t="n"/>
      <c r="O431" s="22" t="n"/>
    </row>
    <row r="432">
      <c r="E432" s="23" t="n"/>
      <c r="F432" s="23" t="n"/>
      <c r="G432" s="22" t="n"/>
      <c r="M432" s="22" t="n"/>
      <c r="N432" s="22" t="n"/>
      <c r="O432" s="22" t="n"/>
    </row>
    <row r="433">
      <c r="E433" s="23" t="n"/>
      <c r="F433" s="23" t="n"/>
      <c r="G433" s="22" t="n"/>
      <c r="M433" s="22" t="n"/>
      <c r="N433" s="22" t="n"/>
      <c r="O433" s="22" t="n"/>
    </row>
    <row r="434">
      <c r="E434" s="23" t="n"/>
      <c r="F434" s="23" t="n"/>
      <c r="G434" s="22" t="n"/>
      <c r="M434" s="22" t="n"/>
      <c r="N434" s="22" t="n"/>
      <c r="O434" s="22" t="n"/>
    </row>
    <row r="435">
      <c r="E435" s="23" t="n"/>
      <c r="F435" s="23" t="n"/>
      <c r="G435" s="22" t="n"/>
      <c r="M435" s="22" t="n"/>
      <c r="N435" s="22" t="n"/>
      <c r="O435" s="22" t="n"/>
    </row>
    <row r="436">
      <c r="E436" s="23" t="n"/>
      <c r="F436" s="23" t="n"/>
      <c r="G436" s="22" t="n"/>
      <c r="M436" s="22" t="n"/>
      <c r="N436" s="22" t="n"/>
      <c r="O436" s="22" t="n"/>
    </row>
    <row r="437">
      <c r="E437" s="23" t="n"/>
      <c r="F437" s="23" t="n"/>
      <c r="G437" s="22" t="n"/>
      <c r="M437" s="22" t="n"/>
      <c r="N437" s="22" t="n"/>
      <c r="O437" s="22" t="n"/>
    </row>
    <row r="438">
      <c r="E438" s="23" t="n"/>
      <c r="F438" s="23" t="n"/>
      <c r="G438" s="22" t="n"/>
      <c r="M438" s="22" t="n"/>
      <c r="N438" s="22" t="n"/>
      <c r="O438" s="22" t="n"/>
    </row>
    <row r="439">
      <c r="E439" s="23" t="n"/>
      <c r="F439" s="23" t="n"/>
      <c r="G439" s="22" t="n"/>
      <c r="M439" s="22" t="n"/>
      <c r="N439" s="22" t="n"/>
      <c r="O439" s="22" t="n"/>
    </row>
    <row r="440">
      <c r="E440" s="23" t="n"/>
      <c r="F440" s="23" t="n"/>
      <c r="G440" s="22" t="n"/>
      <c r="M440" s="22" t="n"/>
      <c r="N440" s="22" t="n"/>
      <c r="O440" s="22" t="n"/>
    </row>
    <row r="441">
      <c r="E441" s="23" t="n"/>
      <c r="F441" s="23" t="n"/>
      <c r="G441" s="22" t="n"/>
      <c r="M441" s="22" t="n"/>
      <c r="N441" s="22" t="n"/>
      <c r="O441" s="22" t="n"/>
    </row>
    <row r="442">
      <c r="E442" s="23" t="n"/>
      <c r="F442" s="23" t="n"/>
      <c r="G442" s="22" t="n"/>
      <c r="M442" s="22" t="n"/>
      <c r="N442" s="22" t="n"/>
      <c r="O442" s="22" t="n"/>
    </row>
    <row r="443">
      <c r="E443" s="23" t="n"/>
      <c r="F443" s="23" t="n"/>
      <c r="G443" s="22" t="n"/>
      <c r="M443" s="22" t="n"/>
      <c r="N443" s="22" t="n"/>
      <c r="O443" s="22" t="n"/>
    </row>
    <row r="444">
      <c r="E444" s="23" t="n"/>
      <c r="F444" s="23" t="n"/>
      <c r="G444" s="22" t="n"/>
      <c r="M444" s="22" t="n"/>
      <c r="N444" s="22" t="n"/>
      <c r="O444" s="22" t="n"/>
    </row>
    <row r="445">
      <c r="E445" s="23" t="n"/>
      <c r="F445" s="23" t="n"/>
      <c r="G445" s="22" t="n"/>
      <c r="M445" s="22" t="n"/>
      <c r="N445" s="22" t="n"/>
      <c r="O445" s="22" t="n"/>
    </row>
    <row r="446">
      <c r="E446" s="23" t="n"/>
      <c r="F446" s="23" t="n"/>
      <c r="G446" s="22" t="n"/>
      <c r="M446" s="22" t="n"/>
      <c r="N446" s="22" t="n"/>
      <c r="O446" s="22" t="n"/>
    </row>
    <row r="447">
      <c r="E447" s="23" t="n"/>
      <c r="F447" s="23" t="n"/>
      <c r="G447" s="22" t="n"/>
      <c r="M447" s="22" t="n"/>
      <c r="N447" s="22" t="n"/>
      <c r="O447" s="22" t="n"/>
    </row>
    <row r="448">
      <c r="E448" s="23" t="n"/>
      <c r="F448" s="23" t="n"/>
      <c r="G448" s="22" t="n"/>
      <c r="M448" s="22" t="n"/>
      <c r="N448" s="22" t="n"/>
      <c r="O448" s="22" t="n"/>
    </row>
    <row r="449">
      <c r="E449" s="23" t="n"/>
      <c r="F449" s="23" t="n"/>
      <c r="G449" s="22" t="n"/>
      <c r="M449" s="22" t="n"/>
      <c r="N449" s="22" t="n"/>
      <c r="O449" s="22" t="n"/>
    </row>
    <row r="450">
      <c r="E450" s="23" t="n"/>
      <c r="F450" s="23" t="n"/>
      <c r="G450" s="22" t="n"/>
      <c r="M450" s="22" t="n"/>
      <c r="N450" s="22" t="n"/>
      <c r="O450" s="22" t="n"/>
    </row>
    <row r="451">
      <c r="E451" s="23" t="n"/>
      <c r="F451" s="23" t="n"/>
      <c r="G451" s="22" t="n"/>
      <c r="M451" s="22" t="n"/>
      <c r="N451" s="22" t="n"/>
      <c r="O451" s="22" t="n"/>
    </row>
    <row r="452">
      <c r="E452" s="23" t="n"/>
      <c r="F452" s="23" t="n"/>
      <c r="G452" s="22" t="n"/>
      <c r="M452" s="22" t="n"/>
      <c r="N452" s="22" t="n"/>
      <c r="O452" s="22" t="n"/>
    </row>
    <row r="453">
      <c r="E453" s="23" t="n"/>
      <c r="F453" s="23" t="n"/>
      <c r="G453" s="22" t="n"/>
      <c r="M453" s="22" t="n"/>
      <c r="N453" s="22" t="n"/>
      <c r="O453" s="22" t="n"/>
    </row>
    <row r="454">
      <c r="E454" s="23" t="n"/>
      <c r="F454" s="23" t="n"/>
      <c r="G454" s="22" t="n"/>
      <c r="M454" s="22" t="n"/>
      <c r="N454" s="22" t="n"/>
      <c r="O454" s="22" t="n"/>
    </row>
    <row r="455">
      <c r="E455" s="23" t="n"/>
      <c r="F455" s="23" t="n"/>
      <c r="G455" s="22" t="n"/>
      <c r="M455" s="22" t="n"/>
      <c r="N455" s="22" t="n"/>
      <c r="O455" s="22" t="n"/>
    </row>
    <row r="456">
      <c r="E456" s="23" t="n"/>
      <c r="F456" s="23" t="n"/>
      <c r="G456" s="22" t="n"/>
      <c r="M456" s="22" t="n"/>
      <c r="N456" s="22" t="n"/>
      <c r="O456" s="22" t="n"/>
    </row>
    <row r="457">
      <c r="E457" s="23" t="n"/>
      <c r="F457" s="23" t="n"/>
      <c r="G457" s="22" t="n"/>
      <c r="M457" s="22" t="n"/>
      <c r="N457" s="22" t="n"/>
      <c r="O457" s="22" t="n"/>
    </row>
    <row r="458">
      <c r="E458" s="23" t="n"/>
      <c r="F458" s="23" t="n"/>
      <c r="G458" s="22" t="n"/>
      <c r="M458" s="22" t="n"/>
      <c r="N458" s="22" t="n"/>
      <c r="O458" s="22" t="n"/>
    </row>
    <row r="459">
      <c r="E459" s="23" t="n"/>
      <c r="F459" s="23" t="n"/>
      <c r="G459" s="22" t="n"/>
      <c r="M459" s="22" t="n"/>
      <c r="N459" s="22" t="n"/>
      <c r="O459" s="22" t="n"/>
    </row>
    <row r="460">
      <c r="E460" s="23" t="n"/>
      <c r="F460" s="23" t="n"/>
      <c r="G460" s="22" t="n"/>
      <c r="M460" s="22" t="n"/>
      <c r="N460" s="22" t="n"/>
      <c r="O460" s="22" t="n"/>
    </row>
    <row r="461">
      <c r="E461" s="23" t="n"/>
      <c r="F461" s="23" t="n"/>
      <c r="G461" s="22" t="n"/>
      <c r="M461" s="22" t="n"/>
      <c r="N461" s="22" t="n"/>
      <c r="O461" s="22" t="n"/>
    </row>
    <row r="462">
      <c r="E462" s="23" t="n"/>
      <c r="F462" s="23" t="n"/>
      <c r="G462" s="22" t="n"/>
      <c r="M462" s="22" t="n"/>
      <c r="N462" s="22" t="n"/>
      <c r="O462" s="22" t="n"/>
    </row>
    <row r="463">
      <c r="E463" s="23" t="n"/>
      <c r="F463" s="23" t="n"/>
      <c r="G463" s="22" t="n"/>
      <c r="M463" s="22" t="n"/>
      <c r="N463" s="22" t="n"/>
      <c r="O463" s="22" t="n"/>
    </row>
    <row r="464">
      <c r="E464" s="23" t="n"/>
      <c r="F464" s="23" t="n"/>
      <c r="G464" s="22" t="n"/>
      <c r="M464" s="22" t="n"/>
      <c r="N464" s="22" t="n"/>
      <c r="O464" s="22" t="n"/>
    </row>
    <row r="465">
      <c r="E465" s="23" t="n"/>
      <c r="F465" s="23" t="n"/>
      <c r="G465" s="22" t="n"/>
      <c r="M465" s="22" t="n"/>
      <c r="N465" s="22" t="n"/>
      <c r="O465" s="22" t="n"/>
    </row>
    <row r="466">
      <c r="E466" s="23" t="n"/>
      <c r="F466" s="23" t="n"/>
      <c r="G466" s="22" t="n"/>
      <c r="M466" s="22" t="n"/>
      <c r="N466" s="22" t="n"/>
      <c r="O466" s="22" t="n"/>
    </row>
    <row r="467">
      <c r="E467" s="23" t="n"/>
      <c r="F467" s="23" t="n"/>
      <c r="G467" s="22" t="n"/>
      <c r="M467" s="22" t="n"/>
      <c r="N467" s="22" t="n"/>
      <c r="O467" s="22" t="n"/>
    </row>
    <row r="468">
      <c r="E468" s="23" t="n"/>
      <c r="F468" s="23" t="n"/>
      <c r="G468" s="22" t="n"/>
      <c r="M468" s="22" t="n"/>
      <c r="N468" s="22" t="n"/>
      <c r="O468" s="22" t="n"/>
    </row>
    <row r="469">
      <c r="E469" s="23" t="n"/>
      <c r="F469" s="23" t="n"/>
      <c r="G469" s="22" t="n"/>
      <c r="M469" s="22" t="n"/>
      <c r="N469" s="22" t="n"/>
      <c r="O469" s="22" t="n"/>
    </row>
    <row r="470">
      <c r="E470" s="23" t="n"/>
      <c r="F470" s="23" t="n"/>
      <c r="G470" s="22" t="n"/>
      <c r="M470" s="22" t="n"/>
      <c r="N470" s="22" t="n"/>
      <c r="O470" s="22" t="n"/>
    </row>
    <row r="471">
      <c r="E471" s="23" t="n"/>
      <c r="F471" s="23" t="n"/>
      <c r="G471" s="22" t="n"/>
      <c r="M471" s="22" t="n"/>
      <c r="N471" s="22" t="n"/>
      <c r="O471" s="22" t="n"/>
    </row>
    <row r="472">
      <c r="E472" s="23" t="n"/>
      <c r="F472" s="23" t="n"/>
      <c r="G472" s="22" t="n"/>
      <c r="M472" s="22" t="n"/>
      <c r="N472" s="22" t="n"/>
      <c r="O472" s="22" t="n"/>
    </row>
    <row r="473">
      <c r="E473" s="23" t="n"/>
      <c r="F473" s="23" t="n"/>
      <c r="G473" s="22" t="n"/>
      <c r="M473" s="22" t="n"/>
      <c r="N473" s="22" t="n"/>
      <c r="O473" s="22" t="n"/>
    </row>
    <row r="474">
      <c r="E474" s="23" t="n"/>
      <c r="F474" s="23" t="n"/>
      <c r="G474" s="22" t="n"/>
      <c r="M474" s="22" t="n"/>
      <c r="N474" s="22" t="n"/>
      <c r="O474" s="22" t="n"/>
    </row>
    <row r="475">
      <c r="E475" s="23" t="n"/>
      <c r="F475" s="23" t="n"/>
      <c r="G475" s="22" t="n"/>
      <c r="M475" s="22" t="n"/>
      <c r="N475" s="22" t="n"/>
      <c r="O475" s="22" t="n"/>
    </row>
    <row r="476">
      <c r="E476" s="23" t="n"/>
      <c r="F476" s="23" t="n"/>
      <c r="G476" s="22" t="n"/>
      <c r="M476" s="22" t="n"/>
      <c r="N476" s="22" t="n"/>
      <c r="O476" s="22" t="n"/>
    </row>
    <row r="477">
      <c r="E477" s="23" t="n"/>
      <c r="F477" s="23" t="n"/>
      <c r="G477" s="22" t="n"/>
      <c r="M477" s="22" t="n"/>
      <c r="N477" s="22" t="n"/>
      <c r="O477" s="22" t="n"/>
    </row>
    <row r="478">
      <c r="E478" s="23" t="n"/>
      <c r="F478" s="23" t="n"/>
      <c r="G478" s="22" t="n"/>
      <c r="M478" s="22" t="n"/>
      <c r="N478" s="22" t="n"/>
      <c r="O478" s="22" t="n"/>
    </row>
    <row r="479">
      <c r="E479" s="23" t="n"/>
      <c r="F479" s="23" t="n"/>
      <c r="G479" s="22" t="n"/>
      <c r="M479" s="22" t="n"/>
      <c r="N479" s="22" t="n"/>
      <c r="O479" s="22" t="n"/>
    </row>
    <row r="480">
      <c r="E480" s="23" t="n"/>
      <c r="F480" s="23" t="n"/>
      <c r="G480" s="22" t="n"/>
      <c r="M480" s="22" t="n"/>
      <c r="N480" s="22" t="n"/>
      <c r="O480" s="22" t="n"/>
    </row>
    <row r="481">
      <c r="E481" s="23" t="n"/>
      <c r="F481" s="23" t="n"/>
      <c r="G481" s="22" t="n"/>
      <c r="M481" s="22" t="n"/>
      <c r="N481" s="22" t="n"/>
      <c r="O481" s="22" t="n"/>
    </row>
    <row r="482">
      <c r="E482" s="23" t="n"/>
      <c r="F482" s="23" t="n"/>
      <c r="G482" s="22" t="n"/>
      <c r="M482" s="22" t="n"/>
      <c r="N482" s="22" t="n"/>
      <c r="O482" s="22" t="n"/>
    </row>
    <row r="483">
      <c r="E483" s="23" t="n"/>
      <c r="F483" s="23" t="n"/>
      <c r="G483" s="22" t="n"/>
      <c r="M483" s="22" t="n"/>
      <c r="N483" s="22" t="n"/>
      <c r="O483" s="22" t="n"/>
    </row>
    <row r="484">
      <c r="E484" s="23" t="n"/>
      <c r="F484" s="23" t="n"/>
      <c r="G484" s="22" t="n"/>
      <c r="M484" s="22" t="n"/>
      <c r="N484" s="22" t="n"/>
      <c r="O484" s="22" t="n"/>
    </row>
    <row r="485">
      <c r="E485" s="23" t="n"/>
      <c r="F485" s="23" t="n"/>
      <c r="G485" s="22" t="n"/>
      <c r="M485" s="22" t="n"/>
      <c r="N485" s="22" t="n"/>
      <c r="O485" s="22" t="n"/>
    </row>
    <row r="486">
      <c r="E486" s="23" t="n"/>
      <c r="F486" s="23" t="n"/>
      <c r="G486" s="22" t="n"/>
      <c r="M486" s="22" t="n"/>
      <c r="N486" s="22" t="n"/>
      <c r="O486" s="22" t="n"/>
    </row>
    <row r="487">
      <c r="E487" s="23" t="n"/>
      <c r="F487" s="23" t="n"/>
      <c r="G487" s="22" t="n"/>
      <c r="M487" s="22" t="n"/>
      <c r="N487" s="22" t="n"/>
      <c r="O487" s="22" t="n"/>
    </row>
    <row r="488">
      <c r="E488" s="23" t="n"/>
      <c r="F488" s="23" t="n"/>
      <c r="G488" s="22" t="n"/>
      <c r="M488" s="22" t="n"/>
      <c r="N488" s="22" t="n"/>
      <c r="O488" s="22" t="n"/>
    </row>
    <row r="489">
      <c r="E489" s="23" t="n"/>
      <c r="F489" s="23" t="n"/>
      <c r="G489" s="22" t="n"/>
      <c r="M489" s="22" t="n"/>
      <c r="N489" s="22" t="n"/>
      <c r="O489" s="22" t="n"/>
    </row>
    <row r="490">
      <c r="E490" s="23" t="n"/>
      <c r="F490" s="23" t="n"/>
      <c r="G490" s="22" t="n"/>
      <c r="M490" s="22" t="n"/>
      <c r="N490" s="22" t="n"/>
      <c r="O490" s="22" t="n"/>
    </row>
    <row r="491">
      <c r="E491" s="23" t="n"/>
      <c r="F491" s="23" t="n"/>
      <c r="G491" s="22" t="n"/>
      <c r="M491" s="22" t="n"/>
      <c r="N491" s="22" t="n"/>
      <c r="O491" s="22" t="n"/>
    </row>
    <row r="492">
      <c r="E492" s="23" t="n"/>
      <c r="F492" s="23" t="n"/>
      <c r="G492" s="22" t="n"/>
      <c r="M492" s="22" t="n"/>
      <c r="N492" s="22" t="n"/>
      <c r="O492" s="22" t="n"/>
    </row>
    <row r="493">
      <c r="E493" s="23" t="n"/>
      <c r="F493" s="23" t="n"/>
      <c r="G493" s="22" t="n"/>
      <c r="M493" s="22" t="n"/>
      <c r="N493" s="22" t="n"/>
      <c r="O493" s="22" t="n"/>
    </row>
    <row r="494">
      <c r="E494" s="23" t="n"/>
      <c r="F494" s="23" t="n"/>
      <c r="G494" s="22" t="n"/>
      <c r="M494" s="22" t="n"/>
      <c r="N494" s="22" t="n"/>
      <c r="O494" s="22" t="n"/>
    </row>
    <row r="495">
      <c r="E495" s="23" t="n"/>
      <c r="F495" s="23" t="n"/>
      <c r="G495" s="22" t="n"/>
      <c r="M495" s="22" t="n"/>
      <c r="N495" s="22" t="n"/>
      <c r="O495" s="22" t="n"/>
    </row>
    <row r="496">
      <c r="E496" s="23" t="n"/>
      <c r="F496" s="23" t="n"/>
      <c r="G496" s="22" t="n"/>
      <c r="M496" s="22" t="n"/>
      <c r="N496" s="22" t="n"/>
      <c r="O496" s="22" t="n"/>
    </row>
    <row r="497">
      <c r="E497" s="23" t="n"/>
      <c r="F497" s="23" t="n"/>
      <c r="G497" s="22" t="n"/>
      <c r="M497" s="22" t="n"/>
      <c r="N497" s="22" t="n"/>
      <c r="O497" s="22" t="n"/>
    </row>
    <row r="498">
      <c r="E498" s="23" t="n"/>
      <c r="F498" s="23" t="n"/>
      <c r="G498" s="22" t="n"/>
      <c r="M498" s="22" t="n"/>
      <c r="N498" s="22" t="n"/>
      <c r="O498" s="22" t="n"/>
    </row>
    <row r="499">
      <c r="E499" s="23" t="n"/>
      <c r="F499" s="23" t="n"/>
      <c r="G499" s="22" t="n"/>
      <c r="M499" s="22" t="n"/>
      <c r="N499" s="22" t="n"/>
      <c r="O499" s="22" t="n"/>
    </row>
    <row r="500">
      <c r="E500" s="23" t="n"/>
      <c r="F500" s="23" t="n"/>
      <c r="G500" s="22" t="n"/>
      <c r="M500" s="22" t="n"/>
      <c r="N500" s="22" t="n"/>
      <c r="O500" s="22" t="n"/>
    </row>
    <row r="501">
      <c r="E501" s="23" t="n"/>
      <c r="F501" s="23" t="n"/>
      <c r="G501" s="22" t="n"/>
      <c r="M501" s="22" t="n"/>
      <c r="N501" s="22" t="n"/>
      <c r="O501" s="22" t="n"/>
    </row>
    <row r="502">
      <c r="E502" s="23" t="n"/>
      <c r="F502" s="23" t="n"/>
      <c r="G502" s="22" t="n"/>
      <c r="M502" s="22" t="n"/>
      <c r="N502" s="22" t="n"/>
      <c r="O502" s="22" t="n"/>
    </row>
    <row r="503">
      <c r="E503" s="23" t="n"/>
      <c r="F503" s="23" t="n"/>
      <c r="G503" s="22" t="n"/>
      <c r="M503" s="22" t="n"/>
      <c r="N503" s="22" t="n"/>
      <c r="O503" s="22" t="n"/>
    </row>
    <row r="504">
      <c r="E504" s="23" t="n"/>
      <c r="F504" s="23" t="n"/>
      <c r="G504" s="22" t="n"/>
      <c r="M504" s="22" t="n"/>
      <c r="N504" s="22" t="n"/>
      <c r="O504" s="22" t="n"/>
    </row>
    <row r="505">
      <c r="E505" s="23" t="n"/>
      <c r="F505" s="23" t="n"/>
      <c r="G505" s="22" t="n"/>
      <c r="M505" s="22" t="n"/>
      <c r="N505" s="22" t="n"/>
      <c r="O505" s="22" t="n"/>
    </row>
    <row r="506">
      <c r="E506" s="23" t="n"/>
      <c r="F506" s="23" t="n"/>
      <c r="G506" s="22" t="n"/>
      <c r="M506" s="22" t="n"/>
      <c r="N506" s="22" t="n"/>
      <c r="O506" s="22" t="n"/>
    </row>
    <row r="507">
      <c r="E507" s="23" t="n"/>
      <c r="F507" s="23" t="n"/>
      <c r="G507" s="22" t="n"/>
      <c r="M507" s="22" t="n"/>
      <c r="N507" s="22" t="n"/>
      <c r="O507" s="22" t="n"/>
    </row>
    <row r="508">
      <c r="E508" s="23" t="n"/>
      <c r="F508" s="23" t="n"/>
      <c r="G508" s="22" t="n"/>
      <c r="M508" s="22" t="n"/>
      <c r="N508" s="22" t="n"/>
      <c r="O508" s="22" t="n"/>
    </row>
    <row r="509">
      <c r="E509" s="23" t="n"/>
      <c r="F509" s="23" t="n"/>
      <c r="G509" s="22" t="n"/>
      <c r="M509" s="22" t="n"/>
      <c r="N509" s="22" t="n"/>
      <c r="O509" s="22" t="n"/>
    </row>
    <row r="510">
      <c r="E510" s="23" t="n"/>
      <c r="F510" s="23" t="n"/>
      <c r="G510" s="22" t="n"/>
      <c r="M510" s="22" t="n"/>
      <c r="N510" s="22" t="n"/>
      <c r="O510" s="22" t="n"/>
    </row>
    <row r="511">
      <c r="E511" s="23" t="n"/>
      <c r="F511" s="23" t="n"/>
      <c r="G511" s="22" t="n"/>
      <c r="M511" s="22" t="n"/>
      <c r="N511" s="22" t="n"/>
      <c r="O511" s="22" t="n"/>
    </row>
    <row r="512">
      <c r="E512" s="23" t="n"/>
      <c r="F512" s="23" t="n"/>
      <c r="G512" s="22" t="n"/>
      <c r="M512" s="22" t="n"/>
      <c r="N512" s="22" t="n"/>
      <c r="O512" s="22" t="n"/>
    </row>
    <row r="513">
      <c r="E513" s="23" t="n"/>
      <c r="F513" s="23" t="n"/>
      <c r="G513" s="22" t="n"/>
      <c r="M513" s="22" t="n"/>
      <c r="N513" s="22" t="n"/>
      <c r="O513" s="22" t="n"/>
    </row>
    <row r="514">
      <c r="E514" s="23" t="n"/>
      <c r="F514" s="23" t="n"/>
      <c r="G514" s="22" t="n"/>
      <c r="M514" s="22" t="n"/>
      <c r="N514" s="22" t="n"/>
      <c r="O514" s="22" t="n"/>
    </row>
    <row r="515">
      <c r="E515" s="23" t="n"/>
      <c r="F515" s="23" t="n"/>
      <c r="G515" s="22" t="n"/>
      <c r="M515" s="22" t="n"/>
      <c r="N515" s="22" t="n"/>
      <c r="O515" s="22" t="n"/>
    </row>
    <row r="516">
      <c r="E516" s="23" t="n"/>
      <c r="F516" s="23" t="n"/>
      <c r="G516" s="22" t="n"/>
      <c r="M516" s="22" t="n"/>
      <c r="N516" s="22" t="n"/>
      <c r="O516" s="22" t="n"/>
    </row>
    <row r="517">
      <c r="E517" s="23" t="n"/>
      <c r="F517" s="23" t="n"/>
      <c r="G517" s="22" t="n"/>
      <c r="M517" s="22" t="n"/>
      <c r="N517" s="22" t="n"/>
      <c r="O517" s="22" t="n"/>
    </row>
    <row r="518">
      <c r="E518" s="23" t="n"/>
      <c r="F518" s="23" t="n"/>
      <c r="G518" s="22" t="n"/>
      <c r="M518" s="22" t="n"/>
      <c r="N518" s="22" t="n"/>
      <c r="O518" s="22" t="n"/>
    </row>
    <row r="519">
      <c r="E519" s="23" t="n"/>
      <c r="F519" s="23" t="n"/>
      <c r="G519" s="22" t="n"/>
      <c r="M519" s="22" t="n"/>
      <c r="N519" s="22" t="n"/>
      <c r="O519" s="22" t="n"/>
    </row>
    <row r="520">
      <c r="E520" s="23" t="n"/>
      <c r="F520" s="23" t="n"/>
      <c r="G520" s="22" t="n"/>
      <c r="M520" s="22" t="n"/>
      <c r="N520" s="22" t="n"/>
      <c r="O520" s="22" t="n"/>
    </row>
    <row r="521">
      <c r="E521" s="23" t="n"/>
      <c r="F521" s="23" t="n"/>
      <c r="G521" s="22" t="n"/>
      <c r="M521" s="22" t="n"/>
      <c r="N521" s="22" t="n"/>
      <c r="O521" s="22" t="n"/>
    </row>
    <row r="522">
      <c r="E522" s="23" t="n"/>
      <c r="F522" s="23" t="n"/>
      <c r="G522" s="22" t="n"/>
      <c r="M522" s="22" t="n"/>
      <c r="N522" s="22" t="n"/>
      <c r="O522" s="22" t="n"/>
    </row>
    <row r="523">
      <c r="E523" s="23" t="n"/>
      <c r="F523" s="23" t="n"/>
      <c r="G523" s="22" t="n"/>
      <c r="M523" s="22" t="n"/>
      <c r="N523" s="22" t="n"/>
      <c r="O523" s="22" t="n"/>
    </row>
    <row r="524">
      <c r="E524" s="23" t="n"/>
      <c r="F524" s="23" t="n"/>
      <c r="G524" s="22" t="n"/>
      <c r="M524" s="22" t="n"/>
      <c r="N524" s="22" t="n"/>
      <c r="O524" s="22" t="n"/>
    </row>
    <row r="525">
      <c r="E525" s="23" t="n"/>
      <c r="F525" s="23" t="n"/>
      <c r="G525" s="22" t="n"/>
      <c r="M525" s="22" t="n"/>
      <c r="N525" s="22" t="n"/>
      <c r="O525" s="22" t="n"/>
    </row>
    <row r="526">
      <c r="E526" s="23" t="n"/>
      <c r="F526" s="23" t="n"/>
      <c r="G526" s="22" t="n"/>
      <c r="M526" s="22" t="n"/>
      <c r="N526" s="22" t="n"/>
      <c r="O526" s="22" t="n"/>
    </row>
    <row r="527">
      <c r="E527" s="23" t="n"/>
      <c r="F527" s="23" t="n"/>
      <c r="G527" s="22" t="n"/>
      <c r="M527" s="22" t="n"/>
      <c r="N527" s="22" t="n"/>
      <c r="O527" s="22" t="n"/>
    </row>
    <row r="528">
      <c r="E528" s="23" t="n"/>
      <c r="F528" s="23" t="n"/>
      <c r="G528" s="22" t="n"/>
      <c r="M528" s="22" t="n"/>
      <c r="N528" s="22" t="n"/>
      <c r="O528" s="22" t="n"/>
    </row>
    <row r="529">
      <c r="E529" s="23" t="n"/>
      <c r="F529" s="23" t="n"/>
      <c r="G529" s="22" t="n"/>
      <c r="M529" s="22" t="n"/>
      <c r="N529" s="22" t="n"/>
      <c r="O529" s="22" t="n"/>
    </row>
    <row r="530">
      <c r="E530" s="23" t="n"/>
      <c r="F530" s="23" t="n"/>
      <c r="G530" s="22" t="n"/>
      <c r="M530" s="22" t="n"/>
      <c r="N530" s="22" t="n"/>
      <c r="O530" s="22" t="n"/>
    </row>
    <row r="531">
      <c r="E531" s="23" t="n"/>
      <c r="F531" s="23" t="n"/>
      <c r="G531" s="22" t="n"/>
      <c r="M531" s="22" t="n"/>
      <c r="N531" s="22" t="n"/>
      <c r="O531" s="22" t="n"/>
    </row>
    <row r="532">
      <c r="E532" s="23" t="n"/>
      <c r="F532" s="23" t="n"/>
      <c r="G532" s="22" t="n"/>
      <c r="M532" s="22" t="n"/>
      <c r="N532" s="22" t="n"/>
      <c r="O532" s="22" t="n"/>
    </row>
    <row r="533">
      <c r="E533" s="23" t="n"/>
      <c r="F533" s="23" t="n"/>
      <c r="G533" s="22" t="n"/>
      <c r="M533" s="22" t="n"/>
      <c r="N533" s="22" t="n"/>
      <c r="O533" s="22" t="n"/>
    </row>
    <row r="534">
      <c r="E534" s="23" t="n"/>
      <c r="F534" s="23" t="n"/>
      <c r="G534" s="22" t="n"/>
      <c r="M534" s="22" t="n"/>
      <c r="N534" s="22" t="n"/>
      <c r="O534" s="22" t="n"/>
    </row>
    <row r="535">
      <c r="E535" s="23" t="n"/>
      <c r="F535" s="23" t="n"/>
      <c r="G535" s="22" t="n"/>
      <c r="M535" s="22" t="n"/>
      <c r="N535" s="22" t="n"/>
      <c r="O535" s="22" t="n"/>
    </row>
    <row r="536">
      <c r="E536" s="23" t="n"/>
      <c r="F536" s="23" t="n"/>
      <c r="G536" s="22" t="n"/>
      <c r="M536" s="22" t="n"/>
      <c r="N536" s="22" t="n"/>
      <c r="O536" s="22" t="n"/>
    </row>
    <row r="537">
      <c r="E537" s="23" t="n"/>
      <c r="F537" s="23" t="n"/>
      <c r="G537" s="22" t="n"/>
      <c r="M537" s="22" t="n"/>
      <c r="N537" s="22" t="n"/>
      <c r="O537" s="22" t="n"/>
    </row>
    <row r="538">
      <c r="E538" s="23" t="n"/>
      <c r="F538" s="23" t="n"/>
      <c r="G538" s="22" t="n"/>
      <c r="M538" s="22" t="n"/>
      <c r="N538" s="22" t="n"/>
      <c r="O538" s="22" t="n"/>
    </row>
    <row r="539">
      <c r="E539" s="23" t="n"/>
      <c r="F539" s="23" t="n"/>
      <c r="G539" s="22" t="n"/>
      <c r="M539" s="22" t="n"/>
      <c r="N539" s="22" t="n"/>
      <c r="O539" s="22" t="n"/>
    </row>
    <row r="540">
      <c r="E540" s="23" t="n"/>
      <c r="F540" s="23" t="n"/>
      <c r="G540" s="22" t="n"/>
      <c r="M540" s="22" t="n"/>
      <c r="N540" s="22" t="n"/>
      <c r="O540" s="22" t="n"/>
    </row>
    <row r="541">
      <c r="E541" s="23" t="n"/>
      <c r="F541" s="23" t="n"/>
      <c r="G541" s="22" t="n"/>
      <c r="M541" s="22" t="n"/>
      <c r="N541" s="22" t="n"/>
      <c r="O541" s="22" t="n"/>
    </row>
    <row r="542">
      <c r="E542" s="23" t="n"/>
      <c r="F542" s="23" t="n"/>
      <c r="G542" s="22" t="n"/>
      <c r="M542" s="22" t="n"/>
      <c r="N542" s="22" t="n"/>
      <c r="O542" s="22" t="n"/>
    </row>
    <row r="543">
      <c r="E543" s="23" t="n"/>
      <c r="F543" s="23" t="n"/>
      <c r="G543" s="22" t="n"/>
      <c r="M543" s="22" t="n"/>
      <c r="N543" s="22" t="n"/>
      <c r="O543" s="22" t="n"/>
    </row>
    <row r="544">
      <c r="E544" s="23" t="n"/>
      <c r="F544" s="23" t="n"/>
      <c r="G544" s="22" t="n"/>
      <c r="M544" s="22" t="n"/>
      <c r="N544" s="22" t="n"/>
      <c r="O544" s="22" t="n"/>
    </row>
    <row r="545">
      <c r="E545" s="23" t="n"/>
      <c r="F545" s="23" t="n"/>
      <c r="G545" s="22" t="n"/>
      <c r="M545" s="22" t="n"/>
      <c r="N545" s="22" t="n"/>
      <c r="O545" s="22" t="n"/>
    </row>
    <row r="546">
      <c r="E546" s="23" t="n"/>
      <c r="F546" s="23" t="n"/>
      <c r="G546" s="22" t="n"/>
      <c r="M546" s="22" t="n"/>
      <c r="N546" s="22" t="n"/>
      <c r="O546" s="22" t="n"/>
    </row>
    <row r="547">
      <c r="E547" s="23" t="n"/>
      <c r="F547" s="23" t="n"/>
      <c r="G547" s="22" t="n"/>
      <c r="M547" s="22" t="n"/>
      <c r="N547" s="22" t="n"/>
      <c r="O547" s="22" t="n"/>
    </row>
    <row r="548">
      <c r="E548" s="23" t="n"/>
      <c r="F548" s="23" t="n"/>
      <c r="G548" s="22" t="n"/>
      <c r="M548" s="22" t="n"/>
      <c r="N548" s="22" t="n"/>
      <c r="O548" s="22" t="n"/>
    </row>
    <row r="549">
      <c r="E549" s="23" t="n"/>
      <c r="F549" s="23" t="n"/>
      <c r="G549" s="22" t="n"/>
      <c r="M549" s="22" t="n"/>
      <c r="N549" s="22" t="n"/>
      <c r="O549" s="22" t="n"/>
    </row>
    <row r="550">
      <c r="E550" s="23" t="n"/>
      <c r="F550" s="23" t="n"/>
      <c r="G550" s="22" t="n"/>
      <c r="M550" s="22" t="n"/>
      <c r="N550" s="22" t="n"/>
      <c r="O550" s="22" t="n"/>
    </row>
    <row r="551">
      <c r="E551" s="23" t="n"/>
      <c r="F551" s="23" t="n"/>
      <c r="G551" s="22" t="n"/>
      <c r="M551" s="22" t="n"/>
      <c r="N551" s="22" t="n"/>
      <c r="O551" s="22" t="n"/>
    </row>
    <row r="552">
      <c r="E552" s="23" t="n"/>
      <c r="F552" s="23" t="n"/>
      <c r="G552" s="22" t="n"/>
      <c r="M552" s="22" t="n"/>
      <c r="N552" s="22" t="n"/>
      <c r="O552" s="22" t="n"/>
    </row>
    <row r="553">
      <c r="E553" s="23" t="n"/>
      <c r="F553" s="23" t="n"/>
      <c r="G553" s="22" t="n"/>
      <c r="M553" s="22" t="n"/>
      <c r="N553" s="22" t="n"/>
      <c r="O553" s="22" t="n"/>
    </row>
    <row r="554">
      <c r="E554" s="23" t="n"/>
      <c r="F554" s="23" t="n"/>
      <c r="G554" s="22" t="n"/>
      <c r="M554" s="22" t="n"/>
      <c r="N554" s="22" t="n"/>
      <c r="O554" s="22" t="n"/>
    </row>
    <row r="555">
      <c r="E555" s="23" t="n"/>
      <c r="F555" s="23" t="n"/>
      <c r="G555" s="22" t="n"/>
      <c r="M555" s="22" t="n"/>
      <c r="N555" s="22" t="n"/>
      <c r="O555" s="22" t="n"/>
    </row>
    <row r="556">
      <c r="E556" s="23" t="n"/>
      <c r="F556" s="23" t="n"/>
      <c r="G556" s="22" t="n"/>
      <c r="M556" s="22" t="n"/>
      <c r="N556" s="22" t="n"/>
      <c r="O556" s="22" t="n"/>
    </row>
    <row r="557">
      <c r="E557" s="23" t="n"/>
      <c r="F557" s="23" t="n"/>
      <c r="G557" s="22" t="n"/>
      <c r="M557" s="22" t="n"/>
      <c r="N557" s="22" t="n"/>
      <c r="O557" s="22" t="n"/>
    </row>
    <row r="558">
      <c r="E558" s="23" t="n"/>
      <c r="F558" s="23" t="n"/>
      <c r="G558" s="22" t="n"/>
      <c r="M558" s="22" t="n"/>
      <c r="N558" s="22" t="n"/>
      <c r="O558" s="22" t="n"/>
    </row>
    <row r="559">
      <c r="E559" s="23" t="n"/>
      <c r="F559" s="23" t="n"/>
      <c r="G559" s="22" t="n"/>
      <c r="M559" s="22" t="n"/>
      <c r="N559" s="22" t="n"/>
      <c r="O559" s="22" t="n"/>
    </row>
    <row r="560">
      <c r="E560" s="23" t="n"/>
      <c r="F560" s="23" t="n"/>
      <c r="G560" s="22" t="n"/>
      <c r="M560" s="22" t="n"/>
      <c r="N560" s="22" t="n"/>
      <c r="O560" s="22" t="n"/>
    </row>
    <row r="561">
      <c r="E561" s="23" t="n"/>
      <c r="F561" s="23" t="n"/>
      <c r="G561" s="22" t="n"/>
      <c r="M561" s="22" t="n"/>
      <c r="N561" s="22" t="n"/>
      <c r="O561" s="22" t="n"/>
    </row>
    <row r="562">
      <c r="E562" s="23" t="n"/>
      <c r="F562" s="23" t="n"/>
      <c r="G562" s="22" t="n"/>
      <c r="M562" s="22" t="n"/>
      <c r="N562" s="22" t="n"/>
      <c r="O562" s="22" t="n"/>
    </row>
    <row r="563">
      <c r="E563" s="23" t="n"/>
      <c r="F563" s="23" t="n"/>
      <c r="G563" s="22" t="n"/>
      <c r="M563" s="22" t="n"/>
      <c r="N563" s="22" t="n"/>
      <c r="O563" s="22" t="n"/>
    </row>
    <row r="564">
      <c r="E564" s="23" t="n"/>
      <c r="F564" s="23" t="n"/>
      <c r="G564" s="22" t="n"/>
      <c r="M564" s="22" t="n"/>
      <c r="N564" s="22" t="n"/>
      <c r="O564" s="22" t="n"/>
    </row>
    <row r="565">
      <c r="E565" s="23" t="n"/>
      <c r="F565" s="23" t="n"/>
      <c r="G565" s="22" t="n"/>
      <c r="M565" s="22" t="n"/>
      <c r="N565" s="22" t="n"/>
      <c r="O565" s="22" t="n"/>
    </row>
    <row r="566">
      <c r="E566" s="23" t="n"/>
      <c r="F566" s="23" t="n"/>
      <c r="G566" s="22" t="n"/>
      <c r="M566" s="22" t="n"/>
      <c r="N566" s="22" t="n"/>
      <c r="O566" s="22" t="n"/>
    </row>
    <row r="567">
      <c r="E567" s="23" t="n"/>
      <c r="F567" s="23" t="n"/>
      <c r="G567" s="22" t="n"/>
      <c r="M567" s="22" t="n"/>
      <c r="N567" s="22" t="n"/>
      <c r="O567" s="22" t="n"/>
    </row>
    <row r="568">
      <c r="E568" s="23" t="n"/>
      <c r="F568" s="23" t="n"/>
      <c r="G568" s="22" t="n"/>
      <c r="M568" s="22" t="n"/>
      <c r="N568" s="22" t="n"/>
      <c r="O568" s="22" t="n"/>
    </row>
    <row r="569">
      <c r="E569" s="23" t="n"/>
      <c r="F569" s="23" t="n"/>
      <c r="G569" s="22" t="n"/>
      <c r="M569" s="22" t="n"/>
      <c r="N569" s="22" t="n"/>
      <c r="O569" s="22" t="n"/>
    </row>
    <row r="570">
      <c r="E570" s="23" t="n"/>
      <c r="F570" s="23" t="n"/>
      <c r="G570" s="22" t="n"/>
      <c r="M570" s="22" t="n"/>
      <c r="N570" s="22" t="n"/>
      <c r="O570" s="22" t="n"/>
    </row>
    <row r="571">
      <c r="E571" s="23" t="n"/>
      <c r="F571" s="23" t="n"/>
      <c r="G571" s="22" t="n"/>
      <c r="M571" s="22" t="n"/>
      <c r="N571" s="22" t="n"/>
      <c r="O571" s="22" t="n"/>
    </row>
    <row r="572">
      <c r="E572" s="23" t="n"/>
      <c r="F572" s="23" t="n"/>
      <c r="G572" s="22" t="n"/>
      <c r="M572" s="22" t="n"/>
      <c r="N572" s="22" t="n"/>
      <c r="O572" s="22" t="n"/>
    </row>
    <row r="573">
      <c r="E573" s="23" t="n"/>
      <c r="F573" s="23" t="n"/>
      <c r="G573" s="22" t="n"/>
      <c r="M573" s="22" t="n"/>
      <c r="N573" s="22" t="n"/>
      <c r="O573" s="22" t="n"/>
    </row>
    <row r="574">
      <c r="E574" s="23" t="n"/>
      <c r="F574" s="23" t="n"/>
      <c r="G574" s="22" t="n"/>
      <c r="M574" s="22" t="n"/>
      <c r="N574" s="22" t="n"/>
      <c r="O574" s="22" t="n"/>
    </row>
    <row r="575">
      <c r="E575" s="23" t="n"/>
      <c r="F575" s="23" t="n"/>
      <c r="G575" s="22" t="n"/>
      <c r="M575" s="22" t="n"/>
      <c r="N575" s="22" t="n"/>
      <c r="O575" s="22" t="n"/>
    </row>
    <row r="576">
      <c r="E576" s="23" t="n"/>
      <c r="F576" s="23" t="n"/>
      <c r="G576" s="22" t="n"/>
      <c r="M576" s="22" t="n"/>
      <c r="N576" s="22" t="n"/>
      <c r="O576" s="22" t="n"/>
    </row>
    <row r="577">
      <c r="E577" s="23" t="n"/>
      <c r="F577" s="23" t="n"/>
      <c r="G577" s="22" t="n"/>
      <c r="M577" s="22" t="n"/>
      <c r="N577" s="22" t="n"/>
      <c r="O577" s="22" t="n"/>
    </row>
    <row r="578">
      <c r="E578" s="23" t="n"/>
      <c r="F578" s="23" t="n"/>
      <c r="G578" s="22" t="n"/>
      <c r="M578" s="22" t="n"/>
      <c r="N578" s="22" t="n"/>
      <c r="O578" s="22" t="n"/>
    </row>
    <row r="579">
      <c r="E579" s="23" t="n"/>
      <c r="F579" s="23" t="n"/>
      <c r="G579" s="22" t="n"/>
      <c r="M579" s="22" t="n"/>
      <c r="N579" s="22" t="n"/>
      <c r="O579" s="22" t="n"/>
    </row>
    <row r="580">
      <c r="E580" s="23" t="n"/>
      <c r="F580" s="23" t="n"/>
      <c r="G580" s="22" t="n"/>
      <c r="M580" s="22" t="n"/>
      <c r="N580" s="22" t="n"/>
      <c r="O580" s="22" t="n"/>
    </row>
    <row r="581">
      <c r="E581" s="23" t="n"/>
      <c r="F581" s="23" t="n"/>
      <c r="G581" s="22" t="n"/>
      <c r="M581" s="22" t="n"/>
      <c r="N581" s="22" t="n"/>
      <c r="O581" s="22" t="n"/>
    </row>
    <row r="582">
      <c r="E582" s="23" t="n"/>
      <c r="F582" s="23" t="n"/>
      <c r="G582" s="22" t="n"/>
      <c r="M582" s="22" t="n"/>
      <c r="N582" s="22" t="n"/>
      <c r="O582" s="22" t="n"/>
    </row>
    <row r="583">
      <c r="E583" s="23" t="n"/>
      <c r="F583" s="23" t="n"/>
      <c r="G583" s="22" t="n"/>
      <c r="M583" s="22" t="n"/>
      <c r="N583" s="22" t="n"/>
      <c r="O583" s="22" t="n"/>
    </row>
    <row r="584">
      <c r="E584" s="23" t="n"/>
      <c r="F584" s="23" t="n"/>
      <c r="G584" s="22" t="n"/>
      <c r="M584" s="22" t="n"/>
      <c r="N584" s="22" t="n"/>
      <c r="O584" s="22" t="n"/>
    </row>
    <row r="585">
      <c r="E585" s="23" t="n"/>
      <c r="F585" s="23" t="n"/>
      <c r="G585" s="22" t="n"/>
      <c r="M585" s="22" t="n"/>
      <c r="N585" s="22" t="n"/>
      <c r="O585" s="22" t="n"/>
    </row>
    <row r="586">
      <c r="E586" s="23" t="n"/>
      <c r="F586" s="23" t="n"/>
      <c r="G586" s="22" t="n"/>
      <c r="M586" s="22" t="n"/>
      <c r="N586" s="22" t="n"/>
      <c r="O586" s="22" t="n"/>
    </row>
    <row r="587">
      <c r="E587" s="23" t="n"/>
      <c r="F587" s="23" t="n"/>
      <c r="G587" s="22" t="n"/>
      <c r="M587" s="22" t="n"/>
      <c r="N587" s="22" t="n"/>
      <c r="O587" s="22" t="n"/>
    </row>
    <row r="588">
      <c r="E588" s="23" t="n"/>
      <c r="F588" s="23" t="n"/>
      <c r="G588" s="22" t="n"/>
      <c r="M588" s="22" t="n"/>
      <c r="N588" s="22" t="n"/>
      <c r="O588" s="22" t="n"/>
    </row>
    <row r="589">
      <c r="E589" s="23" t="n"/>
      <c r="F589" s="23" t="n"/>
      <c r="G589" s="22" t="n"/>
      <c r="M589" s="22" t="n"/>
      <c r="N589" s="22" t="n"/>
      <c r="O589" s="22" t="n"/>
    </row>
    <row r="590">
      <c r="E590" s="23" t="n"/>
      <c r="F590" s="23" t="n"/>
      <c r="G590" s="22" t="n"/>
      <c r="M590" s="22" t="n"/>
      <c r="N590" s="22" t="n"/>
      <c r="O590" s="22" t="n"/>
    </row>
    <row r="591">
      <c r="E591" s="23" t="n"/>
      <c r="F591" s="23" t="n"/>
      <c r="G591" s="22" t="n"/>
      <c r="M591" s="22" t="n"/>
      <c r="N591" s="22" t="n"/>
      <c r="O591" s="22" t="n"/>
    </row>
    <row r="592">
      <c r="E592" s="23" t="n"/>
      <c r="F592" s="23" t="n"/>
      <c r="G592" s="22" t="n"/>
      <c r="M592" s="22" t="n"/>
      <c r="N592" s="22" t="n"/>
      <c r="O592" s="22" t="n"/>
    </row>
    <row r="593">
      <c r="E593" s="23" t="n"/>
      <c r="F593" s="23" t="n"/>
      <c r="G593" s="22" t="n"/>
      <c r="M593" s="22" t="n"/>
      <c r="N593" s="22" t="n"/>
      <c r="O593" s="22" t="n"/>
    </row>
    <row r="594">
      <c r="E594" s="23" t="n"/>
      <c r="F594" s="23" t="n"/>
      <c r="G594" s="22" t="n"/>
      <c r="M594" s="22" t="n"/>
      <c r="N594" s="22" t="n"/>
      <c r="O594" s="22" t="n"/>
    </row>
    <row r="595">
      <c r="E595" s="23" t="n"/>
      <c r="F595" s="23" t="n"/>
      <c r="G595" s="22" t="n"/>
      <c r="M595" s="22" t="n"/>
      <c r="N595" s="22" t="n"/>
      <c r="O595" s="22" t="n"/>
    </row>
    <row r="596">
      <c r="E596" s="23" t="n"/>
      <c r="F596" s="23" t="n"/>
      <c r="G596" s="22" t="n"/>
      <c r="M596" s="22" t="n"/>
      <c r="N596" s="22" t="n"/>
      <c r="O596" s="22" t="n"/>
    </row>
    <row r="597">
      <c r="E597" s="23" t="n"/>
      <c r="F597" s="23" t="n"/>
      <c r="G597" s="22" t="n"/>
      <c r="M597" s="22" t="n"/>
      <c r="N597" s="22" t="n"/>
      <c r="O597" s="22" t="n"/>
    </row>
    <row r="598">
      <c r="E598" s="23" t="n"/>
      <c r="F598" s="23" t="n"/>
      <c r="G598" s="22" t="n"/>
      <c r="M598" s="22" t="n"/>
      <c r="N598" s="22" t="n"/>
      <c r="O598" s="22" t="n"/>
    </row>
    <row r="599">
      <c r="E599" s="23" t="n"/>
      <c r="F599" s="23" t="n"/>
      <c r="G599" s="22" t="n"/>
      <c r="M599" s="22" t="n"/>
      <c r="N599" s="22" t="n"/>
      <c r="O599" s="22" t="n"/>
    </row>
    <row r="600">
      <c r="E600" s="23" t="n"/>
      <c r="F600" s="23" t="n"/>
      <c r="G600" s="22" t="n"/>
      <c r="M600" s="22" t="n"/>
      <c r="N600" s="22" t="n"/>
      <c r="O600" s="22" t="n"/>
    </row>
    <row r="601">
      <c r="E601" s="23" t="n"/>
      <c r="F601" s="23" t="n"/>
      <c r="G601" s="22" t="n"/>
      <c r="M601" s="22" t="n"/>
      <c r="N601" s="22" t="n"/>
      <c r="O601" s="22" t="n"/>
    </row>
    <row r="602">
      <c r="E602" s="23" t="n"/>
      <c r="F602" s="23" t="n"/>
      <c r="G602" s="22" t="n"/>
      <c r="M602" s="22" t="n"/>
      <c r="N602" s="22" t="n"/>
      <c r="O602" s="22" t="n"/>
    </row>
    <row r="603">
      <c r="E603" s="23" t="n"/>
      <c r="F603" s="23" t="n"/>
      <c r="G603" s="22" t="n"/>
      <c r="M603" s="22" t="n"/>
      <c r="N603" s="22" t="n"/>
      <c r="O603" s="22" t="n"/>
    </row>
    <row r="604">
      <c r="E604" s="23" t="n"/>
      <c r="F604" s="23" t="n"/>
      <c r="G604" s="22" t="n"/>
      <c r="M604" s="22" t="n"/>
      <c r="N604" s="22" t="n"/>
      <c r="O604" s="22" t="n"/>
    </row>
    <row r="605">
      <c r="E605" s="23" t="n"/>
      <c r="F605" s="23" t="n"/>
      <c r="G605" s="22" t="n"/>
      <c r="M605" s="22" t="n"/>
      <c r="N605" s="22" t="n"/>
      <c r="O605" s="22" t="n"/>
    </row>
    <row r="606">
      <c r="E606" s="23" t="n"/>
      <c r="F606" s="23" t="n"/>
      <c r="G606" s="22" t="n"/>
      <c r="M606" s="22" t="n"/>
      <c r="N606" s="22" t="n"/>
      <c r="O606" s="22" t="n"/>
    </row>
    <row r="607">
      <c r="E607" s="23" t="n"/>
      <c r="F607" s="23" t="n"/>
      <c r="G607" s="22" t="n"/>
      <c r="M607" s="22" t="n"/>
      <c r="N607" s="22" t="n"/>
      <c r="O607" s="22" t="n"/>
    </row>
    <row r="608">
      <c r="E608" s="23" t="n"/>
      <c r="F608" s="23" t="n"/>
      <c r="G608" s="22" t="n"/>
      <c r="M608" s="22" t="n"/>
      <c r="N608" s="22" t="n"/>
      <c r="O608" s="22" t="n"/>
    </row>
    <row r="609">
      <c r="E609" s="23" t="n"/>
      <c r="F609" s="23" t="n"/>
      <c r="G609" s="22" t="n"/>
      <c r="M609" s="22" t="n"/>
      <c r="N609" s="22" t="n"/>
      <c r="O609" s="22" t="n"/>
    </row>
    <row r="610">
      <c r="E610" s="23" t="n"/>
      <c r="F610" s="23" t="n"/>
      <c r="G610" s="22" t="n"/>
      <c r="M610" s="22" t="n"/>
      <c r="N610" s="22" t="n"/>
      <c r="O610" s="22" t="n"/>
    </row>
    <row r="611">
      <c r="E611" s="23" t="n"/>
      <c r="F611" s="23" t="n"/>
      <c r="G611" s="22" t="n"/>
      <c r="M611" s="22" t="n"/>
      <c r="N611" s="22" t="n"/>
      <c r="O611" s="22" t="n"/>
    </row>
    <row r="612">
      <c r="E612" s="23" t="n"/>
      <c r="F612" s="23" t="n"/>
      <c r="G612" s="22" t="n"/>
      <c r="M612" s="22" t="n"/>
      <c r="N612" s="22" t="n"/>
      <c r="O612" s="22" t="n"/>
    </row>
    <row r="613">
      <c r="E613" s="23" t="n"/>
      <c r="F613" s="23" t="n"/>
      <c r="G613" s="22" t="n"/>
      <c r="M613" s="22" t="n"/>
      <c r="N613" s="22" t="n"/>
      <c r="O613" s="22" t="n"/>
    </row>
    <row r="614">
      <c r="E614" s="23" t="n"/>
      <c r="F614" s="23" t="n"/>
      <c r="G614" s="22" t="n"/>
      <c r="M614" s="22" t="n"/>
      <c r="N614" s="22" t="n"/>
      <c r="O614" s="22" t="n"/>
    </row>
    <row r="615">
      <c r="E615" s="23" t="n"/>
      <c r="F615" s="23" t="n"/>
      <c r="G615" s="22" t="n"/>
      <c r="M615" s="22" t="n"/>
      <c r="N615" s="22" t="n"/>
      <c r="O615" s="22" t="n"/>
    </row>
    <row r="616">
      <c r="E616" s="23" t="n"/>
      <c r="F616" s="23" t="n"/>
      <c r="G616" s="22" t="n"/>
      <c r="M616" s="22" t="n"/>
      <c r="N616" s="22" t="n"/>
      <c r="O616" s="22" t="n"/>
    </row>
    <row r="617">
      <c r="E617" s="23" t="n"/>
      <c r="F617" s="23" t="n"/>
      <c r="G617" s="22" t="n"/>
      <c r="M617" s="22" t="n"/>
      <c r="N617" s="22" t="n"/>
      <c r="O617" s="22" t="n"/>
    </row>
    <row r="618">
      <c r="E618" s="23" t="n"/>
      <c r="F618" s="23" t="n"/>
      <c r="G618" s="22" t="n"/>
      <c r="M618" s="22" t="n"/>
      <c r="N618" s="22" t="n"/>
      <c r="O618" s="22" t="n"/>
    </row>
    <row r="619">
      <c r="E619" s="23" t="n"/>
      <c r="F619" s="23" t="n"/>
      <c r="G619" s="22" t="n"/>
      <c r="M619" s="22" t="n"/>
      <c r="N619" s="22" t="n"/>
      <c r="O619" s="22" t="n"/>
    </row>
    <row r="620">
      <c r="E620" s="23" t="n"/>
      <c r="F620" s="23" t="n"/>
      <c r="G620" s="22" t="n"/>
      <c r="M620" s="22" t="n"/>
      <c r="N620" s="22" t="n"/>
      <c r="O620" s="22" t="n"/>
    </row>
    <row r="621">
      <c r="E621" s="23" t="n"/>
      <c r="F621" s="23" t="n"/>
      <c r="G621" s="22" t="n"/>
      <c r="M621" s="22" t="n"/>
      <c r="N621" s="22" t="n"/>
      <c r="O621" s="22" t="n"/>
    </row>
    <row r="622">
      <c r="E622" s="23" t="n"/>
      <c r="F622" s="23" t="n"/>
      <c r="G622" s="22" t="n"/>
      <c r="M622" s="22" t="n"/>
      <c r="N622" s="22" t="n"/>
      <c r="O622" s="22" t="n"/>
    </row>
    <row r="623">
      <c r="E623" s="23" t="n"/>
      <c r="F623" s="23" t="n"/>
      <c r="G623" s="22" t="n"/>
      <c r="M623" s="22" t="n"/>
      <c r="N623" s="22" t="n"/>
      <c r="O623" s="22" t="n"/>
    </row>
    <row r="624">
      <c r="E624" s="23" t="n"/>
      <c r="F624" s="23" t="n"/>
      <c r="G624" s="22" t="n"/>
      <c r="M624" s="22" t="n"/>
      <c r="N624" s="22" t="n"/>
      <c r="O624" s="22" t="n"/>
    </row>
    <row r="625">
      <c r="E625" s="23" t="n"/>
      <c r="F625" s="23" t="n"/>
      <c r="G625" s="22" t="n"/>
      <c r="M625" s="22" t="n"/>
      <c r="N625" s="22" t="n"/>
      <c r="O625" s="22" t="n"/>
    </row>
    <row r="626">
      <c r="E626" s="23" t="n"/>
      <c r="F626" s="23" t="n"/>
      <c r="G626" s="22" t="n"/>
      <c r="M626" s="22" t="n"/>
      <c r="N626" s="22" t="n"/>
      <c r="O626" s="22" t="n"/>
    </row>
    <row r="627">
      <c r="E627" s="23" t="n"/>
      <c r="F627" s="23" t="n"/>
      <c r="G627" s="22" t="n"/>
      <c r="M627" s="22" t="n"/>
      <c r="N627" s="22" t="n"/>
      <c r="O627" s="22" t="n"/>
    </row>
    <row r="628">
      <c r="E628" s="23" t="n"/>
      <c r="F628" s="23" t="n"/>
      <c r="G628" s="22" t="n"/>
      <c r="M628" s="22" t="n"/>
      <c r="N628" s="22" t="n"/>
      <c r="O628" s="22" t="n"/>
    </row>
    <row r="629">
      <c r="E629" s="23" t="n"/>
      <c r="F629" s="23" t="n"/>
      <c r="G629" s="22" t="n"/>
      <c r="M629" s="22" t="n"/>
      <c r="N629" s="22" t="n"/>
      <c r="O629" s="22" t="n"/>
    </row>
    <row r="630">
      <c r="E630" s="23" t="n"/>
      <c r="F630" s="23" t="n"/>
      <c r="G630" s="22" t="n"/>
      <c r="M630" s="22" t="n"/>
      <c r="N630" s="22" t="n"/>
      <c r="O630" s="22" t="n"/>
    </row>
    <row r="631">
      <c r="E631" s="23" t="n"/>
      <c r="F631" s="23" t="n"/>
      <c r="G631" s="22" t="n"/>
      <c r="M631" s="22" t="n"/>
      <c r="N631" s="22" t="n"/>
      <c r="O631" s="22" t="n"/>
    </row>
    <row r="632">
      <c r="E632" s="23" t="n"/>
      <c r="F632" s="23" t="n"/>
      <c r="G632" s="22" t="n"/>
      <c r="M632" s="22" t="n"/>
      <c r="N632" s="22" t="n"/>
      <c r="O632" s="22" t="n"/>
    </row>
    <row r="633">
      <c r="E633" s="23" t="n"/>
      <c r="F633" s="23" t="n"/>
      <c r="G633" s="22" t="n"/>
      <c r="M633" s="22" t="n"/>
      <c r="N633" s="22" t="n"/>
      <c r="O633" s="22" t="n"/>
    </row>
    <row r="634">
      <c r="E634" s="23" t="n"/>
      <c r="F634" s="23" t="n"/>
      <c r="G634" s="22" t="n"/>
      <c r="M634" s="22" t="n"/>
      <c r="N634" s="22" t="n"/>
      <c r="O634" s="22" t="n"/>
    </row>
    <row r="635">
      <c r="E635" s="23" t="n"/>
      <c r="F635" s="23" t="n"/>
      <c r="G635" s="22" t="n"/>
      <c r="M635" s="22" t="n"/>
      <c r="N635" s="22" t="n"/>
      <c r="O635" s="22" t="n"/>
    </row>
    <row r="636">
      <c r="E636" s="23" t="n"/>
      <c r="F636" s="23" t="n"/>
      <c r="G636" s="22" t="n"/>
      <c r="M636" s="22" t="n"/>
      <c r="N636" s="22" t="n"/>
      <c r="O636" s="22" t="n"/>
    </row>
    <row r="637">
      <c r="E637" s="23" t="n"/>
      <c r="F637" s="23" t="n"/>
      <c r="G637" s="22" t="n"/>
      <c r="M637" s="22" t="n"/>
      <c r="N637" s="22" t="n"/>
      <c r="O637" s="22" t="n"/>
    </row>
    <row r="638">
      <c r="E638" s="23" t="n"/>
      <c r="F638" s="23" t="n"/>
      <c r="G638" s="22" t="n"/>
      <c r="M638" s="22" t="n"/>
      <c r="N638" s="22" t="n"/>
      <c r="O638" s="22" t="n"/>
    </row>
    <row r="639">
      <c r="E639" s="23" t="n"/>
      <c r="F639" s="23" t="n"/>
      <c r="G639" s="22" t="n"/>
      <c r="M639" s="22" t="n"/>
      <c r="N639" s="22" t="n"/>
      <c r="O639" s="22" t="n"/>
    </row>
    <row r="640">
      <c r="E640" s="23" t="n"/>
      <c r="F640" s="23" t="n"/>
      <c r="G640" s="22" t="n"/>
      <c r="M640" s="22" t="n"/>
      <c r="N640" s="22" t="n"/>
      <c r="O640" s="22" t="n"/>
    </row>
    <row r="641">
      <c r="E641" s="23" t="n"/>
      <c r="F641" s="23" t="n"/>
      <c r="G641" s="22" t="n"/>
      <c r="M641" s="22" t="n"/>
      <c r="N641" s="22" t="n"/>
      <c r="O641" s="22" t="n"/>
    </row>
    <row r="642">
      <c r="E642" s="23" t="n"/>
      <c r="F642" s="23" t="n"/>
      <c r="G642" s="22" t="n"/>
      <c r="M642" s="22" t="n"/>
      <c r="N642" s="22" t="n"/>
      <c r="O642" s="22" t="n"/>
    </row>
    <row r="643">
      <c r="E643" s="23" t="n"/>
      <c r="F643" s="23" t="n"/>
      <c r="G643" s="22" t="n"/>
      <c r="M643" s="22" t="n"/>
      <c r="N643" s="22" t="n"/>
      <c r="O643" s="22" t="n"/>
    </row>
    <row r="644">
      <c r="E644" s="23" t="n"/>
      <c r="F644" s="23" t="n"/>
      <c r="G644" s="22" t="n"/>
      <c r="M644" s="22" t="n"/>
      <c r="N644" s="22" t="n"/>
      <c r="O644" s="22" t="n"/>
    </row>
    <row r="645">
      <c r="E645" s="23" t="n"/>
      <c r="F645" s="23" t="n"/>
      <c r="G645" s="22" t="n"/>
      <c r="M645" s="22" t="n"/>
      <c r="N645" s="22" t="n"/>
      <c r="O645" s="22" t="n"/>
    </row>
    <row r="646">
      <c r="E646" s="23" t="n"/>
      <c r="F646" s="23" t="n"/>
      <c r="G646" s="22" t="n"/>
      <c r="M646" s="22" t="n"/>
      <c r="N646" s="22" t="n"/>
      <c r="O646" s="22" t="n"/>
    </row>
    <row r="647">
      <c r="E647" s="23" t="n"/>
      <c r="F647" s="23" t="n"/>
      <c r="G647" s="22" t="n"/>
      <c r="M647" s="22" t="n"/>
      <c r="N647" s="22" t="n"/>
      <c r="O647" s="22" t="n"/>
    </row>
    <row r="648">
      <c r="E648" s="23" t="n"/>
      <c r="F648" s="23" t="n"/>
      <c r="G648" s="22" t="n"/>
      <c r="M648" s="22" t="n"/>
      <c r="N648" s="22" t="n"/>
      <c r="O648" s="22" t="n"/>
    </row>
    <row r="649">
      <c r="E649" s="23" t="n"/>
      <c r="F649" s="23" t="n"/>
      <c r="G649" s="22" t="n"/>
      <c r="M649" s="22" t="n"/>
      <c r="N649" s="22" t="n"/>
      <c r="O649" s="22" t="n"/>
    </row>
    <row r="650">
      <c r="E650" s="23" t="n"/>
      <c r="F650" s="23" t="n"/>
      <c r="G650" s="22" t="n"/>
      <c r="M650" s="22" t="n"/>
      <c r="N650" s="22" t="n"/>
      <c r="O650" s="22" t="n"/>
    </row>
    <row r="651">
      <c r="E651" s="23" t="n"/>
      <c r="F651" s="23" t="n"/>
      <c r="G651" s="22" t="n"/>
      <c r="M651" s="22" t="n"/>
      <c r="N651" s="22" t="n"/>
      <c r="O651" s="22" t="n"/>
    </row>
    <row r="652">
      <c r="E652" s="23" t="n"/>
      <c r="F652" s="23" t="n"/>
      <c r="G652" s="22" t="n"/>
      <c r="M652" s="22" t="n"/>
      <c r="N652" s="22" t="n"/>
      <c r="O652" s="22" t="n"/>
    </row>
    <row r="653">
      <c r="E653" s="23" t="n"/>
      <c r="F653" s="23" t="n"/>
      <c r="G653" s="22" t="n"/>
      <c r="M653" s="22" t="n"/>
      <c r="N653" s="22" t="n"/>
      <c r="O653" s="22" t="n"/>
    </row>
    <row r="654">
      <c r="E654" s="23" t="n"/>
      <c r="F654" s="23" t="n"/>
      <c r="G654" s="22" t="n"/>
      <c r="M654" s="22" t="n"/>
      <c r="N654" s="22" t="n"/>
      <c r="O654" s="22" t="n"/>
    </row>
    <row r="655">
      <c r="E655" s="23" t="n"/>
      <c r="F655" s="23" t="n"/>
      <c r="G655" s="22" t="n"/>
      <c r="M655" s="22" t="n"/>
      <c r="N655" s="22" t="n"/>
      <c r="O655" s="22" t="n"/>
    </row>
    <row r="656">
      <c r="E656" s="23" t="n"/>
      <c r="F656" s="23" t="n"/>
      <c r="G656" s="22" t="n"/>
      <c r="M656" s="22" t="n"/>
      <c r="N656" s="22" t="n"/>
      <c r="O656" s="22" t="n"/>
    </row>
    <row r="657">
      <c r="E657" s="23" t="n"/>
      <c r="F657" s="23" t="n"/>
      <c r="G657" s="22" t="n"/>
      <c r="M657" s="22" t="n"/>
      <c r="N657" s="22" t="n"/>
      <c r="O657" s="22" t="n"/>
    </row>
    <row r="658">
      <c r="E658" s="23" t="n"/>
      <c r="F658" s="23" t="n"/>
      <c r="G658" s="22" t="n"/>
      <c r="M658" s="22" t="n"/>
      <c r="N658" s="22" t="n"/>
      <c r="O658" s="22" t="n"/>
    </row>
    <row r="659">
      <c r="E659" s="23" t="n"/>
      <c r="F659" s="23" t="n"/>
      <c r="G659" s="22" t="n"/>
      <c r="M659" s="22" t="n"/>
      <c r="N659" s="22" t="n"/>
      <c r="O659" s="22" t="n"/>
    </row>
    <row r="660">
      <c r="E660" s="23" t="n"/>
      <c r="F660" s="23" t="n"/>
      <c r="G660" s="22" t="n"/>
      <c r="M660" s="22" t="n"/>
      <c r="N660" s="22" t="n"/>
      <c r="O660" s="22" t="n"/>
    </row>
    <row r="661">
      <c r="E661" s="23" t="n"/>
      <c r="F661" s="23" t="n"/>
      <c r="G661" s="22" t="n"/>
      <c r="M661" s="22" t="n"/>
      <c r="N661" s="22" t="n"/>
      <c r="O661" s="22" t="n"/>
    </row>
    <row r="662">
      <c r="E662" s="23" t="n"/>
      <c r="F662" s="23" t="n"/>
      <c r="G662" s="22" t="n"/>
      <c r="M662" s="22" t="n"/>
      <c r="N662" s="22" t="n"/>
      <c r="O662" s="22" t="n"/>
    </row>
    <row r="663">
      <c r="E663" s="23" t="n"/>
      <c r="F663" s="23" t="n"/>
      <c r="G663" s="22" t="n"/>
      <c r="M663" s="22" t="n"/>
      <c r="N663" s="22" t="n"/>
      <c r="O663" s="22" t="n"/>
    </row>
    <row r="664">
      <c r="E664" s="23" t="n"/>
      <c r="F664" s="23" t="n"/>
      <c r="G664" s="22" t="n"/>
      <c r="M664" s="22" t="n"/>
      <c r="N664" s="22" t="n"/>
      <c r="O664" s="22" t="n"/>
    </row>
    <row r="665">
      <c r="E665" s="23" t="n"/>
      <c r="F665" s="23" t="n"/>
      <c r="G665" s="22" t="n"/>
      <c r="M665" s="22" t="n"/>
      <c r="N665" s="22" t="n"/>
      <c r="O665" s="22" t="n"/>
    </row>
    <row r="666">
      <c r="E666" s="23" t="n"/>
      <c r="F666" s="23" t="n"/>
      <c r="G666" s="22" t="n"/>
      <c r="M666" s="22" t="n"/>
      <c r="N666" s="22" t="n"/>
      <c r="O666" s="22" t="n"/>
    </row>
    <row r="667">
      <c r="E667" s="23" t="n"/>
      <c r="F667" s="23" t="n"/>
      <c r="G667" s="22" t="n"/>
      <c r="M667" s="22" t="n"/>
      <c r="N667" s="22" t="n"/>
      <c r="O667" s="22" t="n"/>
    </row>
    <row r="668">
      <c r="E668" s="23" t="n"/>
      <c r="F668" s="23" t="n"/>
      <c r="G668" s="22" t="n"/>
      <c r="M668" s="22" t="n"/>
      <c r="N668" s="22" t="n"/>
      <c r="O668" s="22" t="n"/>
    </row>
    <row r="669">
      <c r="E669" s="23" t="n"/>
      <c r="F669" s="23" t="n"/>
      <c r="G669" s="22" t="n"/>
      <c r="M669" s="22" t="n"/>
      <c r="N669" s="22" t="n"/>
      <c r="O669" s="22" t="n"/>
    </row>
    <row r="670">
      <c r="E670" s="23" t="n"/>
      <c r="F670" s="23" t="n"/>
      <c r="G670" s="22" t="n"/>
      <c r="M670" s="22" t="n"/>
      <c r="N670" s="22" t="n"/>
      <c r="O670" s="22" t="n"/>
    </row>
    <row r="671">
      <c r="E671" s="23" t="n"/>
      <c r="F671" s="23" t="n"/>
      <c r="G671" s="22" t="n"/>
      <c r="M671" s="22" t="n"/>
      <c r="N671" s="22" t="n"/>
      <c r="O671" s="22" t="n"/>
    </row>
    <row r="672">
      <c r="E672" s="23" t="n"/>
      <c r="F672" s="23" t="n"/>
      <c r="G672" s="22" t="n"/>
      <c r="M672" s="22" t="n"/>
      <c r="N672" s="22" t="n"/>
      <c r="O672" s="22" t="n"/>
    </row>
    <row r="673">
      <c r="E673" s="23" t="n"/>
      <c r="F673" s="23" t="n"/>
      <c r="G673" s="22" t="n"/>
      <c r="M673" s="22" t="n"/>
      <c r="N673" s="22" t="n"/>
      <c r="O673" s="22" t="n"/>
    </row>
    <row r="674">
      <c r="E674" s="23" t="n"/>
      <c r="F674" s="23" t="n"/>
      <c r="G674" s="22" t="n"/>
      <c r="M674" s="22" t="n"/>
      <c r="N674" s="22" t="n"/>
      <c r="O674" s="22" t="n"/>
    </row>
    <row r="675">
      <c r="E675" s="23" t="n"/>
      <c r="F675" s="23" t="n"/>
      <c r="G675" s="22" t="n"/>
      <c r="M675" s="22" t="n"/>
      <c r="N675" s="22" t="n"/>
      <c r="O675" s="22" t="n"/>
    </row>
    <row r="676">
      <c r="E676" s="23" t="n"/>
      <c r="F676" s="23" t="n"/>
      <c r="G676" s="22" t="n"/>
      <c r="M676" s="22" t="n"/>
      <c r="N676" s="22" t="n"/>
      <c r="O676" s="22" t="n"/>
    </row>
    <row r="677">
      <c r="E677" s="23" t="n"/>
      <c r="F677" s="23" t="n"/>
      <c r="G677" s="22" t="n"/>
      <c r="M677" s="22" t="n"/>
      <c r="N677" s="22" t="n"/>
      <c r="O677" s="22" t="n"/>
    </row>
    <row r="678">
      <c r="E678" s="23" t="n"/>
      <c r="F678" s="23" t="n"/>
      <c r="G678" s="22" t="n"/>
      <c r="M678" s="22" t="n"/>
      <c r="N678" s="22" t="n"/>
      <c r="O678" s="22" t="n"/>
    </row>
    <row r="679">
      <c r="E679" s="23" t="n"/>
      <c r="F679" s="23" t="n"/>
      <c r="G679" s="22" t="n"/>
      <c r="M679" s="22" t="n"/>
      <c r="N679" s="22" t="n"/>
      <c r="O679" s="22" t="n"/>
    </row>
    <row r="680">
      <c r="E680" s="23" t="n"/>
      <c r="F680" s="23" t="n"/>
      <c r="G680" s="22" t="n"/>
      <c r="M680" s="22" t="n"/>
      <c r="N680" s="22" t="n"/>
      <c r="O680" s="22" t="n"/>
    </row>
    <row r="681">
      <c r="E681" s="23" t="n"/>
      <c r="F681" s="23" t="n"/>
      <c r="G681" s="22" t="n"/>
      <c r="M681" s="22" t="n"/>
      <c r="N681" s="22" t="n"/>
      <c r="O681" s="22" t="n"/>
    </row>
    <row r="682">
      <c r="E682" s="23" t="n"/>
      <c r="F682" s="23" t="n"/>
      <c r="G682" s="22" t="n"/>
      <c r="M682" s="22" t="n"/>
      <c r="N682" s="22" t="n"/>
      <c r="O682" s="22" t="n"/>
    </row>
    <row r="683">
      <c r="E683" s="23" t="n"/>
      <c r="F683" s="23" t="n"/>
      <c r="G683" s="22" t="n"/>
      <c r="M683" s="22" t="n"/>
      <c r="N683" s="22" t="n"/>
      <c r="O683" s="22" t="n"/>
    </row>
    <row r="684">
      <c r="E684" s="23" t="n"/>
      <c r="F684" s="23" t="n"/>
      <c r="G684" s="22" t="n"/>
      <c r="M684" s="22" t="n"/>
      <c r="N684" s="22" t="n"/>
      <c r="O684" s="22" t="n"/>
    </row>
    <row r="685">
      <c r="E685" s="23" t="n"/>
      <c r="F685" s="23" t="n"/>
      <c r="G685" s="22" t="n"/>
      <c r="M685" s="22" t="n"/>
      <c r="N685" s="22" t="n"/>
      <c r="O685" s="22" t="n"/>
    </row>
    <row r="686">
      <c r="E686" s="23" t="n"/>
      <c r="F686" s="23" t="n"/>
      <c r="G686" s="22" t="n"/>
      <c r="M686" s="22" t="n"/>
      <c r="N686" s="22" t="n"/>
      <c r="O686" s="22" t="n"/>
    </row>
    <row r="687">
      <c r="E687" s="23" t="n"/>
      <c r="F687" s="23" t="n"/>
      <c r="G687" s="22" t="n"/>
      <c r="M687" s="22" t="n"/>
      <c r="N687" s="22" t="n"/>
      <c r="O687" s="22" t="n"/>
    </row>
    <row r="688">
      <c r="E688" s="23" t="n"/>
      <c r="F688" s="23" t="n"/>
      <c r="G688" s="22" t="n"/>
      <c r="M688" s="22" t="n"/>
      <c r="N688" s="22" t="n"/>
      <c r="O688" s="22" t="n"/>
    </row>
    <row r="689">
      <c r="E689" s="23" t="n"/>
      <c r="F689" s="23" t="n"/>
      <c r="G689" s="22" t="n"/>
      <c r="M689" s="22" t="n"/>
      <c r="N689" s="22" t="n"/>
      <c r="O689" s="22" t="n"/>
    </row>
    <row r="690">
      <c r="E690" s="23" t="n"/>
      <c r="F690" s="23" t="n"/>
      <c r="G690" s="22" t="n"/>
      <c r="M690" s="22" t="n"/>
      <c r="N690" s="22" t="n"/>
      <c r="O690" s="22" t="n"/>
    </row>
    <row r="691">
      <c r="E691" s="23" t="n"/>
      <c r="F691" s="23" t="n"/>
      <c r="G691" s="22" t="n"/>
      <c r="M691" s="22" t="n"/>
      <c r="N691" s="22" t="n"/>
      <c r="O691" s="22" t="n"/>
    </row>
    <row r="692">
      <c r="E692" s="23" t="n"/>
      <c r="F692" s="23" t="n"/>
      <c r="G692" s="22" t="n"/>
      <c r="M692" s="22" t="n"/>
      <c r="N692" s="22" t="n"/>
      <c r="O692" s="22" t="n"/>
    </row>
    <row r="693">
      <c r="E693" s="23" t="n"/>
      <c r="F693" s="23" t="n"/>
      <c r="G693" s="22" t="n"/>
      <c r="M693" s="22" t="n"/>
      <c r="N693" s="22" t="n"/>
      <c r="O693" s="22" t="n"/>
    </row>
    <row r="694">
      <c r="E694" s="23" t="n"/>
      <c r="F694" s="23" t="n"/>
      <c r="G694" s="22" t="n"/>
      <c r="M694" s="22" t="n"/>
      <c r="N694" s="22" t="n"/>
      <c r="O694" s="22" t="n"/>
    </row>
    <row r="695">
      <c r="E695" s="23" t="n"/>
      <c r="F695" s="23" t="n"/>
      <c r="G695" s="22" t="n"/>
      <c r="M695" s="22" t="n"/>
      <c r="N695" s="22" t="n"/>
      <c r="O695" s="22" t="n"/>
    </row>
    <row r="696">
      <c r="E696" s="23" t="n"/>
      <c r="F696" s="23" t="n"/>
      <c r="G696" s="22" t="n"/>
      <c r="M696" s="22" t="n"/>
      <c r="N696" s="22" t="n"/>
      <c r="O696" s="22" t="n"/>
    </row>
    <row r="697">
      <c r="E697" s="23" t="n"/>
      <c r="F697" s="23" t="n"/>
      <c r="G697" s="22" t="n"/>
      <c r="M697" s="22" t="n"/>
      <c r="N697" s="22" t="n"/>
      <c r="O697" s="22" t="n"/>
    </row>
    <row r="698">
      <c r="E698" s="23" t="n"/>
      <c r="F698" s="23" t="n"/>
      <c r="G698" s="22" t="n"/>
      <c r="M698" s="22" t="n"/>
      <c r="N698" s="22" t="n"/>
      <c r="O698" s="22" t="n"/>
    </row>
    <row r="699">
      <c r="E699" s="23" t="n"/>
      <c r="F699" s="23" t="n"/>
      <c r="G699" s="22" t="n"/>
      <c r="M699" s="22" t="n"/>
      <c r="N699" s="22" t="n"/>
      <c r="O699" s="22" t="n"/>
    </row>
    <row r="700">
      <c r="E700" s="23" t="n"/>
      <c r="F700" s="23" t="n"/>
      <c r="G700" s="22" t="n"/>
      <c r="M700" s="22" t="n"/>
      <c r="N700" s="22" t="n"/>
      <c r="O700" s="22" t="n"/>
    </row>
    <row r="701">
      <c r="E701" s="23" t="n"/>
      <c r="F701" s="23" t="n"/>
      <c r="G701" s="22" t="n"/>
      <c r="M701" s="22" t="n"/>
      <c r="N701" s="22" t="n"/>
      <c r="O701" s="22" t="n"/>
    </row>
    <row r="702">
      <c r="E702" s="23" t="n"/>
      <c r="F702" s="23" t="n"/>
      <c r="G702" s="22" t="n"/>
      <c r="M702" s="22" t="n"/>
      <c r="N702" s="22" t="n"/>
      <c r="O702" s="22" t="n"/>
    </row>
    <row r="703">
      <c r="E703" s="23" t="n"/>
      <c r="F703" s="23" t="n"/>
      <c r="G703" s="22" t="n"/>
      <c r="M703" s="22" t="n"/>
      <c r="N703" s="22" t="n"/>
      <c r="O703" s="22" t="n"/>
    </row>
    <row r="704">
      <c r="E704" s="23" t="n"/>
      <c r="F704" s="23" t="n"/>
      <c r="G704" s="22" t="n"/>
      <c r="M704" s="22" t="n"/>
      <c r="N704" s="22" t="n"/>
      <c r="O704" s="22" t="n"/>
    </row>
    <row r="705">
      <c r="E705" s="23" t="n"/>
      <c r="F705" s="23" t="n"/>
      <c r="G705" s="22" t="n"/>
      <c r="M705" s="22" t="n"/>
      <c r="N705" s="22" t="n"/>
      <c r="O705" s="22" t="n"/>
    </row>
    <row r="706">
      <c r="E706" s="23" t="n"/>
      <c r="F706" s="23" t="n"/>
      <c r="G706" s="22" t="n"/>
      <c r="M706" s="22" t="n"/>
      <c r="N706" s="22" t="n"/>
      <c r="O706" s="22" t="n"/>
    </row>
    <row r="707">
      <c r="E707" s="23" t="n"/>
      <c r="F707" s="23" t="n"/>
      <c r="G707" s="22" t="n"/>
      <c r="M707" s="22" t="n"/>
      <c r="N707" s="22" t="n"/>
      <c r="O707" s="22" t="n"/>
    </row>
    <row r="708">
      <c r="E708" s="23" t="n"/>
      <c r="F708" s="23" t="n"/>
      <c r="G708" s="22" t="n"/>
      <c r="M708" s="22" t="n"/>
      <c r="N708" s="22" t="n"/>
      <c r="O708" s="22" t="n"/>
    </row>
    <row r="709">
      <c r="E709" s="23" t="n"/>
      <c r="F709" s="23" t="n"/>
      <c r="G709" s="22" t="n"/>
      <c r="M709" s="22" t="n"/>
      <c r="N709" s="22" t="n"/>
      <c r="O709" s="22" t="n"/>
    </row>
    <row r="710">
      <c r="E710" s="23" t="n"/>
      <c r="F710" s="23" t="n"/>
      <c r="G710" s="22" t="n"/>
      <c r="M710" s="22" t="n"/>
      <c r="N710" s="22" t="n"/>
      <c r="O710" s="22" t="n"/>
    </row>
    <row r="711">
      <c r="E711" s="23" t="n"/>
      <c r="F711" s="23" t="n"/>
      <c r="G711" s="22" t="n"/>
      <c r="M711" s="22" t="n"/>
      <c r="N711" s="22" t="n"/>
      <c r="O711" s="22" t="n"/>
    </row>
    <row r="712">
      <c r="E712" s="23" t="n"/>
      <c r="F712" s="23" t="n"/>
      <c r="G712" s="22" t="n"/>
      <c r="M712" s="22" t="n"/>
      <c r="N712" s="22" t="n"/>
      <c r="O712" s="22" t="n"/>
    </row>
    <row r="713">
      <c r="E713" s="23" t="n"/>
      <c r="F713" s="23" t="n"/>
      <c r="G713" s="22" t="n"/>
      <c r="M713" s="22" t="n"/>
      <c r="N713" s="22" t="n"/>
      <c r="O713" s="22" t="n"/>
    </row>
    <row r="714">
      <c r="E714" s="23" t="n"/>
      <c r="F714" s="23" t="n"/>
      <c r="G714" s="22" t="n"/>
      <c r="M714" s="22" t="n"/>
      <c r="N714" s="22" t="n"/>
      <c r="O714" s="22" t="n"/>
    </row>
    <row r="715">
      <c r="E715" s="23" t="n"/>
      <c r="F715" s="23" t="n"/>
      <c r="G715" s="22" t="n"/>
      <c r="M715" s="22" t="n"/>
      <c r="N715" s="22" t="n"/>
      <c r="O715" s="22" t="n"/>
    </row>
    <row r="716">
      <c r="E716" s="23" t="n"/>
      <c r="F716" s="23" t="n"/>
      <c r="G716" s="22" t="n"/>
      <c r="M716" s="22" t="n"/>
      <c r="N716" s="22" t="n"/>
      <c r="O716" s="22" t="n"/>
    </row>
    <row r="717">
      <c r="E717" s="23" t="n"/>
      <c r="F717" s="23" t="n"/>
      <c r="G717" s="22" t="n"/>
      <c r="M717" s="22" t="n"/>
      <c r="N717" s="22" t="n"/>
      <c r="O717" s="22" t="n"/>
    </row>
    <row r="718">
      <c r="E718" s="23" t="n"/>
      <c r="F718" s="23" t="n"/>
      <c r="G718" s="22" t="n"/>
      <c r="M718" s="22" t="n"/>
      <c r="N718" s="22" t="n"/>
      <c r="O718" s="22" t="n"/>
    </row>
    <row r="719">
      <c r="E719" s="23" t="n"/>
      <c r="F719" s="23" t="n"/>
      <c r="G719" s="22" t="n"/>
      <c r="M719" s="22" t="n"/>
      <c r="N719" s="22" t="n"/>
      <c r="O719" s="22" t="n"/>
    </row>
    <row r="720">
      <c r="E720" s="23" t="n"/>
      <c r="F720" s="23" t="n"/>
      <c r="G720" s="22" t="n"/>
      <c r="M720" s="22" t="n"/>
      <c r="N720" s="22" t="n"/>
      <c r="O720" s="22" t="n"/>
    </row>
    <row r="721">
      <c r="E721" s="23" t="n"/>
      <c r="F721" s="23" t="n"/>
      <c r="G721" s="22" t="n"/>
      <c r="M721" s="22" t="n"/>
      <c r="N721" s="22" t="n"/>
      <c r="O721" s="22" t="n"/>
    </row>
    <row r="722">
      <c r="E722" s="23" t="n"/>
      <c r="F722" s="23" t="n"/>
      <c r="G722" s="22" t="n"/>
      <c r="M722" s="22" t="n"/>
      <c r="N722" s="22" t="n"/>
      <c r="O722" s="22" t="n"/>
    </row>
    <row r="723">
      <c r="E723" s="23" t="n"/>
      <c r="F723" s="23" t="n"/>
      <c r="G723" s="22" t="n"/>
      <c r="M723" s="22" t="n"/>
      <c r="N723" s="22" t="n"/>
      <c r="O723" s="22" t="n"/>
    </row>
    <row r="724">
      <c r="E724" s="23" t="n"/>
      <c r="F724" s="23" t="n"/>
      <c r="G724" s="22" t="n"/>
      <c r="M724" s="22" t="n"/>
      <c r="N724" s="22" t="n"/>
      <c r="O724" s="22" t="n"/>
    </row>
    <row r="725">
      <c r="E725" s="23" t="n"/>
      <c r="F725" s="23" t="n"/>
      <c r="G725" s="22" t="n"/>
      <c r="M725" s="22" t="n"/>
      <c r="N725" s="22" t="n"/>
      <c r="O725" s="22" t="n"/>
    </row>
    <row r="726">
      <c r="E726" s="23" t="n"/>
      <c r="F726" s="23" t="n"/>
      <c r="G726" s="22" t="n"/>
      <c r="M726" s="22" t="n"/>
      <c r="N726" s="22" t="n"/>
      <c r="O726" s="22" t="n"/>
    </row>
    <row r="727">
      <c r="E727" s="23" t="n"/>
      <c r="F727" s="23" t="n"/>
      <c r="G727" s="22" t="n"/>
      <c r="M727" s="22" t="n"/>
      <c r="N727" s="22" t="n"/>
      <c r="O727" s="22" t="n"/>
    </row>
    <row r="728">
      <c r="E728" s="23" t="n"/>
      <c r="F728" s="23" t="n"/>
      <c r="G728" s="22" t="n"/>
      <c r="M728" s="22" t="n"/>
      <c r="N728" s="22" t="n"/>
      <c r="O728" s="22" t="n"/>
    </row>
    <row r="729">
      <c r="E729" s="23" t="n"/>
      <c r="F729" s="23" t="n"/>
      <c r="G729" s="22" t="n"/>
      <c r="M729" s="22" t="n"/>
      <c r="N729" s="22" t="n"/>
      <c r="O729" s="22" t="n"/>
    </row>
    <row r="730">
      <c r="E730" s="23" t="n"/>
      <c r="F730" s="23" t="n"/>
      <c r="G730" s="22" t="n"/>
      <c r="M730" s="22" t="n"/>
      <c r="N730" s="22" t="n"/>
      <c r="O730" s="22" t="n"/>
    </row>
    <row r="731">
      <c r="E731" s="23" t="n"/>
      <c r="F731" s="23" t="n"/>
      <c r="G731" s="22" t="n"/>
      <c r="M731" s="22" t="n"/>
      <c r="N731" s="22" t="n"/>
      <c r="O731" s="22" t="n"/>
    </row>
    <row r="732">
      <c r="E732" s="23" t="n"/>
      <c r="F732" s="23" t="n"/>
      <c r="G732" s="22" t="n"/>
      <c r="M732" s="22" t="n"/>
      <c r="N732" s="22" t="n"/>
      <c r="O732" s="22" t="n"/>
    </row>
    <row r="733">
      <c r="E733" s="23" t="n"/>
      <c r="F733" s="23" t="n"/>
      <c r="G733" s="22" t="n"/>
      <c r="M733" s="22" t="n"/>
      <c r="N733" s="22" t="n"/>
      <c r="O733" s="22" t="n"/>
    </row>
    <row r="734">
      <c r="E734" s="23" t="n"/>
      <c r="F734" s="23" t="n"/>
      <c r="G734" s="22" t="n"/>
      <c r="M734" s="22" t="n"/>
      <c r="N734" s="22" t="n"/>
      <c r="O734" s="22" t="n"/>
    </row>
    <row r="735">
      <c r="E735" s="23" t="n"/>
      <c r="F735" s="23" t="n"/>
      <c r="G735" s="22" t="n"/>
      <c r="M735" s="22" t="n"/>
      <c r="N735" s="22" t="n"/>
      <c r="O735" s="22" t="n"/>
    </row>
    <row r="736">
      <c r="E736" s="23" t="n"/>
      <c r="F736" s="23" t="n"/>
      <c r="G736" s="22" t="n"/>
      <c r="M736" s="22" t="n"/>
      <c r="N736" s="22" t="n"/>
      <c r="O736" s="22" t="n"/>
    </row>
    <row r="737">
      <c r="E737" s="23" t="n"/>
      <c r="F737" s="23" t="n"/>
      <c r="G737" s="22" t="n"/>
      <c r="M737" s="22" t="n"/>
      <c r="N737" s="22" t="n"/>
      <c r="O737" s="22" t="n"/>
    </row>
    <row r="738">
      <c r="E738" s="23" t="n"/>
      <c r="F738" s="23" t="n"/>
      <c r="G738" s="22" t="n"/>
      <c r="M738" s="22" t="n"/>
      <c r="N738" s="22" t="n"/>
      <c r="O738" s="22" t="n"/>
    </row>
    <row r="739">
      <c r="E739" s="23" t="n"/>
      <c r="F739" s="23" t="n"/>
      <c r="G739" s="22" t="n"/>
      <c r="M739" s="22" t="n"/>
      <c r="N739" s="22" t="n"/>
      <c r="O739" s="22" t="n"/>
    </row>
    <row r="740">
      <c r="E740" s="23" t="n"/>
      <c r="F740" s="23" t="n"/>
      <c r="G740" s="22" t="n"/>
      <c r="M740" s="22" t="n"/>
      <c r="N740" s="22" t="n"/>
      <c r="O740" s="22" t="n"/>
    </row>
    <row r="741">
      <c r="E741" s="23" t="n"/>
      <c r="F741" s="23" t="n"/>
      <c r="G741" s="22" t="n"/>
      <c r="M741" s="22" t="n"/>
      <c r="N741" s="22" t="n"/>
      <c r="O741" s="22" t="n"/>
    </row>
    <row r="742">
      <c r="E742" s="23" t="n"/>
      <c r="F742" s="23" t="n"/>
      <c r="G742" s="22" t="n"/>
      <c r="M742" s="22" t="n"/>
      <c r="N742" s="22" t="n"/>
      <c r="O742" s="22" t="n"/>
    </row>
    <row r="743">
      <c r="E743" s="23" t="n"/>
      <c r="F743" s="23" t="n"/>
      <c r="G743" s="22" t="n"/>
      <c r="M743" s="22" t="n"/>
      <c r="N743" s="22" t="n"/>
      <c r="O743" s="22" t="n"/>
    </row>
    <row r="744">
      <c r="E744" s="23" t="n"/>
      <c r="F744" s="23" t="n"/>
      <c r="G744" s="22" t="n"/>
      <c r="M744" s="22" t="n"/>
      <c r="N744" s="22" t="n"/>
      <c r="O744" s="22" t="n"/>
    </row>
    <row r="745">
      <c r="E745" s="23" t="n"/>
      <c r="F745" s="23" t="n"/>
      <c r="G745" s="22" t="n"/>
      <c r="M745" s="22" t="n"/>
      <c r="N745" s="22" t="n"/>
      <c r="O745" s="22" t="n"/>
    </row>
    <row r="746">
      <c r="E746" s="23" t="n"/>
      <c r="F746" s="23" t="n"/>
      <c r="G746" s="22" t="n"/>
      <c r="M746" s="22" t="n"/>
      <c r="N746" s="22" t="n"/>
      <c r="O746" s="22" t="n"/>
    </row>
    <row r="747">
      <c r="E747" s="23" t="n"/>
      <c r="F747" s="23" t="n"/>
      <c r="G747" s="22" t="n"/>
      <c r="M747" s="22" t="n"/>
      <c r="N747" s="22" t="n"/>
      <c r="O747" s="22" t="n"/>
    </row>
    <row r="748">
      <c r="E748" s="23" t="n"/>
      <c r="F748" s="23" t="n"/>
      <c r="G748" s="22" t="n"/>
      <c r="M748" s="22" t="n"/>
      <c r="N748" s="22" t="n"/>
      <c r="O748" s="22" t="n"/>
    </row>
    <row r="749">
      <c r="E749" s="23" t="n"/>
      <c r="F749" s="23" t="n"/>
      <c r="G749" s="22" t="n"/>
      <c r="M749" s="22" t="n"/>
      <c r="N749" s="22" t="n"/>
      <c r="O749" s="22" t="n"/>
    </row>
    <row r="750">
      <c r="E750" s="23" t="n"/>
      <c r="F750" s="23" t="n"/>
      <c r="G750" s="22" t="n"/>
      <c r="M750" s="22" t="n"/>
      <c r="N750" s="22" t="n"/>
      <c r="O750" s="22" t="n"/>
    </row>
    <row r="751">
      <c r="E751" s="23" t="n"/>
      <c r="F751" s="23" t="n"/>
      <c r="G751" s="22" t="n"/>
      <c r="M751" s="22" t="n"/>
      <c r="N751" s="22" t="n"/>
      <c r="O751" s="22" t="n"/>
    </row>
    <row r="752">
      <c r="E752" s="23" t="n"/>
      <c r="F752" s="23" t="n"/>
      <c r="G752" s="22" t="n"/>
      <c r="M752" s="22" t="n"/>
      <c r="N752" s="22" t="n"/>
      <c r="O752" s="22" t="n"/>
    </row>
    <row r="753">
      <c r="E753" s="23" t="n"/>
      <c r="F753" s="23" t="n"/>
      <c r="G753" s="22" t="n"/>
      <c r="M753" s="22" t="n"/>
      <c r="N753" s="22" t="n"/>
      <c r="O753" s="22" t="n"/>
    </row>
    <row r="754">
      <c r="E754" s="23" t="n"/>
      <c r="F754" s="23" t="n"/>
      <c r="G754" s="22" t="n"/>
      <c r="M754" s="22" t="n"/>
      <c r="N754" s="22" t="n"/>
      <c r="O754" s="22" t="n"/>
    </row>
    <row r="755">
      <c r="E755" s="23" t="n"/>
      <c r="F755" s="23" t="n"/>
      <c r="G755" s="22" t="n"/>
      <c r="M755" s="22" t="n"/>
      <c r="N755" s="22" t="n"/>
      <c r="O755" s="22" t="n"/>
    </row>
    <row r="756">
      <c r="E756" s="23" t="n"/>
      <c r="F756" s="23" t="n"/>
      <c r="G756" s="22" t="n"/>
      <c r="M756" s="22" t="n"/>
      <c r="N756" s="22" t="n"/>
      <c r="O756" s="22" t="n"/>
    </row>
    <row r="757">
      <c r="E757" s="23" t="n"/>
      <c r="F757" s="23" t="n"/>
      <c r="G757" s="22" t="n"/>
      <c r="M757" s="22" t="n"/>
      <c r="N757" s="22" t="n"/>
      <c r="O757" s="22" t="n"/>
    </row>
    <row r="758">
      <c r="E758" s="23" t="n"/>
      <c r="F758" s="23" t="n"/>
      <c r="G758" s="22" t="n"/>
      <c r="M758" s="22" t="n"/>
      <c r="N758" s="22" t="n"/>
      <c r="O758" s="22" t="n"/>
    </row>
    <row r="759">
      <c r="E759" s="23" t="n"/>
      <c r="F759" s="23" t="n"/>
      <c r="G759" s="22" t="n"/>
      <c r="M759" s="22" t="n"/>
      <c r="N759" s="22" t="n"/>
      <c r="O759" s="22" t="n"/>
    </row>
    <row r="760">
      <c r="E760" s="23" t="n"/>
      <c r="F760" s="23" t="n"/>
      <c r="G760" s="22" t="n"/>
      <c r="M760" s="22" t="n"/>
      <c r="N760" s="22" t="n"/>
      <c r="O760" s="22" t="n"/>
    </row>
    <row r="761">
      <c r="E761" s="23" t="n"/>
      <c r="F761" s="23" t="n"/>
      <c r="G761" s="22" t="n"/>
      <c r="M761" s="22" t="n"/>
      <c r="N761" s="22" t="n"/>
      <c r="O761" s="22" t="n"/>
    </row>
    <row r="762">
      <c r="E762" s="23" t="n"/>
      <c r="F762" s="23" t="n"/>
      <c r="G762" s="22" t="n"/>
      <c r="M762" s="22" t="n"/>
      <c r="N762" s="22" t="n"/>
      <c r="O762" s="22" t="n"/>
    </row>
    <row r="763">
      <c r="E763" s="23" t="n"/>
      <c r="F763" s="23" t="n"/>
      <c r="G763" s="22" t="n"/>
      <c r="M763" s="22" t="n"/>
      <c r="N763" s="22" t="n"/>
      <c r="O763" s="22" t="n"/>
    </row>
    <row r="764">
      <c r="E764" s="23" t="n"/>
      <c r="F764" s="23" t="n"/>
      <c r="G764" s="22" t="n"/>
      <c r="M764" s="22" t="n"/>
      <c r="N764" s="22" t="n"/>
      <c r="O764" s="22" t="n"/>
    </row>
    <row r="765">
      <c r="E765" s="23" t="n"/>
      <c r="F765" s="23" t="n"/>
      <c r="G765" s="22" t="n"/>
      <c r="M765" s="22" t="n"/>
      <c r="N765" s="22" t="n"/>
      <c r="O765" s="22" t="n"/>
    </row>
    <row r="766">
      <c r="E766" s="23" t="n"/>
      <c r="F766" s="23" t="n"/>
      <c r="G766" s="22" t="n"/>
      <c r="M766" s="22" t="n"/>
      <c r="N766" s="22" t="n"/>
      <c r="O766" s="22" t="n"/>
    </row>
    <row r="767">
      <c r="E767" s="23" t="n"/>
      <c r="F767" s="23" t="n"/>
      <c r="G767" s="22" t="n"/>
      <c r="M767" s="22" t="n"/>
      <c r="N767" s="22" t="n"/>
      <c r="O767" s="22" t="n"/>
    </row>
    <row r="768">
      <c r="E768" s="23" t="n"/>
      <c r="F768" s="23" t="n"/>
      <c r="G768" s="22" t="n"/>
      <c r="M768" s="22" t="n"/>
      <c r="N768" s="22" t="n"/>
      <c r="O768" s="22" t="n"/>
    </row>
    <row r="769">
      <c r="E769" s="23" t="n"/>
      <c r="F769" s="23" t="n"/>
      <c r="G769" s="22" t="n"/>
      <c r="M769" s="22" t="n"/>
      <c r="N769" s="22" t="n"/>
      <c r="O769" s="22" t="n"/>
    </row>
    <row r="770">
      <c r="E770" s="23" t="n"/>
      <c r="F770" s="23" t="n"/>
      <c r="G770" s="22" t="n"/>
      <c r="M770" s="22" t="n"/>
      <c r="N770" s="22" t="n"/>
      <c r="O770" s="22" t="n"/>
    </row>
    <row r="771">
      <c r="E771" s="23" t="n"/>
      <c r="F771" s="23" t="n"/>
      <c r="G771" s="22" t="n"/>
      <c r="M771" s="22" t="n"/>
      <c r="N771" s="22" t="n"/>
      <c r="O771" s="22" t="n"/>
    </row>
    <row r="772">
      <c r="E772" s="23" t="n"/>
      <c r="F772" s="23" t="n"/>
      <c r="G772" s="22" t="n"/>
      <c r="M772" s="22" t="n"/>
      <c r="N772" s="22" t="n"/>
      <c r="O772" s="22" t="n"/>
    </row>
    <row r="773">
      <c r="E773" s="23" t="n"/>
      <c r="F773" s="23" t="n"/>
      <c r="G773" s="22" t="n"/>
      <c r="M773" s="22" t="n"/>
      <c r="N773" s="22" t="n"/>
      <c r="O773" s="22" t="n"/>
    </row>
    <row r="774">
      <c r="E774" s="23" t="n"/>
      <c r="F774" s="23" t="n"/>
      <c r="G774" s="22" t="n"/>
      <c r="M774" s="22" t="n"/>
      <c r="N774" s="22" t="n"/>
      <c r="O774" s="22" t="n"/>
    </row>
    <row r="775">
      <c r="E775" s="23" t="n"/>
      <c r="F775" s="23" t="n"/>
      <c r="G775" s="22" t="n"/>
      <c r="M775" s="22" t="n"/>
      <c r="N775" s="22" t="n"/>
      <c r="O775" s="22" t="n"/>
    </row>
    <row r="776">
      <c r="E776" s="23" t="n"/>
      <c r="F776" s="23" t="n"/>
      <c r="G776" s="22" t="n"/>
      <c r="M776" s="22" t="n"/>
      <c r="N776" s="22" t="n"/>
      <c r="O776" s="22" t="n"/>
    </row>
    <row r="777">
      <c r="E777" s="23" t="n"/>
      <c r="F777" s="23" t="n"/>
      <c r="G777" s="22" t="n"/>
      <c r="M777" s="22" t="n"/>
      <c r="N777" s="22" t="n"/>
      <c r="O777" s="22" t="n"/>
    </row>
    <row r="778">
      <c r="E778" s="23" t="n"/>
      <c r="F778" s="23" t="n"/>
      <c r="G778" s="22" t="n"/>
      <c r="M778" s="22" t="n"/>
      <c r="N778" s="22" t="n"/>
      <c r="O778" s="22" t="n"/>
    </row>
    <row r="779">
      <c r="E779" s="23" t="n"/>
      <c r="F779" s="23" t="n"/>
      <c r="G779" s="22" t="n"/>
      <c r="M779" s="22" t="n"/>
      <c r="N779" s="22" t="n"/>
      <c r="O779" s="22" t="n"/>
    </row>
    <row r="780">
      <c r="E780" s="23" t="n"/>
      <c r="F780" s="23" t="n"/>
      <c r="G780" s="22" t="n"/>
      <c r="M780" s="22" t="n"/>
      <c r="N780" s="22" t="n"/>
      <c r="O780" s="22" t="n"/>
    </row>
    <row r="781">
      <c r="E781" s="23" t="n"/>
      <c r="F781" s="23" t="n"/>
      <c r="G781" s="22" t="n"/>
      <c r="M781" s="22" t="n"/>
      <c r="N781" s="22" t="n"/>
      <c r="O781" s="22" t="n"/>
    </row>
    <row r="782">
      <c r="E782" s="23" t="n"/>
      <c r="F782" s="23" t="n"/>
      <c r="G782" s="22" t="n"/>
      <c r="M782" s="22" t="n"/>
      <c r="N782" s="22" t="n"/>
      <c r="O782" s="22" t="n"/>
    </row>
    <row r="783">
      <c r="E783" s="23" t="n"/>
      <c r="F783" s="23" t="n"/>
      <c r="G783" s="22" t="n"/>
      <c r="M783" s="22" t="n"/>
      <c r="N783" s="22" t="n"/>
      <c r="O783" s="22" t="n"/>
    </row>
    <row r="784">
      <c r="E784" s="23" t="n"/>
      <c r="F784" s="23" t="n"/>
      <c r="G784" s="22" t="n"/>
      <c r="M784" s="22" t="n"/>
      <c r="N784" s="22" t="n"/>
      <c r="O784" s="22" t="n"/>
    </row>
    <row r="785">
      <c r="E785" s="23" t="n"/>
      <c r="F785" s="23" t="n"/>
      <c r="G785" s="22" t="n"/>
      <c r="M785" s="22" t="n"/>
      <c r="N785" s="22" t="n"/>
      <c r="O785" s="22" t="n"/>
    </row>
    <row r="786">
      <c r="E786" s="23" t="n"/>
      <c r="F786" s="23" t="n"/>
      <c r="G786" s="22" t="n"/>
      <c r="M786" s="22" t="n"/>
      <c r="N786" s="22" t="n"/>
      <c r="O786" s="22" t="n"/>
    </row>
    <row r="787">
      <c r="E787" s="23" t="n"/>
      <c r="F787" s="23" t="n"/>
      <c r="G787" s="22" t="n"/>
      <c r="M787" s="22" t="n"/>
      <c r="N787" s="22" t="n"/>
      <c r="O787" s="22" t="n"/>
    </row>
    <row r="788">
      <c r="E788" s="23" t="n"/>
      <c r="F788" s="23" t="n"/>
      <c r="G788" s="22" t="n"/>
      <c r="M788" s="22" t="n"/>
      <c r="N788" s="22" t="n"/>
      <c r="O788" s="22" t="n"/>
    </row>
    <row r="789">
      <c r="E789" s="23" t="n"/>
      <c r="F789" s="23" t="n"/>
      <c r="G789" s="22" t="n"/>
      <c r="M789" s="22" t="n"/>
      <c r="N789" s="22" t="n"/>
      <c r="O789" s="22" t="n"/>
    </row>
    <row r="790">
      <c r="E790" s="23" t="n"/>
      <c r="F790" s="23" t="n"/>
      <c r="G790" s="22" t="n"/>
      <c r="M790" s="22" t="n"/>
      <c r="N790" s="22" t="n"/>
      <c r="O790" s="22" t="n"/>
    </row>
    <row r="791">
      <c r="E791" s="23" t="n"/>
      <c r="F791" s="23" t="n"/>
      <c r="G791" s="22" t="n"/>
      <c r="M791" s="22" t="n"/>
      <c r="N791" s="22" t="n"/>
      <c r="O791" s="22" t="n"/>
    </row>
    <row r="792">
      <c r="E792" s="23" t="n"/>
      <c r="F792" s="23" t="n"/>
      <c r="G792" s="22" t="n"/>
      <c r="M792" s="22" t="n"/>
      <c r="N792" s="22" t="n"/>
      <c r="O792" s="22" t="n"/>
    </row>
    <row r="793">
      <c r="E793" s="23" t="n"/>
      <c r="F793" s="23" t="n"/>
      <c r="G793" s="22" t="n"/>
      <c r="M793" s="22" t="n"/>
      <c r="N793" s="22" t="n"/>
      <c r="O793" s="22" t="n"/>
    </row>
    <row r="794">
      <c r="E794" s="23" t="n"/>
      <c r="F794" s="23" t="n"/>
      <c r="G794" s="22" t="n"/>
      <c r="M794" s="22" t="n"/>
      <c r="N794" s="22" t="n"/>
      <c r="O794" s="22" t="n"/>
    </row>
    <row r="795">
      <c r="E795" s="23" t="n"/>
      <c r="F795" s="23" t="n"/>
      <c r="G795" s="22" t="n"/>
      <c r="M795" s="22" t="n"/>
      <c r="N795" s="22" t="n"/>
      <c r="O795" s="22" t="n"/>
    </row>
    <row r="796">
      <c r="E796" s="23" t="n"/>
      <c r="F796" s="23" t="n"/>
      <c r="G796" s="22" t="n"/>
      <c r="M796" s="22" t="n"/>
      <c r="N796" s="22" t="n"/>
      <c r="O796" s="22" t="n"/>
    </row>
    <row r="797">
      <c r="E797" s="23" t="n"/>
      <c r="F797" s="23" t="n"/>
      <c r="G797" s="22" t="n"/>
      <c r="M797" s="22" t="n"/>
      <c r="N797" s="22" t="n"/>
      <c r="O797" s="22" t="n"/>
    </row>
    <row r="798">
      <c r="E798" s="23" t="n"/>
      <c r="F798" s="23" t="n"/>
      <c r="G798" s="22" t="n"/>
      <c r="M798" s="22" t="n"/>
      <c r="N798" s="22" t="n"/>
      <c r="O798" s="22" t="n"/>
    </row>
    <row r="799">
      <c r="E799" s="23" t="n"/>
      <c r="F799" s="23" t="n"/>
      <c r="G799" s="22" t="n"/>
      <c r="M799" s="22" t="n"/>
      <c r="N799" s="22" t="n"/>
      <c r="O799" s="22" t="n"/>
    </row>
    <row r="800">
      <c r="E800" s="23" t="n"/>
      <c r="F800" s="23" t="n"/>
      <c r="G800" s="22" t="n"/>
      <c r="M800" s="22" t="n"/>
      <c r="N800" s="22" t="n"/>
      <c r="O800" s="22" t="n"/>
    </row>
    <row r="801">
      <c r="E801" s="23" t="n"/>
      <c r="F801" s="23" t="n"/>
      <c r="G801" s="22" t="n"/>
      <c r="M801" s="22" t="n"/>
      <c r="N801" s="22" t="n"/>
      <c r="O801" s="22" t="n"/>
    </row>
    <row r="802">
      <c r="E802" s="23" t="n"/>
      <c r="F802" s="23" t="n"/>
      <c r="G802" s="22" t="n"/>
      <c r="M802" s="22" t="n"/>
      <c r="N802" s="22" t="n"/>
      <c r="O802" s="22" t="n"/>
    </row>
    <row r="803">
      <c r="E803" s="23" t="n"/>
      <c r="F803" s="23" t="n"/>
      <c r="G803" s="22" t="n"/>
      <c r="M803" s="22" t="n"/>
      <c r="N803" s="22" t="n"/>
      <c r="O803" s="22" t="n"/>
    </row>
    <row r="804">
      <c r="E804" s="23" t="n"/>
      <c r="F804" s="23" t="n"/>
      <c r="G804" s="22" t="n"/>
      <c r="M804" s="22" t="n"/>
      <c r="N804" s="22" t="n"/>
      <c r="O804" s="22" t="n"/>
    </row>
    <row r="805">
      <c r="E805" s="23" t="n"/>
      <c r="F805" s="23" t="n"/>
      <c r="G805" s="22" t="n"/>
      <c r="M805" s="22" t="n"/>
      <c r="N805" s="22" t="n"/>
      <c r="O805" s="22" t="n"/>
    </row>
    <row r="806">
      <c r="E806" s="23" t="n"/>
      <c r="F806" s="23" t="n"/>
      <c r="G806" s="22" t="n"/>
      <c r="M806" s="22" t="n"/>
      <c r="N806" s="22" t="n"/>
      <c r="O806" s="22" t="n"/>
    </row>
    <row r="807">
      <c r="E807" s="23" t="n"/>
      <c r="F807" s="23" t="n"/>
      <c r="G807" s="22" t="n"/>
      <c r="M807" s="22" t="n"/>
      <c r="N807" s="22" t="n"/>
      <c r="O807" s="22" t="n"/>
    </row>
    <row r="808">
      <c r="E808" s="23" t="n"/>
      <c r="F808" s="23" t="n"/>
      <c r="G808" s="22" t="n"/>
      <c r="M808" s="22" t="n"/>
      <c r="N808" s="22" t="n"/>
      <c r="O808" s="22" t="n"/>
    </row>
    <row r="809">
      <c r="E809" s="23" t="n"/>
      <c r="F809" s="23" t="n"/>
      <c r="G809" s="22" t="n"/>
      <c r="M809" s="22" t="n"/>
      <c r="N809" s="22" t="n"/>
      <c r="O809" s="22" t="n"/>
    </row>
    <row r="810">
      <c r="E810" s="23" t="n"/>
      <c r="F810" s="23" t="n"/>
      <c r="G810" s="22" t="n"/>
      <c r="M810" s="22" t="n"/>
      <c r="N810" s="22" t="n"/>
      <c r="O810" s="22" t="n"/>
    </row>
    <row r="811">
      <c r="E811" s="23" t="n"/>
      <c r="F811" s="23" t="n"/>
      <c r="G811" s="22" t="n"/>
      <c r="M811" s="22" t="n"/>
      <c r="N811" s="22" t="n"/>
      <c r="O811" s="22" t="n"/>
    </row>
    <row r="812">
      <c r="E812" s="23" t="n"/>
      <c r="F812" s="23" t="n"/>
      <c r="G812" s="22" t="n"/>
      <c r="M812" s="22" t="n"/>
      <c r="N812" s="22" t="n"/>
      <c r="O812" s="22" t="n"/>
    </row>
    <row r="813">
      <c r="E813" s="23" t="n"/>
      <c r="F813" s="23" t="n"/>
      <c r="G813" s="22" t="n"/>
      <c r="M813" s="22" t="n"/>
      <c r="N813" s="22" t="n"/>
      <c r="O813" s="22" t="n"/>
    </row>
    <row r="814">
      <c r="E814" s="23" t="n"/>
      <c r="F814" s="23" t="n"/>
      <c r="G814" s="22" t="n"/>
      <c r="M814" s="22" t="n"/>
      <c r="N814" s="22" t="n"/>
      <c r="O814" s="22" t="n"/>
    </row>
    <row r="815">
      <c r="E815" s="23" t="n"/>
      <c r="F815" s="23" t="n"/>
      <c r="G815" s="22" t="n"/>
      <c r="M815" s="22" t="n"/>
      <c r="N815" s="22" t="n"/>
      <c r="O815" s="22" t="n"/>
    </row>
    <row r="816">
      <c r="E816" s="23" t="n"/>
      <c r="F816" s="23" t="n"/>
      <c r="G816" s="22" t="n"/>
      <c r="M816" s="22" t="n"/>
      <c r="N816" s="22" t="n"/>
      <c r="O816" s="22" t="n"/>
    </row>
    <row r="817">
      <c r="E817" s="23" t="n"/>
      <c r="F817" s="23" t="n"/>
      <c r="G817" s="22" t="n"/>
      <c r="M817" s="22" t="n"/>
      <c r="N817" s="22" t="n"/>
      <c r="O817" s="22" t="n"/>
    </row>
    <row r="818">
      <c r="E818" s="23" t="n"/>
      <c r="F818" s="23" t="n"/>
      <c r="G818" s="22" t="n"/>
      <c r="M818" s="22" t="n"/>
      <c r="N818" s="22" t="n"/>
      <c r="O818" s="22" t="n"/>
    </row>
    <row r="819">
      <c r="E819" s="23" t="n"/>
      <c r="F819" s="23" t="n"/>
      <c r="G819" s="22" t="n"/>
      <c r="M819" s="22" t="n"/>
      <c r="N819" s="22" t="n"/>
      <c r="O819" s="22" t="n"/>
    </row>
    <row r="820">
      <c r="E820" s="23" t="n"/>
      <c r="F820" s="23" t="n"/>
      <c r="G820" s="22" t="n"/>
      <c r="M820" s="22" t="n"/>
      <c r="N820" s="22" t="n"/>
      <c r="O820" s="22" t="n"/>
    </row>
    <row r="821">
      <c r="E821" s="23" t="n"/>
      <c r="F821" s="23" t="n"/>
      <c r="G821" s="22" t="n"/>
      <c r="M821" s="22" t="n"/>
      <c r="N821" s="22" t="n"/>
      <c r="O821" s="22" t="n"/>
    </row>
    <row r="822">
      <c r="E822" s="23" t="n"/>
      <c r="F822" s="23" t="n"/>
      <c r="G822" s="22" t="n"/>
      <c r="M822" s="22" t="n"/>
      <c r="N822" s="22" t="n"/>
      <c r="O822" s="22" t="n"/>
    </row>
    <row r="823">
      <c r="E823" s="23" t="n"/>
      <c r="F823" s="23" t="n"/>
      <c r="G823" s="22" t="n"/>
      <c r="M823" s="22" t="n"/>
      <c r="N823" s="22" t="n"/>
      <c r="O823" s="22" t="n"/>
    </row>
    <row r="824">
      <c r="E824" s="23" t="n"/>
      <c r="F824" s="23" t="n"/>
      <c r="G824" s="22" t="n"/>
      <c r="M824" s="22" t="n"/>
      <c r="N824" s="22" t="n"/>
      <c r="O824" s="22" t="n"/>
    </row>
    <row r="825">
      <c r="E825" s="23" t="n"/>
      <c r="F825" s="23" t="n"/>
      <c r="G825" s="22" t="n"/>
      <c r="M825" s="22" t="n"/>
      <c r="N825" s="22" t="n"/>
      <c r="O825" s="22" t="n"/>
    </row>
    <row r="826">
      <c r="E826" s="23" t="n"/>
      <c r="F826" s="23" t="n"/>
      <c r="G826" s="22" t="n"/>
      <c r="M826" s="22" t="n"/>
      <c r="N826" s="22" t="n"/>
      <c r="O826" s="22" t="n"/>
    </row>
    <row r="827">
      <c r="E827" s="23" t="n"/>
      <c r="F827" s="23" t="n"/>
      <c r="G827" s="22" t="n"/>
      <c r="M827" s="22" t="n"/>
      <c r="N827" s="22" t="n"/>
      <c r="O827" s="22" t="n"/>
    </row>
    <row r="828">
      <c r="E828" s="23" t="n"/>
      <c r="F828" s="23" t="n"/>
      <c r="G828" s="22" t="n"/>
      <c r="M828" s="22" t="n"/>
      <c r="N828" s="22" t="n"/>
      <c r="O828" s="22" t="n"/>
    </row>
    <row r="829">
      <c r="E829" s="23" t="n"/>
      <c r="F829" s="23" t="n"/>
      <c r="G829" s="22" t="n"/>
      <c r="M829" s="22" t="n"/>
      <c r="N829" s="22" t="n"/>
      <c r="O829" s="22" t="n"/>
    </row>
    <row r="830">
      <c r="E830" s="23" t="n"/>
      <c r="F830" s="23" t="n"/>
      <c r="G830" s="22" t="n"/>
      <c r="M830" s="22" t="n"/>
      <c r="N830" s="22" t="n"/>
      <c r="O830" s="22" t="n"/>
    </row>
    <row r="831">
      <c r="E831" s="23" t="n"/>
      <c r="F831" s="23" t="n"/>
      <c r="G831" s="22" t="n"/>
      <c r="M831" s="22" t="n"/>
      <c r="N831" s="22" t="n"/>
      <c r="O831" s="22" t="n"/>
    </row>
    <row r="832">
      <c r="E832" s="23" t="n"/>
      <c r="F832" s="23" t="n"/>
      <c r="G832" s="22" t="n"/>
      <c r="M832" s="22" t="n"/>
      <c r="N832" s="22" t="n"/>
      <c r="O832" s="22" t="n"/>
    </row>
    <row r="833">
      <c r="E833" s="23" t="n"/>
      <c r="F833" s="23" t="n"/>
      <c r="G833" s="22" t="n"/>
      <c r="M833" s="22" t="n"/>
      <c r="N833" s="22" t="n"/>
      <c r="O833" s="22" t="n"/>
    </row>
    <row r="834">
      <c r="E834" s="23" t="n"/>
      <c r="F834" s="23" t="n"/>
      <c r="G834" s="22" t="n"/>
      <c r="M834" s="22" t="n"/>
      <c r="N834" s="22" t="n"/>
      <c r="O834" s="22" t="n"/>
    </row>
    <row r="835">
      <c r="E835" s="23" t="n"/>
      <c r="F835" s="23" t="n"/>
      <c r="G835" s="22" t="n"/>
      <c r="M835" s="22" t="n"/>
      <c r="N835" s="22" t="n"/>
      <c r="O835" s="22" t="n"/>
    </row>
    <row r="836">
      <c r="E836" s="23" t="n"/>
      <c r="F836" s="23" t="n"/>
      <c r="G836" s="22" t="n"/>
      <c r="M836" s="22" t="n"/>
      <c r="N836" s="22" t="n"/>
      <c r="O836" s="22" t="n"/>
    </row>
    <row r="837">
      <c r="E837" s="23" t="n"/>
      <c r="F837" s="23" t="n"/>
      <c r="G837" s="22" t="n"/>
      <c r="M837" s="22" t="n"/>
      <c r="N837" s="22" t="n"/>
      <c r="O837" s="22" t="n"/>
    </row>
    <row r="838">
      <c r="E838" s="23" t="n"/>
      <c r="F838" s="23" t="n"/>
      <c r="G838" s="22" t="n"/>
      <c r="M838" s="22" t="n"/>
      <c r="N838" s="22" t="n"/>
      <c r="O838" s="22" t="n"/>
    </row>
    <row r="839">
      <c r="E839" s="23" t="n"/>
      <c r="F839" s="23" t="n"/>
      <c r="G839" s="22" t="n"/>
      <c r="M839" s="22" t="n"/>
      <c r="N839" s="22" t="n"/>
      <c r="O839" s="22" t="n"/>
    </row>
    <row r="840">
      <c r="E840" s="23" t="n"/>
      <c r="F840" s="23" t="n"/>
      <c r="G840" s="22" t="n"/>
      <c r="M840" s="22" t="n"/>
      <c r="N840" s="22" t="n"/>
      <c r="O840" s="22" t="n"/>
    </row>
    <row r="841">
      <c r="E841" s="23" t="n"/>
      <c r="F841" s="23" t="n"/>
      <c r="G841" s="22" t="n"/>
      <c r="M841" s="22" t="n"/>
      <c r="N841" s="22" t="n"/>
      <c r="O841" s="22" t="n"/>
    </row>
    <row r="842">
      <c r="E842" s="23" t="n"/>
      <c r="F842" s="23" t="n"/>
      <c r="G842" s="22" t="n"/>
      <c r="M842" s="22" t="n"/>
      <c r="N842" s="22" t="n"/>
      <c r="O842" s="22" t="n"/>
    </row>
    <row r="843">
      <c r="E843" s="23" t="n"/>
      <c r="F843" s="23" t="n"/>
      <c r="G843" s="22" t="n"/>
      <c r="M843" s="22" t="n"/>
      <c r="N843" s="22" t="n"/>
      <c r="O843" s="22" t="n"/>
    </row>
    <row r="844">
      <c r="E844" s="23" t="n"/>
      <c r="F844" s="23" t="n"/>
      <c r="G844" s="22" t="n"/>
      <c r="M844" s="22" t="n"/>
      <c r="N844" s="22" t="n"/>
      <c r="O844" s="22" t="n"/>
    </row>
    <row r="845">
      <c r="E845" s="23" t="n"/>
      <c r="F845" s="23" t="n"/>
      <c r="G845" s="22" t="n"/>
      <c r="M845" s="22" t="n"/>
      <c r="N845" s="22" t="n"/>
      <c r="O845" s="22" t="n"/>
    </row>
    <row r="846">
      <c r="E846" s="23" t="n"/>
      <c r="F846" s="23" t="n"/>
      <c r="G846" s="22" t="n"/>
      <c r="M846" s="22" t="n"/>
      <c r="N846" s="22" t="n"/>
      <c r="O846" s="22" t="n"/>
    </row>
    <row r="847">
      <c r="E847" s="23" t="n"/>
      <c r="F847" s="23" t="n"/>
      <c r="G847" s="22" t="n"/>
      <c r="M847" s="22" t="n"/>
      <c r="N847" s="22" t="n"/>
      <c r="O847" s="22" t="n"/>
    </row>
    <row r="848">
      <c r="E848" s="23" t="n"/>
      <c r="F848" s="23" t="n"/>
      <c r="G848" s="22" t="n"/>
      <c r="M848" s="22" t="n"/>
      <c r="N848" s="22" t="n"/>
      <c r="O848" s="22" t="n"/>
    </row>
    <row r="849">
      <c r="E849" s="23" t="n"/>
      <c r="F849" s="23" t="n"/>
      <c r="G849" s="22" t="n"/>
      <c r="M849" s="22" t="n"/>
      <c r="N849" s="22" t="n"/>
      <c r="O849" s="22" t="n"/>
    </row>
    <row r="850">
      <c r="E850" s="23" t="n"/>
      <c r="F850" s="23" t="n"/>
      <c r="G850" s="22" t="n"/>
      <c r="M850" s="22" t="n"/>
      <c r="N850" s="22" t="n"/>
      <c r="O850" s="22" t="n"/>
    </row>
    <row r="851">
      <c r="E851" s="23" t="n"/>
      <c r="F851" s="23" t="n"/>
      <c r="G851" s="22" t="n"/>
      <c r="M851" s="22" t="n"/>
      <c r="N851" s="22" t="n"/>
      <c r="O851" s="22" t="n"/>
    </row>
    <row r="852">
      <c r="E852" s="23" t="n"/>
      <c r="F852" s="23" t="n"/>
      <c r="G852" s="22" t="n"/>
      <c r="M852" s="22" t="n"/>
      <c r="N852" s="22" t="n"/>
      <c r="O852" s="22" t="n"/>
    </row>
    <row r="853">
      <c r="E853" s="23" t="n"/>
      <c r="F853" s="23" t="n"/>
      <c r="G853" s="22" t="n"/>
      <c r="M853" s="22" t="n"/>
      <c r="N853" s="22" t="n"/>
      <c r="O853" s="22" t="n"/>
    </row>
    <row r="854">
      <c r="E854" s="23" t="n"/>
      <c r="F854" s="23" t="n"/>
      <c r="G854" s="22" t="n"/>
      <c r="M854" s="22" t="n"/>
      <c r="N854" s="22" t="n"/>
      <c r="O854" s="22" t="n"/>
    </row>
    <row r="855">
      <c r="E855" s="23" t="n"/>
      <c r="F855" s="23" t="n"/>
      <c r="G855" s="22" t="n"/>
      <c r="M855" s="22" t="n"/>
      <c r="N855" s="22" t="n"/>
      <c r="O855" s="22" t="n"/>
    </row>
    <row r="856">
      <c r="E856" s="23" t="n"/>
      <c r="F856" s="23" t="n"/>
      <c r="G856" s="22" t="n"/>
      <c r="M856" s="22" t="n"/>
      <c r="N856" s="22" t="n"/>
      <c r="O856" s="22" t="n"/>
    </row>
    <row r="857">
      <c r="E857" s="23" t="n"/>
      <c r="F857" s="23" t="n"/>
      <c r="G857" s="22" t="n"/>
      <c r="M857" s="22" t="n"/>
      <c r="N857" s="22" t="n"/>
      <c r="O857" s="22" t="n"/>
    </row>
    <row r="858">
      <c r="E858" s="23" t="n"/>
      <c r="F858" s="23" t="n"/>
      <c r="G858" s="22" t="n"/>
      <c r="M858" s="22" t="n"/>
      <c r="N858" s="22" t="n"/>
      <c r="O858" s="22" t="n"/>
    </row>
    <row r="859">
      <c r="E859" s="23" t="n"/>
      <c r="F859" s="23" t="n"/>
      <c r="G859" s="22" t="n"/>
      <c r="M859" s="22" t="n"/>
      <c r="N859" s="22" t="n"/>
      <c r="O859" s="22" t="n"/>
    </row>
    <row r="860">
      <c r="E860" s="23" t="n"/>
      <c r="F860" s="23" t="n"/>
      <c r="G860" s="22" t="n"/>
      <c r="M860" s="22" t="n"/>
      <c r="N860" s="22" t="n"/>
      <c r="O860" s="22" t="n"/>
    </row>
    <row r="861">
      <c r="E861" s="23" t="n"/>
      <c r="F861" s="23" t="n"/>
      <c r="G861" s="22" t="n"/>
      <c r="M861" s="22" t="n"/>
      <c r="N861" s="22" t="n"/>
      <c r="O861" s="22" t="n"/>
    </row>
    <row r="862">
      <c r="E862" s="23" t="n"/>
      <c r="F862" s="23" t="n"/>
      <c r="G862" s="22" t="n"/>
      <c r="M862" s="22" t="n"/>
      <c r="N862" s="22" t="n"/>
      <c r="O862" s="22" t="n"/>
    </row>
    <row r="863">
      <c r="E863" s="23" t="n"/>
      <c r="F863" s="23" t="n"/>
      <c r="G863" s="22" t="n"/>
      <c r="M863" s="22" t="n"/>
      <c r="N863" s="22" t="n"/>
      <c r="O863" s="22" t="n"/>
    </row>
    <row r="864">
      <c r="E864" s="23" t="n"/>
      <c r="F864" s="23" t="n"/>
      <c r="G864" s="22" t="n"/>
      <c r="M864" s="22" t="n"/>
      <c r="N864" s="22" t="n"/>
      <c r="O864" s="22" t="n"/>
    </row>
    <row r="865">
      <c r="E865" s="23" t="n"/>
      <c r="F865" s="23" t="n"/>
      <c r="G865" s="22" t="n"/>
      <c r="M865" s="22" t="n"/>
      <c r="N865" s="22" t="n"/>
      <c r="O865" s="22" t="n"/>
    </row>
    <row r="866">
      <c r="E866" s="23" t="n"/>
      <c r="F866" s="23" t="n"/>
      <c r="G866" s="22" t="n"/>
      <c r="M866" s="22" t="n"/>
      <c r="N866" s="22" t="n"/>
      <c r="O866" s="22" t="n"/>
    </row>
    <row r="867">
      <c r="E867" s="23" t="n"/>
      <c r="F867" s="23" t="n"/>
      <c r="G867" s="22" t="n"/>
      <c r="M867" s="22" t="n"/>
      <c r="N867" s="22" t="n"/>
      <c r="O867" s="22" t="n"/>
    </row>
    <row r="868">
      <c r="E868" s="23" t="n"/>
      <c r="F868" s="23" t="n"/>
      <c r="G868" s="22" t="n"/>
      <c r="M868" s="22" t="n"/>
      <c r="N868" s="22" t="n"/>
      <c r="O868" s="22" t="n"/>
    </row>
    <row r="869">
      <c r="E869" s="23" t="n"/>
      <c r="F869" s="23" t="n"/>
      <c r="G869" s="22" t="n"/>
      <c r="M869" s="22" t="n"/>
      <c r="N869" s="22" t="n"/>
      <c r="O869" s="22" t="n"/>
    </row>
    <row r="870">
      <c r="E870" s="23" t="n"/>
      <c r="F870" s="23" t="n"/>
      <c r="G870" s="22" t="n"/>
      <c r="M870" s="22" t="n"/>
      <c r="N870" s="22" t="n"/>
      <c r="O870" s="22" t="n"/>
    </row>
    <row r="871">
      <c r="E871" s="23" t="n"/>
      <c r="F871" s="23" t="n"/>
      <c r="G871" s="22" t="n"/>
      <c r="M871" s="22" t="n"/>
      <c r="N871" s="22" t="n"/>
      <c r="O871" s="22" t="n"/>
    </row>
    <row r="872">
      <c r="E872" s="23" t="n"/>
      <c r="F872" s="23" t="n"/>
      <c r="G872" s="22" t="n"/>
      <c r="M872" s="22" t="n"/>
      <c r="N872" s="22" t="n"/>
      <c r="O872" s="22" t="n"/>
    </row>
    <row r="873">
      <c r="E873" s="23" t="n"/>
      <c r="F873" s="23" t="n"/>
      <c r="G873" s="22" t="n"/>
      <c r="M873" s="22" t="n"/>
      <c r="N873" s="22" t="n"/>
      <c r="O873" s="22" t="n"/>
    </row>
    <row r="874">
      <c r="E874" s="23" t="n"/>
      <c r="F874" s="23" t="n"/>
      <c r="G874" s="22" t="n"/>
      <c r="M874" s="22" t="n"/>
      <c r="N874" s="22" t="n"/>
      <c r="O874" s="22" t="n"/>
    </row>
    <row r="875">
      <c r="E875" s="23" t="n"/>
      <c r="F875" s="23" t="n"/>
      <c r="G875" s="22" t="n"/>
      <c r="M875" s="22" t="n"/>
      <c r="N875" s="22" t="n"/>
      <c r="O875" s="22" t="n"/>
    </row>
    <row r="876">
      <c r="E876" s="23" t="n"/>
      <c r="F876" s="23" t="n"/>
      <c r="G876" s="22" t="n"/>
      <c r="M876" s="22" t="n"/>
      <c r="N876" s="22" t="n"/>
      <c r="O876" s="22" t="n"/>
    </row>
    <row r="877">
      <c r="E877" s="23" t="n"/>
      <c r="F877" s="23" t="n"/>
      <c r="G877" s="22" t="n"/>
      <c r="M877" s="22" t="n"/>
      <c r="N877" s="22" t="n"/>
      <c r="O877" s="22" t="n"/>
    </row>
    <row r="878">
      <c r="E878" s="23" t="n"/>
      <c r="F878" s="23" t="n"/>
      <c r="G878" s="22" t="n"/>
      <c r="M878" s="22" t="n"/>
      <c r="N878" s="22" t="n"/>
      <c r="O878" s="22" t="n"/>
    </row>
    <row r="879">
      <c r="E879" s="23" t="n"/>
      <c r="F879" s="23" t="n"/>
      <c r="G879" s="22" t="n"/>
      <c r="M879" s="22" t="n"/>
      <c r="N879" s="22" t="n"/>
      <c r="O879" s="22" t="n"/>
    </row>
    <row r="880">
      <c r="E880" s="23" t="n"/>
      <c r="F880" s="23" t="n"/>
      <c r="G880" s="22" t="n"/>
      <c r="M880" s="22" t="n"/>
      <c r="N880" s="22" t="n"/>
      <c r="O880" s="22" t="n"/>
    </row>
    <row r="881">
      <c r="E881" s="23" t="n"/>
      <c r="F881" s="23" t="n"/>
      <c r="G881" s="22" t="n"/>
      <c r="M881" s="22" t="n"/>
      <c r="N881" s="22" t="n"/>
      <c r="O881" s="22" t="n"/>
    </row>
    <row r="882">
      <c r="E882" s="23" t="n"/>
      <c r="F882" s="23" t="n"/>
      <c r="G882" s="22" t="n"/>
      <c r="M882" s="22" t="n"/>
      <c r="N882" s="22" t="n"/>
      <c r="O882" s="22" t="n"/>
    </row>
    <row r="883">
      <c r="E883" s="23" t="n"/>
      <c r="F883" s="23" t="n"/>
      <c r="G883" s="22" t="n"/>
      <c r="M883" s="22" t="n"/>
      <c r="N883" s="22" t="n"/>
      <c r="O883" s="22" t="n"/>
    </row>
    <row r="884">
      <c r="E884" s="23" t="n"/>
      <c r="F884" s="23" t="n"/>
      <c r="G884" s="22" t="n"/>
      <c r="M884" s="22" t="n"/>
      <c r="N884" s="22" t="n"/>
      <c r="O884" s="22" t="n"/>
    </row>
    <row r="885">
      <c r="E885" s="23" t="n"/>
      <c r="F885" s="23" t="n"/>
      <c r="G885" s="22" t="n"/>
      <c r="M885" s="22" t="n"/>
      <c r="N885" s="22" t="n"/>
      <c r="O885" s="22" t="n"/>
    </row>
    <row r="886">
      <c r="E886" s="23" t="n"/>
      <c r="F886" s="23" t="n"/>
      <c r="G886" s="22" t="n"/>
      <c r="M886" s="22" t="n"/>
      <c r="N886" s="22" t="n"/>
      <c r="O886" s="22" t="n"/>
    </row>
    <row r="887">
      <c r="E887" s="23" t="n"/>
      <c r="F887" s="23" t="n"/>
      <c r="G887" s="22" t="n"/>
      <c r="M887" s="22" t="n"/>
      <c r="N887" s="22" t="n"/>
      <c r="O887" s="22" t="n"/>
    </row>
    <row r="888">
      <c r="E888" s="23" t="n"/>
      <c r="F888" s="23" t="n"/>
      <c r="G888" s="22" t="n"/>
      <c r="M888" s="22" t="n"/>
      <c r="N888" s="22" t="n"/>
      <c r="O888" s="22" t="n"/>
    </row>
    <row r="889">
      <c r="E889" s="23" t="n"/>
      <c r="F889" s="23" t="n"/>
      <c r="G889" s="22" t="n"/>
      <c r="M889" s="22" t="n"/>
      <c r="N889" s="22" t="n"/>
      <c r="O889" s="22" t="n"/>
    </row>
    <row r="890">
      <c r="E890" s="23" t="n"/>
      <c r="F890" s="23" t="n"/>
      <c r="G890" s="22" t="n"/>
      <c r="M890" s="22" t="n"/>
      <c r="N890" s="22" t="n"/>
      <c r="O890" s="22" t="n"/>
    </row>
    <row r="891">
      <c r="E891" s="23" t="n"/>
      <c r="F891" s="23" t="n"/>
      <c r="G891" s="22" t="n"/>
      <c r="M891" s="22" t="n"/>
      <c r="N891" s="22" t="n"/>
      <c r="O891" s="22" t="n"/>
    </row>
    <row r="892">
      <c r="E892" s="23" t="n"/>
      <c r="F892" s="23" t="n"/>
      <c r="G892" s="22" t="n"/>
      <c r="M892" s="22" t="n"/>
      <c r="N892" s="22" t="n"/>
      <c r="O892" s="22" t="n"/>
    </row>
    <row r="893">
      <c r="E893" s="23" t="n"/>
      <c r="F893" s="23" t="n"/>
      <c r="G893" s="22" t="n"/>
      <c r="M893" s="22" t="n"/>
      <c r="N893" s="22" t="n"/>
      <c r="O893" s="22" t="n"/>
    </row>
    <row r="894">
      <c r="E894" s="23" t="n"/>
      <c r="F894" s="23" t="n"/>
      <c r="G894" s="22" t="n"/>
      <c r="M894" s="22" t="n"/>
      <c r="N894" s="22" t="n"/>
      <c r="O894" s="22" t="n"/>
    </row>
    <row r="895">
      <c r="E895" s="23" t="n"/>
      <c r="F895" s="23" t="n"/>
      <c r="G895" s="22" t="n"/>
      <c r="M895" s="22" t="n"/>
      <c r="N895" s="22" t="n"/>
      <c r="O895" s="22" t="n"/>
    </row>
    <row r="896">
      <c r="E896" s="23" t="n"/>
      <c r="F896" s="23" t="n"/>
      <c r="G896" s="22" t="n"/>
      <c r="M896" s="22" t="n"/>
      <c r="N896" s="22" t="n"/>
      <c r="O896" s="22" t="n"/>
    </row>
    <row r="897">
      <c r="E897" s="23" t="n"/>
      <c r="F897" s="23" t="n"/>
      <c r="G897" s="22" t="n"/>
      <c r="M897" s="22" t="n"/>
      <c r="N897" s="22" t="n"/>
      <c r="O897" s="22" t="n"/>
    </row>
    <row r="898">
      <c r="E898" s="23" t="n"/>
      <c r="F898" s="23" t="n"/>
      <c r="G898" s="22" t="n"/>
      <c r="M898" s="22" t="n"/>
      <c r="N898" s="22" t="n"/>
      <c r="O898" s="22" t="n"/>
    </row>
    <row r="899">
      <c r="E899" s="23" t="n"/>
      <c r="F899" s="23" t="n"/>
      <c r="G899" s="22" t="n"/>
      <c r="M899" s="22" t="n"/>
      <c r="N899" s="22" t="n"/>
      <c r="O899" s="22" t="n"/>
    </row>
    <row r="900">
      <c r="E900" s="23" t="n"/>
      <c r="F900" s="23" t="n"/>
      <c r="G900" s="22" t="n"/>
      <c r="M900" s="22" t="n"/>
      <c r="N900" s="22" t="n"/>
      <c r="O900" s="22" t="n"/>
    </row>
    <row r="901">
      <c r="E901" s="23" t="n"/>
      <c r="F901" s="23" t="n"/>
      <c r="G901" s="22" t="n"/>
      <c r="M901" s="22" t="n"/>
      <c r="N901" s="22" t="n"/>
      <c r="O901" s="22" t="n"/>
    </row>
    <row r="902">
      <c r="E902" s="23" t="n"/>
      <c r="F902" s="23" t="n"/>
      <c r="G902" s="22" t="n"/>
      <c r="M902" s="22" t="n"/>
      <c r="N902" s="22" t="n"/>
      <c r="O902" s="22" t="n"/>
    </row>
    <row r="903">
      <c r="E903" s="23" t="n"/>
      <c r="F903" s="23" t="n"/>
      <c r="G903" s="22" t="n"/>
      <c r="M903" s="22" t="n"/>
      <c r="N903" s="22" t="n"/>
      <c r="O903" s="22" t="n"/>
    </row>
    <row r="904">
      <c r="E904" s="23" t="n"/>
      <c r="F904" s="23" t="n"/>
      <c r="G904" s="22" t="n"/>
      <c r="M904" s="22" t="n"/>
      <c r="N904" s="22" t="n"/>
      <c r="O904" s="22" t="n"/>
    </row>
    <row r="905">
      <c r="E905" s="23" t="n"/>
      <c r="F905" s="23" t="n"/>
      <c r="G905" s="22" t="n"/>
      <c r="M905" s="22" t="n"/>
      <c r="N905" s="22" t="n"/>
      <c r="O905" s="22" t="n"/>
    </row>
    <row r="906">
      <c r="E906" s="23" t="n"/>
      <c r="F906" s="23" t="n"/>
      <c r="G906" s="22" t="n"/>
      <c r="M906" s="22" t="n"/>
      <c r="N906" s="22" t="n"/>
      <c r="O906" s="22" t="n"/>
    </row>
    <row r="907">
      <c r="E907" s="23" t="n"/>
      <c r="F907" s="23" t="n"/>
      <c r="G907" s="22" t="n"/>
      <c r="M907" s="22" t="n"/>
      <c r="N907" s="22" t="n"/>
      <c r="O907" s="22" t="n"/>
    </row>
    <row r="908">
      <c r="E908" s="23" t="n"/>
      <c r="F908" s="23" t="n"/>
      <c r="G908" s="22" t="n"/>
      <c r="M908" s="22" t="n"/>
      <c r="N908" s="22" t="n"/>
      <c r="O908" s="22" t="n"/>
    </row>
    <row r="909">
      <c r="E909" s="23" t="n"/>
      <c r="F909" s="23" t="n"/>
      <c r="G909" s="22" t="n"/>
      <c r="M909" s="22" t="n"/>
      <c r="N909" s="22" t="n"/>
      <c r="O909" s="22" t="n"/>
    </row>
    <row r="910">
      <c r="E910" s="23" t="n"/>
      <c r="F910" s="23" t="n"/>
      <c r="G910" s="22" t="n"/>
      <c r="M910" s="22" t="n"/>
      <c r="N910" s="22" t="n"/>
      <c r="O910" s="22" t="n"/>
    </row>
    <row r="911">
      <c r="E911" s="23" t="n"/>
      <c r="F911" s="23" t="n"/>
      <c r="G911" s="22" t="n"/>
      <c r="M911" s="22" t="n"/>
      <c r="N911" s="22" t="n"/>
      <c r="O911" s="22" t="n"/>
    </row>
    <row r="912">
      <c r="E912" s="23" t="n"/>
      <c r="F912" s="23" t="n"/>
      <c r="G912" s="22" t="n"/>
      <c r="M912" s="22" t="n"/>
      <c r="N912" s="22" t="n"/>
      <c r="O912" s="22" t="n"/>
    </row>
    <row r="913">
      <c r="E913" s="23" t="n"/>
      <c r="F913" s="23" t="n"/>
      <c r="G913" s="22" t="n"/>
      <c r="M913" s="22" t="n"/>
      <c r="N913" s="22" t="n"/>
      <c r="O913" s="22" t="n"/>
    </row>
    <row r="914">
      <c r="E914" s="23" t="n"/>
      <c r="F914" s="23" t="n"/>
      <c r="G914" s="22" t="n"/>
      <c r="M914" s="22" t="n"/>
      <c r="N914" s="22" t="n"/>
      <c r="O914" s="22" t="n"/>
    </row>
    <row r="915">
      <c r="E915" s="23" t="n"/>
      <c r="F915" s="23" t="n"/>
      <c r="G915" s="22" t="n"/>
      <c r="M915" s="22" t="n"/>
      <c r="N915" s="22" t="n"/>
      <c r="O915" s="22" t="n"/>
    </row>
    <row r="916">
      <c r="E916" s="23" t="n"/>
      <c r="F916" s="23" t="n"/>
      <c r="G916" s="22" t="n"/>
      <c r="M916" s="22" t="n"/>
      <c r="N916" s="22" t="n"/>
      <c r="O916" s="22" t="n"/>
    </row>
    <row r="917">
      <c r="E917" s="23" t="n"/>
      <c r="F917" s="23" t="n"/>
      <c r="G917" s="22" t="n"/>
      <c r="M917" s="22" t="n"/>
      <c r="N917" s="22" t="n"/>
      <c r="O917" s="22" t="n"/>
    </row>
    <row r="918">
      <c r="E918" s="23" t="n"/>
      <c r="F918" s="23" t="n"/>
      <c r="G918" s="22" t="n"/>
      <c r="M918" s="22" t="n"/>
      <c r="N918" s="22" t="n"/>
      <c r="O918" s="22" t="n"/>
    </row>
    <row r="919">
      <c r="E919" s="23" t="n"/>
      <c r="F919" s="23" t="n"/>
      <c r="G919" s="22" t="n"/>
      <c r="M919" s="22" t="n"/>
      <c r="N919" s="22" t="n"/>
      <c r="O919" s="22" t="n"/>
    </row>
    <row r="920">
      <c r="E920" s="23" t="n"/>
      <c r="F920" s="23" t="n"/>
      <c r="G920" s="22" t="n"/>
      <c r="M920" s="22" t="n"/>
      <c r="N920" s="22" t="n"/>
      <c r="O920" s="22" t="n"/>
    </row>
    <row r="921">
      <c r="E921" s="23" t="n"/>
      <c r="F921" s="23" t="n"/>
      <c r="G921" s="22" t="n"/>
      <c r="M921" s="22" t="n"/>
      <c r="N921" s="22" t="n"/>
      <c r="O921" s="22" t="n"/>
    </row>
    <row r="922">
      <c r="E922" s="23" t="n"/>
      <c r="F922" s="23" t="n"/>
      <c r="G922" s="22" t="n"/>
      <c r="M922" s="22" t="n"/>
      <c r="N922" s="22" t="n"/>
      <c r="O922" s="22" t="n"/>
    </row>
    <row r="923">
      <c r="E923" s="23" t="n"/>
      <c r="F923" s="23" t="n"/>
      <c r="G923" s="22" t="n"/>
      <c r="M923" s="22" t="n"/>
      <c r="N923" s="22" t="n"/>
      <c r="O923" s="22" t="n"/>
    </row>
    <row r="924">
      <c r="E924" s="23" t="n"/>
      <c r="F924" s="23" t="n"/>
      <c r="G924" s="22" t="n"/>
      <c r="M924" s="22" t="n"/>
      <c r="N924" s="22" t="n"/>
      <c r="O924" s="22" t="n"/>
    </row>
    <row r="925">
      <c r="E925" s="23" t="n"/>
      <c r="F925" s="23" t="n"/>
      <c r="G925" s="22" t="n"/>
      <c r="M925" s="22" t="n"/>
      <c r="N925" s="22" t="n"/>
      <c r="O925" s="22" t="n"/>
    </row>
    <row r="926">
      <c r="E926" s="23" t="n"/>
      <c r="F926" s="23" t="n"/>
      <c r="G926" s="22" t="n"/>
      <c r="M926" s="22" t="n"/>
      <c r="N926" s="22" t="n"/>
      <c r="O926" s="22" t="n"/>
    </row>
    <row r="927">
      <c r="E927" s="23" t="n"/>
      <c r="F927" s="23" t="n"/>
      <c r="G927" s="22" t="n"/>
      <c r="M927" s="22" t="n"/>
      <c r="N927" s="22" t="n"/>
      <c r="O927" s="22" t="n"/>
    </row>
    <row r="928">
      <c r="E928" s="23" t="n"/>
      <c r="F928" s="23" t="n"/>
      <c r="G928" s="22" t="n"/>
      <c r="M928" s="22" t="n"/>
      <c r="N928" s="22" t="n"/>
      <c r="O928" s="22" t="n"/>
    </row>
    <row r="929">
      <c r="E929" s="23" t="n"/>
      <c r="F929" s="23" t="n"/>
      <c r="G929" s="22" t="n"/>
      <c r="M929" s="22" t="n"/>
      <c r="N929" s="22" t="n"/>
      <c r="O929" s="22" t="n"/>
    </row>
    <row r="930">
      <c r="E930" s="23" t="n"/>
      <c r="F930" s="23" t="n"/>
      <c r="G930" s="22" t="n"/>
      <c r="M930" s="22" t="n"/>
      <c r="N930" s="22" t="n"/>
      <c r="O930" s="22" t="n"/>
    </row>
    <row r="931">
      <c r="E931" s="23" t="n"/>
      <c r="F931" s="23" t="n"/>
      <c r="G931" s="22" t="n"/>
      <c r="M931" s="22" t="n"/>
      <c r="N931" s="22" t="n"/>
      <c r="O931" s="22" t="n"/>
    </row>
    <row r="932">
      <c r="E932" s="23" t="n"/>
      <c r="F932" s="23" t="n"/>
      <c r="G932" s="22" t="n"/>
      <c r="M932" s="22" t="n"/>
      <c r="N932" s="22" t="n"/>
      <c r="O932" s="22" t="n"/>
    </row>
    <row r="933">
      <c r="E933" s="23" t="n"/>
      <c r="F933" s="23" t="n"/>
      <c r="G933" s="22" t="n"/>
      <c r="M933" s="22" t="n"/>
      <c r="N933" s="22" t="n"/>
      <c r="O933" s="22" t="n"/>
    </row>
    <row r="934">
      <c r="E934" s="23" t="n"/>
      <c r="F934" s="23" t="n"/>
      <c r="G934" s="22" t="n"/>
      <c r="M934" s="22" t="n"/>
      <c r="N934" s="22" t="n"/>
      <c r="O934" s="22" t="n"/>
    </row>
    <row r="935">
      <c r="E935" s="23" t="n"/>
      <c r="F935" s="23" t="n"/>
      <c r="G935" s="22" t="n"/>
      <c r="M935" s="22" t="n"/>
      <c r="N935" s="22" t="n"/>
      <c r="O935" s="22" t="n"/>
    </row>
    <row r="936">
      <c r="E936" s="23" t="n"/>
      <c r="F936" s="23" t="n"/>
      <c r="G936" s="22" t="n"/>
      <c r="M936" s="22" t="n"/>
      <c r="N936" s="22" t="n"/>
      <c r="O936" s="22" t="n"/>
    </row>
    <row r="937">
      <c r="E937" s="23" t="n"/>
      <c r="F937" s="23" t="n"/>
      <c r="G937" s="22" t="n"/>
      <c r="M937" s="22" t="n"/>
      <c r="N937" s="22" t="n"/>
      <c r="O937" s="22" t="n"/>
    </row>
    <row r="938">
      <c r="E938" s="23" t="n"/>
      <c r="F938" s="23" t="n"/>
      <c r="G938" s="22" t="n"/>
      <c r="M938" s="22" t="n"/>
      <c r="N938" s="22" t="n"/>
      <c r="O938" s="22" t="n"/>
    </row>
    <row r="939">
      <c r="E939" s="23" t="n"/>
      <c r="F939" s="23" t="n"/>
      <c r="G939" s="22" t="n"/>
      <c r="M939" s="22" t="n"/>
      <c r="N939" s="22" t="n"/>
      <c r="O939" s="22" t="n"/>
    </row>
    <row r="940">
      <c r="E940" s="23" t="n"/>
      <c r="F940" s="23" t="n"/>
      <c r="G940" s="22" t="n"/>
      <c r="M940" s="22" t="n"/>
      <c r="N940" s="22" t="n"/>
      <c r="O940" s="22" t="n"/>
    </row>
    <row r="941">
      <c r="E941" s="23" t="n"/>
      <c r="F941" s="23" t="n"/>
      <c r="G941" s="22" t="n"/>
      <c r="M941" s="22" t="n"/>
      <c r="N941" s="22" t="n"/>
      <c r="O941" s="22" t="n"/>
    </row>
    <row r="942">
      <c r="E942" s="23" t="n"/>
      <c r="F942" s="23" t="n"/>
      <c r="G942" s="22" t="n"/>
      <c r="M942" s="22" t="n"/>
      <c r="N942" s="22" t="n"/>
      <c r="O942" s="22" t="n"/>
    </row>
    <row r="943">
      <c r="E943" s="23" t="n"/>
      <c r="F943" s="23" t="n"/>
      <c r="G943" s="22" t="n"/>
      <c r="M943" s="22" t="n"/>
      <c r="N943" s="22" t="n"/>
      <c r="O943" s="22" t="n"/>
    </row>
    <row r="944">
      <c r="E944" s="23" t="n"/>
      <c r="F944" s="23" t="n"/>
      <c r="G944" s="22" t="n"/>
      <c r="M944" s="22" t="n"/>
      <c r="N944" s="22" t="n"/>
      <c r="O944" s="22" t="n"/>
    </row>
    <row r="945">
      <c r="E945" s="23" t="n"/>
      <c r="F945" s="23" t="n"/>
      <c r="G945" s="22" t="n"/>
      <c r="M945" s="22" t="n"/>
      <c r="N945" s="22" t="n"/>
      <c r="O945" s="22" t="n"/>
    </row>
    <row r="946">
      <c r="E946" s="23" t="n"/>
      <c r="F946" s="23" t="n"/>
      <c r="G946" s="22" t="n"/>
      <c r="M946" s="22" t="n"/>
      <c r="N946" s="22" t="n"/>
      <c r="O946" s="22" t="n"/>
    </row>
    <row r="947">
      <c r="E947" s="23" t="n"/>
      <c r="F947" s="23" t="n"/>
      <c r="G947" s="22" t="n"/>
      <c r="M947" s="22" t="n"/>
      <c r="N947" s="22" t="n"/>
      <c r="O947" s="22" t="n"/>
    </row>
    <row r="948">
      <c r="E948" s="23" t="n"/>
      <c r="F948" s="23" t="n"/>
      <c r="G948" s="22" t="n"/>
      <c r="M948" s="22" t="n"/>
      <c r="N948" s="22" t="n"/>
      <c r="O948" s="22" t="n"/>
    </row>
    <row r="949">
      <c r="E949" s="23" t="n"/>
      <c r="F949" s="23" t="n"/>
      <c r="G949" s="22" t="n"/>
      <c r="M949" s="22" t="n"/>
      <c r="N949" s="22" t="n"/>
      <c r="O949" s="22" t="n"/>
    </row>
    <row r="950">
      <c r="E950" s="23" t="n"/>
      <c r="F950" s="23" t="n"/>
      <c r="G950" s="22" t="n"/>
      <c r="M950" s="22" t="n"/>
      <c r="N950" s="22" t="n"/>
      <c r="O950" s="22" t="n"/>
    </row>
    <row r="951">
      <c r="E951" s="23" t="n"/>
      <c r="F951" s="23" t="n"/>
      <c r="G951" s="22" t="n"/>
      <c r="M951" s="22" t="n"/>
      <c r="N951" s="22" t="n"/>
      <c r="O951" s="22" t="n"/>
    </row>
    <row r="952">
      <c r="E952" s="23" t="n"/>
      <c r="F952" s="23" t="n"/>
      <c r="G952" s="22" t="n"/>
      <c r="M952" s="22" t="n"/>
      <c r="N952" s="22" t="n"/>
      <c r="O952" s="22" t="n"/>
    </row>
    <row r="953">
      <c r="E953" s="23" t="n"/>
      <c r="F953" s="23" t="n"/>
      <c r="G953" s="22" t="n"/>
      <c r="M953" s="22" t="n"/>
      <c r="N953" s="22" t="n"/>
      <c r="O953" s="22" t="n"/>
    </row>
    <row r="954">
      <c r="E954" s="23" t="n"/>
      <c r="F954" s="23" t="n"/>
      <c r="G954" s="22" t="n"/>
      <c r="M954" s="22" t="n"/>
      <c r="N954" s="22" t="n"/>
      <c r="O954" s="22" t="n"/>
    </row>
    <row r="955">
      <c r="E955" s="23" t="n"/>
      <c r="F955" s="23" t="n"/>
      <c r="G955" s="22" t="n"/>
      <c r="M955" s="22" t="n"/>
      <c r="N955" s="22" t="n"/>
      <c r="O955" s="22" t="n"/>
    </row>
    <row r="956">
      <c r="E956" s="23" t="n"/>
      <c r="F956" s="23" t="n"/>
      <c r="G956" s="22" t="n"/>
      <c r="M956" s="22" t="n"/>
      <c r="N956" s="22" t="n"/>
      <c r="O956" s="22" t="n"/>
    </row>
    <row r="957">
      <c r="E957" s="23" t="n"/>
      <c r="F957" s="23" t="n"/>
      <c r="G957" s="22" t="n"/>
      <c r="M957" s="22" t="n"/>
      <c r="N957" s="22" t="n"/>
      <c r="O957" s="22" t="n"/>
    </row>
    <row r="958">
      <c r="E958" s="23" t="n"/>
      <c r="F958" s="23" t="n"/>
      <c r="G958" s="22" t="n"/>
      <c r="M958" s="22" t="n"/>
      <c r="N958" s="22" t="n"/>
      <c r="O958" s="22" t="n"/>
    </row>
    <row r="959">
      <c r="E959" s="23" t="n"/>
      <c r="F959" s="23" t="n"/>
      <c r="G959" s="22" t="n"/>
      <c r="M959" s="22" t="n"/>
      <c r="N959" s="22" t="n"/>
      <c r="O959" s="22" t="n"/>
    </row>
    <row r="960">
      <c r="E960" s="23" t="n"/>
      <c r="F960" s="23" t="n"/>
      <c r="G960" s="22" t="n"/>
      <c r="M960" s="22" t="n"/>
      <c r="N960" s="22" t="n"/>
      <c r="O960" s="22" t="n"/>
    </row>
    <row r="961">
      <c r="E961" s="23" t="n"/>
      <c r="F961" s="23" t="n"/>
      <c r="G961" s="22" t="n"/>
      <c r="M961" s="22" t="n"/>
      <c r="N961" s="22" t="n"/>
      <c r="O961" s="22" t="n"/>
    </row>
    <row r="962">
      <c r="E962" s="23" t="n"/>
      <c r="F962" s="23" t="n"/>
      <c r="G962" s="22" t="n"/>
      <c r="M962" s="22" t="n"/>
      <c r="N962" s="22" t="n"/>
      <c r="O962" s="22" t="n"/>
    </row>
    <row r="963">
      <c r="E963" s="23" t="n"/>
      <c r="F963" s="23" t="n"/>
      <c r="G963" s="22" t="n"/>
      <c r="M963" s="22" t="n"/>
      <c r="N963" s="22" t="n"/>
      <c r="O963" s="22" t="n"/>
    </row>
    <row r="964">
      <c r="E964" s="23" t="n"/>
      <c r="F964" s="23" t="n"/>
      <c r="G964" s="22" t="n"/>
      <c r="M964" s="22" t="n"/>
      <c r="N964" s="22" t="n"/>
      <c r="O964" s="22" t="n"/>
    </row>
    <row r="965">
      <c r="E965" s="23" t="n"/>
      <c r="F965" s="23" t="n"/>
      <c r="G965" s="22" t="n"/>
      <c r="M965" s="22" t="n"/>
      <c r="N965" s="22" t="n"/>
      <c r="O965" s="22" t="n"/>
    </row>
    <row r="966">
      <c r="E966" s="23" t="n"/>
      <c r="F966" s="23" t="n"/>
      <c r="G966" s="22" t="n"/>
      <c r="M966" s="22" t="n"/>
      <c r="N966" s="22" t="n"/>
      <c r="O966" s="22" t="n"/>
    </row>
    <row r="967">
      <c r="E967" s="23" t="n"/>
      <c r="F967" s="23" t="n"/>
      <c r="G967" s="22" t="n"/>
      <c r="M967" s="22" t="n"/>
      <c r="N967" s="22" t="n"/>
      <c r="O967" s="22" t="n"/>
    </row>
    <row r="968">
      <c r="E968" s="23" t="n"/>
      <c r="F968" s="23" t="n"/>
      <c r="G968" s="22" t="n"/>
      <c r="M968" s="22" t="n"/>
      <c r="N968" s="22" t="n"/>
      <c r="O968" s="22" t="n"/>
    </row>
    <row r="969">
      <c r="E969" s="23" t="n"/>
      <c r="F969" s="23" t="n"/>
      <c r="G969" s="22" t="n"/>
      <c r="M969" s="22" t="n"/>
      <c r="N969" s="22" t="n"/>
      <c r="O969" s="22" t="n"/>
    </row>
    <row r="970">
      <c r="E970" s="23" t="n"/>
      <c r="F970" s="23" t="n"/>
      <c r="G970" s="22" t="n"/>
      <c r="M970" s="22" t="n"/>
      <c r="N970" s="22" t="n"/>
      <c r="O970" s="22" t="n"/>
    </row>
    <row r="971">
      <c r="E971" s="23" t="n"/>
      <c r="F971" s="23" t="n"/>
      <c r="G971" s="22" t="n"/>
      <c r="M971" s="22" t="n"/>
      <c r="N971" s="22" t="n"/>
      <c r="O971" s="22" t="n"/>
    </row>
    <row r="972">
      <c r="E972" s="23" t="n"/>
      <c r="F972" s="23" t="n"/>
      <c r="G972" s="22" t="n"/>
      <c r="M972" s="22" t="n"/>
      <c r="N972" s="22" t="n"/>
      <c r="O972" s="22" t="n"/>
    </row>
    <row r="973">
      <c r="E973" s="23" t="n"/>
      <c r="F973" s="23" t="n"/>
      <c r="G973" s="22" t="n"/>
      <c r="M973" s="22" t="n"/>
      <c r="N973" s="22" t="n"/>
      <c r="O973" s="22" t="n"/>
    </row>
    <row r="974">
      <c r="E974" s="23" t="n"/>
      <c r="F974" s="23" t="n"/>
      <c r="G974" s="22" t="n"/>
      <c r="M974" s="22" t="n"/>
      <c r="N974" s="22" t="n"/>
      <c r="O974" s="22" t="n"/>
    </row>
    <row r="975">
      <c r="E975" s="23" t="n"/>
      <c r="F975" s="23" t="n"/>
      <c r="G975" s="22" t="n"/>
      <c r="M975" s="22" t="n"/>
      <c r="N975" s="22" t="n"/>
      <c r="O975" s="22" t="n"/>
    </row>
    <row r="976">
      <c r="E976" s="23" t="n"/>
      <c r="F976" s="23" t="n"/>
      <c r="G976" s="22" t="n"/>
      <c r="M976" s="22" t="n"/>
      <c r="N976" s="22" t="n"/>
      <c r="O976" s="22" t="n"/>
    </row>
    <row r="977">
      <c r="E977" s="23" t="n"/>
      <c r="F977" s="23" t="n"/>
      <c r="G977" s="22" t="n"/>
      <c r="M977" s="22" t="n"/>
      <c r="N977" s="22" t="n"/>
      <c r="O977" s="22" t="n"/>
    </row>
    <row r="978">
      <c r="E978" s="23" t="n"/>
      <c r="F978" s="23" t="n"/>
      <c r="G978" s="22" t="n"/>
      <c r="M978" s="22" t="n"/>
      <c r="N978" s="22" t="n"/>
      <c r="O978" s="22" t="n"/>
    </row>
    <row r="979">
      <c r="E979" s="23" t="n"/>
      <c r="F979" s="23" t="n"/>
      <c r="G979" s="22" t="n"/>
      <c r="M979" s="22" t="n"/>
      <c r="N979" s="22" t="n"/>
      <c r="O979" s="22" t="n"/>
    </row>
    <row r="980">
      <c r="E980" s="23" t="n"/>
      <c r="F980" s="23" t="n"/>
      <c r="G980" s="22" t="n"/>
      <c r="M980" s="22" t="n"/>
      <c r="N980" s="22" t="n"/>
      <c r="O980" s="22" t="n"/>
    </row>
    <row r="981">
      <c r="E981" s="23" t="n"/>
      <c r="F981" s="23" t="n"/>
      <c r="G981" s="22" t="n"/>
      <c r="M981" s="22" t="n"/>
      <c r="N981" s="22" t="n"/>
      <c r="O981" s="22" t="n"/>
    </row>
    <row r="982">
      <c r="E982" s="23" t="n"/>
      <c r="F982" s="23" t="n"/>
      <c r="G982" s="22" t="n"/>
      <c r="M982" s="22" t="n"/>
      <c r="N982" s="22" t="n"/>
      <c r="O982" s="22" t="n"/>
    </row>
    <row r="983">
      <c r="E983" s="23" t="n"/>
      <c r="F983" s="23" t="n"/>
      <c r="G983" s="22" t="n"/>
      <c r="M983" s="22" t="n"/>
      <c r="N983" s="22" t="n"/>
      <c r="O983" s="22" t="n"/>
    </row>
    <row r="984">
      <c r="E984" s="23" t="n"/>
      <c r="F984" s="23" t="n"/>
      <c r="G984" s="22" t="n"/>
      <c r="M984" s="22" t="n"/>
      <c r="N984" s="22" t="n"/>
      <c r="O984" s="22" t="n"/>
    </row>
    <row r="985">
      <c r="E985" s="23" t="n"/>
      <c r="F985" s="23" t="n"/>
      <c r="G985" s="22" t="n"/>
      <c r="M985" s="22" t="n"/>
      <c r="N985" s="22" t="n"/>
      <c r="O985" s="22" t="n"/>
    </row>
    <row r="986">
      <c r="E986" s="23" t="n"/>
      <c r="F986" s="23" t="n"/>
      <c r="G986" s="22" t="n"/>
      <c r="M986" s="22" t="n"/>
      <c r="N986" s="22" t="n"/>
      <c r="O986" s="22" t="n"/>
    </row>
    <row r="987">
      <c r="E987" s="23" t="n"/>
      <c r="F987" s="23" t="n"/>
      <c r="G987" s="22" t="n"/>
      <c r="M987" s="22" t="n"/>
      <c r="N987" s="22" t="n"/>
      <c r="O987" s="22" t="n"/>
    </row>
    <row r="988">
      <c r="E988" s="23" t="n"/>
      <c r="F988" s="23" t="n"/>
      <c r="G988" s="22" t="n"/>
      <c r="M988" s="22" t="n"/>
      <c r="N988" s="22" t="n"/>
      <c r="O988" s="22" t="n"/>
    </row>
    <row r="989">
      <c r="E989" s="23" t="n"/>
      <c r="F989" s="23" t="n"/>
      <c r="G989" s="22" t="n"/>
      <c r="M989" s="22" t="n"/>
      <c r="N989" s="22" t="n"/>
      <c r="O989" s="22" t="n"/>
    </row>
    <row r="990">
      <c r="E990" s="23" t="n"/>
      <c r="F990" s="23" t="n"/>
      <c r="G990" s="22" t="n"/>
      <c r="M990" s="22" t="n"/>
      <c r="N990" s="22" t="n"/>
      <c r="O990" s="22" t="n"/>
    </row>
    <row r="991">
      <c r="E991" s="23" t="n"/>
      <c r="F991" s="23" t="n"/>
      <c r="G991" s="22" t="n"/>
      <c r="M991" s="22" t="n"/>
      <c r="N991" s="22" t="n"/>
      <c r="O991" s="22" t="n"/>
    </row>
    <row r="992">
      <c r="E992" s="23" t="n"/>
      <c r="F992" s="23" t="n"/>
      <c r="G992" s="22" t="n"/>
      <c r="M992" s="22" t="n"/>
      <c r="N992" s="22" t="n"/>
      <c r="O992" s="22" t="n"/>
    </row>
    <row r="993">
      <c r="E993" s="23" t="n"/>
      <c r="F993" s="23" t="n"/>
      <c r="G993" s="22" t="n"/>
      <c r="M993" s="22" t="n"/>
      <c r="N993" s="22" t="n"/>
      <c r="O993" s="22" t="n"/>
    </row>
    <row r="994">
      <c r="E994" s="23" t="n"/>
      <c r="F994" s="23" t="n"/>
      <c r="G994" s="22" t="n"/>
      <c r="M994" s="22" t="n"/>
      <c r="N994" s="22" t="n"/>
      <c r="O994" s="22" t="n"/>
    </row>
    <row r="995">
      <c r="E995" s="23" t="n"/>
      <c r="F995" s="23" t="n"/>
      <c r="G995" s="22" t="n"/>
      <c r="M995" s="22" t="n"/>
      <c r="N995" s="22" t="n"/>
      <c r="O995" s="22" t="n"/>
    </row>
    <row r="996">
      <c r="E996" s="23" t="n"/>
      <c r="F996" s="23" t="n"/>
      <c r="G996" s="22" t="n"/>
      <c r="M996" s="22" t="n"/>
      <c r="N996" s="22" t="n"/>
      <c r="O996" s="22" t="n"/>
    </row>
    <row r="997">
      <c r="E997" s="23" t="n"/>
      <c r="F997" s="23" t="n"/>
      <c r="G997" s="22" t="n"/>
      <c r="M997" s="22" t="n"/>
      <c r="N997" s="22" t="n"/>
      <c r="O997" s="22" t="n"/>
    </row>
    <row r="998">
      <c r="E998" s="23" t="n"/>
      <c r="F998" s="23" t="n"/>
      <c r="G998" s="22" t="n"/>
      <c r="M998" s="22" t="n"/>
      <c r="N998" s="22" t="n"/>
      <c r="O998" s="22" t="n"/>
    </row>
    <row r="999">
      <c r="E999" s="23" t="n"/>
      <c r="F999" s="23" t="n"/>
      <c r="G999" s="22" t="n"/>
      <c r="M999" s="22" t="n"/>
      <c r="N999" s="22" t="n"/>
      <c r="O999" s="22" t="n"/>
    </row>
    <row r="1000">
      <c r="E1000" s="23" t="n"/>
      <c r="F1000" s="23" t="n"/>
      <c r="G1000" s="22" t="n"/>
      <c r="M1000" s="22" t="n"/>
      <c r="N1000" s="22" t="n"/>
      <c r="O1000" s="22" t="n"/>
    </row>
  </sheetData>
  <conditionalFormatting sqref="V3:V1000">
    <cfRule type="cellIs" priority="1" operator="equal" dxfId="0">
      <formula>"⚑"</formula>
    </cfRule>
  </conditionalFormatting>
  <conditionalFormatting sqref="W3:W1000">
    <cfRule type="cellIs" priority="2" operator="equal" dxfId="0">
      <formula>"⚑"</formula>
    </cfRule>
  </conditionalFormatting>
  <conditionalFormatting sqref="X3:X1000">
    <cfRule type="cellIs" priority="3" operator="equal" dxfId="0">
      <formula>"⚑"</formula>
    </cfRule>
  </conditionalFormatting>
  <dataValidations count="5">
    <dataValidation sqref="C3:C1000" showDropDown="0" showInputMessage="0" showErrorMessage="0" allowBlank="1" type="list">
      <formula1>=DS!$E$2:$E$9</formula1>
    </dataValidation>
    <dataValidation sqref="D3:D1000" showDropDown="0" showInputMessage="0" showErrorMessage="0" allowBlank="1" type="list">
      <formula1>=DS!$O$2:$O$8</formula1>
    </dataValidation>
    <dataValidation sqref="H3:H1000" showDropDown="0" showInputMessage="0" showErrorMessage="0" allowBlank="1" type="list">
      <formula1>=DS!$G$2:$G$9</formula1>
    </dataValidation>
    <dataValidation sqref="K3:K1000" showDropDown="0" showInputMessage="0" showErrorMessage="0" allowBlank="1" type="list">
      <formula1>=DS!$H$2:$H$4</formula1>
    </dataValidation>
    <dataValidation sqref="P3:P1000" showDropDown="0" showInputMessage="0" showErrorMessage="0" allowBlank="1" type="list">
      <formula1>=DS!$I$2:$I$9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4" t="inlineStr">
        <is>
          <t>Master SKU: nguồn duy nhất cho thông số đăng web, nhãn, chứng từ. Chỉ ghi mã NCC nội bộ, không ghi tên/link NCC.</t>
        </is>
      </c>
    </row>
    <row r="2" ht="42" customHeight="1">
      <c r="A2" s="5" t="inlineStr">
        <is>
          <t>Mã SP</t>
        </is>
      </c>
      <c r="B2" s="5" t="inlineStr">
        <is>
          <t>SKU biến thể</t>
        </is>
      </c>
      <c r="C2" s="5" t="inlineStr">
        <is>
          <t>Nhóm chính</t>
        </is>
      </c>
      <c r="D2" s="5" t="inlineStr">
        <is>
          <t>Nhóm con</t>
        </is>
      </c>
      <c r="E2" s="5" t="inlineStr">
        <is>
          <t>Tên tiếng Anh</t>
        </is>
      </c>
      <c r="F2" s="5" t="inlineStr">
        <is>
          <t>Màu chuẩn (mã)</t>
        </is>
      </c>
      <c r="G2" s="5" t="inlineStr">
        <is>
          <t>Chất liệu từng bộ phận</t>
        </is>
      </c>
      <c r="H2" s="5" t="inlineStr">
        <is>
          <t>Lớp phủ</t>
        </is>
      </c>
      <c r="I2" s="5" t="inlineStr">
        <is>
          <t>W (cm)</t>
        </is>
      </c>
      <c r="J2" s="5" t="inlineStr">
        <is>
          <t>D (cm)</t>
        </is>
      </c>
      <c r="K2" s="5" t="inlineStr">
        <is>
          <t>H (cm)</t>
        </is>
      </c>
      <c r="L2" s="5" t="inlineStr">
        <is>
          <t>Dung sai đăng web</t>
        </is>
      </c>
      <c r="M2" s="5" t="inlineStr">
        <is>
          <t>Số kiện</t>
        </is>
      </c>
      <c r="N2" s="5" t="inlineStr">
        <is>
          <t>KT + cân nặng từng kiện</t>
        </is>
      </c>
      <c r="O2" s="5" t="inlineStr">
        <is>
          <t>Lắp (phút)</t>
        </is>
      </c>
      <c r="P2" s="5" t="inlineStr">
        <is>
          <t>Cảnh báo đổ ngã (Y/N)</t>
        </is>
      </c>
      <c r="Q2" s="5" t="inlineStr">
        <is>
          <t>Gỗ / tre / mây (Y/N)</t>
        </is>
      </c>
      <c r="R2" s="5" t="inlineStr">
        <is>
          <t>Hướng dẫn lắp EN (link)</t>
        </is>
      </c>
      <c r="S2" s="5" t="inlineStr">
        <is>
          <t>Quyền dùng ảnh (bằng chứng)</t>
        </is>
      </c>
      <c r="T2" s="5" t="inlineStr">
        <is>
          <t>Hạng A/B/C</t>
        </is>
      </c>
      <c r="U2" s="5" t="inlineStr">
        <is>
          <t>Đạt 7 tiêu chí (Y/N)</t>
        </is>
      </c>
      <c r="V2" s="5" t="inlineStr">
        <is>
          <t>Mã NCC chính (nội bộ)</t>
        </is>
      </c>
      <c r="W2" s="5" t="inlineStr">
        <is>
          <t>Mã NCC dự phòng (nội bộ)</t>
        </is>
      </c>
      <c r="X2" s="5" t="inlineStr">
        <is>
          <t>Hàng mẫu đã kiểm (ngày)</t>
        </is>
      </c>
      <c r="Y2" s="5" t="inlineStr">
        <is>
          <t>Trạng thái listing</t>
        </is>
      </c>
      <c r="Z2" s="5" t="inlineStr">
        <is>
          <t>Người duyệt</t>
        </is>
      </c>
    </row>
  </sheetData>
  <dataValidations count="5">
    <dataValidation sqref="T3:T1000" showDropDown="0" showInputMessage="0" showErrorMessage="0" allowBlank="1" type="list">
      <formula1>"A,B,C"</formula1>
    </dataValidation>
    <dataValidation sqref="U3:U1000" showDropDown="0" showInputMessage="0" showErrorMessage="0" allowBlank="1" type="list">
      <formula1>"Y,N"</formula1>
    </dataValidation>
    <dataValidation sqref="P3:P1000" showDropDown="0" showInputMessage="0" showErrorMessage="0" allowBlank="1" type="list">
      <formula1>"Y,N"</formula1>
    </dataValidation>
    <dataValidation sqref="Q3:Q1000" showDropDown="0" showInputMessage="0" showErrorMessage="0" allowBlank="1" type="list">
      <formula1>"Y,N"</formula1>
    </dataValidation>
    <dataValidation sqref="Y3:Y1000" showDropDown="0" showInputMessage="0" showErrorMessage="0" allowBlank="1" type="list">
      <formula1>"Nháp,Duyệt,Đăng,Tạm ngừng"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12" customWidth="1" min="4" max="4"/>
    <col width="12" customWidth="1" min="5" max="5"/>
    <col width="30" customWidth="1" min="6" max="6"/>
  </cols>
  <sheetData>
    <row r="1">
      <c r="A1" s="4" t="inlineStr">
        <is>
          <t>Launch blockers: phải đóng trước khi đăng chính sách hoặc chạy quảng cáo.</t>
        </is>
      </c>
    </row>
    <row r="2" ht="42" customHeight="1">
      <c r="A2" s="5" t="inlineStr">
        <is>
          <t>Mã</t>
        </is>
      </c>
      <c r="B2" s="5" t="inlineStr">
        <is>
          <t>Việc chưa xong</t>
        </is>
      </c>
      <c r="C2" s="5" t="inlineStr">
        <is>
          <t>Mô tả</t>
        </is>
      </c>
      <c r="D2" s="5" t="inlineStr">
        <is>
          <t>Chủ</t>
        </is>
      </c>
      <c r="E2" s="5" t="inlineStr">
        <is>
          <t>Trạng thái</t>
        </is>
      </c>
      <c r="F2" s="5" t="inlineStr">
        <is>
          <t>Ngày đóng · bằng chứng</t>
        </is>
      </c>
    </row>
    <row r="3">
      <c r="A3" s="6" t="inlineStr">
        <is>
          <t>GST</t>
        </is>
      </c>
      <c r="B3" s="6" t="inlineStr">
        <is>
          <t>GST / thuế nhập khẩu</t>
        </is>
      </c>
      <c r="C3" s="6" t="inlineStr">
        <is>
          <t>Giá niêm yết đã gồm hay chưa gồm GST và thuế nhập khẩu: chờ chốt pháp nhân bán hàng và đăng ký GST.</t>
        </is>
      </c>
      <c r="D3" s="6" t="inlineStr">
        <is>
          <t>CEO</t>
        </is>
      </c>
      <c r="E3" s="6" t="inlineStr">
        <is>
          <t>Mở</t>
        </is>
      </c>
      <c r="F3" s="6" t="inlineStr"/>
    </row>
    <row r="4">
      <c r="A4" s="6" t="inlineStr">
        <is>
          <t>EMAIL</t>
        </is>
      </c>
      <c r="B4" s="6" t="inlineStr">
        <is>
          <t>Email hỗ trợ</t>
        </is>
      </c>
      <c r="C4" s="6" t="inlineStr">
        <is>
          <t>Chưa có email hỗ trợ chính thức cho chính sách và website.</t>
        </is>
      </c>
      <c r="D4" s="6" t="inlineStr">
        <is>
          <t>CEO</t>
        </is>
      </c>
      <c r="E4" s="6" t="inlineStr">
        <is>
          <t>Mở</t>
        </is>
      </c>
      <c r="F4" s="6" t="inlineStr"/>
    </row>
    <row r="5">
      <c r="A5" s="6" t="inlineStr">
        <is>
          <t>HOURS</t>
        </is>
      </c>
      <c r="B5" s="6" t="inlineStr">
        <is>
          <t>Giờ chăm sóc khách</t>
        </is>
      </c>
      <c r="C5" s="6" t="inlineStr">
        <is>
          <t>Chưa chốt giờ làm việc (AEST) công bố cho khách.</t>
        </is>
      </c>
      <c r="D5" s="6" t="inlineStr">
        <is>
          <t>CEO · OPS</t>
        </is>
      </c>
      <c r="E5" s="6" t="inlineStr">
        <is>
          <t>Mở</t>
        </is>
      </c>
      <c r="F5" s="6" t="inlineStr"/>
    </row>
    <row r="6">
      <c r="A6" s="6" t="inlineStr">
        <is>
          <t>LEGAL</t>
        </is>
      </c>
      <c r="B6" s="6" t="inlineStr">
        <is>
          <t>Luật sư Úc rà chính sách</t>
        </is>
      </c>
      <c r="C6" s="6" t="inlineStr">
        <is>
          <t>Chính sách giao hàng, đổi trả, hoàn tiền chưa được luật sư tại Úc (và Singapore) rà.</t>
        </is>
      </c>
      <c r="D6" s="6" t="inlineStr">
        <is>
          <t>CEO</t>
        </is>
      </c>
      <c r="E6" s="6" t="inlineStr">
        <is>
          <t>Mở</t>
        </is>
      </c>
      <c r="F6" s="6" t="inlineStr"/>
    </row>
    <row r="7">
      <c r="A7" s="6" t="inlineStr">
        <is>
          <t>BROKER</t>
        </is>
      </c>
      <c r="B7" s="6" t="inlineStr">
        <is>
          <t>Đại lý hải quan Úc</t>
        </is>
      </c>
      <c r="C7" s="6" t="inlineStr">
        <is>
          <t>Chưa có đại lý hải quan xác nhận mã HS và điều kiện nhập khẩu cho từng mã trước lô đầu tiên.</t>
        </is>
      </c>
      <c r="D7" s="6" t="inlineStr">
        <is>
          <t>CEO · LOG</t>
        </is>
      </c>
      <c r="E7" s="6" t="inlineStr">
        <is>
          <t>Mở</t>
        </is>
      </c>
      <c r="F7" s="6" t="inlineStr"/>
    </row>
  </sheetData>
  <conditionalFormatting sqref="E3:E50">
    <cfRule type="cellIs" priority="1" operator="equal" dxfId="0">
      <formula>"Mở"</formula>
    </cfRule>
    <cfRule type="cellIs" priority="2" operator="equal" dxfId="1">
      <formula>"Đã đóng"</formula>
    </cfRule>
  </conditionalFormatting>
  <dataValidations count="1">
    <dataValidation sqref="E3:E50" showDropDown="0" showInputMessage="0" showErrorMessage="0" allowBlank="1" type="list">
      <formula1>"Mở,Đang xử lý,Đã đóng"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5" max="5"/>
    <col width="22" customWidth="1" min="7" max="7"/>
    <col width="22" customWidth="1" min="8" max="8"/>
    <col width="22" customWidth="1" min="9" max="9"/>
    <col width="22" customWidth="1" min="11" max="11"/>
    <col width="22" customWidth="1" min="12" max="12"/>
    <col width="22" customWidth="1" min="13" max="13"/>
    <col width="22" customWidth="1" min="15" max="15"/>
  </cols>
  <sheetData>
    <row r="1">
      <c r="A1" s="9" t="inlineStr">
        <is>
          <t>Trạng thái</t>
        </is>
      </c>
      <c r="B1" s="9" t="inlineStr">
        <is>
          <t>Chủ trì</t>
        </is>
      </c>
      <c r="E1" s="9" t="inlineStr">
        <is>
          <t>Loại case</t>
        </is>
      </c>
      <c r="G1" s="9" t="inlineStr">
        <is>
          <t>Giải pháp</t>
        </is>
      </c>
      <c r="H1" s="9" t="inlineStr">
        <is>
          <t>Cấp duyệt</t>
        </is>
      </c>
      <c r="I1" s="9" t="inlineStr">
        <is>
          <t>Nguyên nhân gốc</t>
        </is>
      </c>
      <c r="K1" s="9" t="inlineStr">
        <is>
          <t>Thị trường</t>
        </is>
      </c>
      <c r="L1" s="9" t="inlineStr">
        <is>
          <t>ETA min (tuần)</t>
        </is>
      </c>
      <c r="M1" s="9" t="inlineStr">
        <is>
          <t>ETA max (tuần)</t>
        </is>
      </c>
      <c r="O1" s="9" t="inlineStr">
        <is>
          <t>Kênh</t>
        </is>
      </c>
    </row>
    <row r="2">
      <c r="A2" t="inlineStr">
        <is>
          <t>10 Mới</t>
        </is>
      </c>
      <c r="B2" t="inlineStr">
        <is>
          <t>CX</t>
        </is>
      </c>
      <c r="E2" t="inlineStr">
        <is>
          <t>C1 Hủy đơn</t>
        </is>
      </c>
      <c r="G2" t="inlineStr">
        <is>
          <t>R1 Sửa</t>
        </is>
      </c>
      <c r="H2" t="inlineStr">
        <is>
          <t>CX</t>
        </is>
      </c>
      <c r="I2" t="inlineStr">
        <is>
          <t>RC-NCC</t>
        </is>
      </c>
      <c r="K2" t="inlineStr">
        <is>
          <t>AU</t>
        </is>
      </c>
      <c r="L2" t="n">
        <v>8</v>
      </c>
      <c r="M2" t="n">
        <v>12</v>
      </c>
      <c r="O2" t="inlineStr">
        <is>
          <t>Email</t>
        </is>
      </c>
    </row>
    <row r="3">
      <c r="A3" t="inlineStr">
        <is>
          <t>20 Đã xác nhận</t>
        </is>
      </c>
      <c r="B3" t="inlineStr">
        <is>
          <t>SRC</t>
        </is>
      </c>
      <c r="E3" t="inlineStr">
        <is>
          <t>C2 Trễ hạn</t>
        </is>
      </c>
      <c r="G3" t="inlineStr">
        <is>
          <t>R2 Gửi bù</t>
        </is>
      </c>
      <c r="H3" t="inlineStr">
        <is>
          <t>OPS</t>
        </is>
      </c>
      <c r="I3" t="inlineStr">
        <is>
          <t>RC-PACK</t>
        </is>
      </c>
      <c r="K3" t="inlineStr">
        <is>
          <t>SG</t>
        </is>
      </c>
      <c r="L3" t="n">
        <v>5</v>
      </c>
      <c r="M3" t="n">
        <v>8</v>
      </c>
      <c r="O3" t="inlineStr">
        <is>
          <t>Form web</t>
        </is>
      </c>
    </row>
    <row r="4">
      <c r="A4" t="inlineStr">
        <is>
          <t>30 Đã đặt NCC</t>
        </is>
      </c>
      <c r="B4" t="inlineStr">
        <is>
          <t>SRC</t>
        </is>
      </c>
      <c r="E4" t="inlineStr">
        <is>
          <t>C3 Hư hỏng</t>
        </is>
      </c>
      <c r="G4" t="inlineStr">
        <is>
          <t>R3 Đổi mới</t>
        </is>
      </c>
      <c r="H4" t="inlineStr">
        <is>
          <t>CEO</t>
        </is>
      </c>
      <c r="I4" t="inlineStr">
        <is>
          <t>RC-QC</t>
        </is>
      </c>
      <c r="K4" t="inlineStr">
        <is>
          <t>NZ</t>
        </is>
      </c>
      <c r="L4" t="n">
        <v>10</v>
      </c>
      <c r="M4" t="n">
        <v>14</v>
      </c>
      <c r="O4" t="inlineStr">
        <is>
          <t>Messenger</t>
        </is>
      </c>
    </row>
    <row r="5">
      <c r="A5" t="inlineStr">
        <is>
          <t>40 NCC đã gửi</t>
        </is>
      </c>
      <c r="B5" t="inlineStr">
        <is>
          <t>SRC</t>
        </is>
      </c>
      <c r="E5" t="inlineStr">
        <is>
          <t>C4 Thiếu kiện/phụ kiện</t>
        </is>
      </c>
      <c r="G5" t="inlineStr">
        <is>
          <t>R4 Hoàn một phần</t>
        </is>
      </c>
      <c r="I5" t="inlineStr">
        <is>
          <t>RC-FWD</t>
        </is>
      </c>
      <c r="O5" t="inlineStr">
        <is>
          <t>Instagram</t>
        </is>
      </c>
    </row>
    <row r="6">
      <c r="A6" t="inlineStr">
        <is>
          <t>50 QC đạt</t>
        </is>
      </c>
      <c r="B6" t="inlineStr">
        <is>
          <t>LOG</t>
        </is>
      </c>
      <c r="E6" t="inlineStr">
        <is>
          <t>C5 Sai hàng/khác mô tả</t>
        </is>
      </c>
      <c r="G6" t="inlineStr">
        <is>
          <t>R4 Hoàn 100%</t>
        </is>
      </c>
      <c r="I6" t="inlineStr">
        <is>
          <t>RC-LAST</t>
        </is>
      </c>
      <c r="K6" t="inlineStr">
        <is>
          <t>Khung ETA = chính sách đã công bố (sửa ở L2:M4).</t>
        </is>
      </c>
      <c r="O6" t="inlineStr">
        <is>
          <t>WhatsApp</t>
        </is>
      </c>
    </row>
    <row r="7">
      <c r="A7" t="inlineStr">
        <is>
          <t>60 Đã xuất</t>
        </is>
      </c>
      <c r="B7" t="inlineStr">
        <is>
          <t>LOG</t>
        </is>
      </c>
      <c r="E7" t="inlineStr">
        <is>
          <t>C6 Đổi ý</t>
        </is>
      </c>
      <c r="G7" t="inlineStr">
        <is>
          <t>R4 Tín dụng</t>
        </is>
      </c>
      <c r="I7" t="inlineStr">
        <is>
          <t>RC-LIST</t>
        </is>
      </c>
      <c r="O7" t="inlineStr">
        <is>
          <t>Điện thoại</t>
        </is>
      </c>
    </row>
    <row r="8">
      <c r="A8" t="inlineStr">
        <is>
          <t>70 Thông quan</t>
        </is>
      </c>
      <c r="B8" t="inlineStr">
        <is>
          <t>LOG</t>
        </is>
      </c>
      <c r="E8" t="inlineStr">
        <is>
          <t>C7 Chargeback</t>
        </is>
      </c>
      <c r="G8" t="inlineStr">
        <is>
          <t>R5 Thu hồi</t>
        </is>
      </c>
      <c r="I8" t="inlineStr">
        <is>
          <t>RC-CX</t>
        </is>
      </c>
      <c r="O8" t="inlineStr">
        <is>
          <t>Cổng thanh toán</t>
        </is>
      </c>
    </row>
    <row r="9">
      <c r="A9" t="inlineStr">
        <is>
          <t>80 Đang giao</t>
        </is>
      </c>
      <c r="B9" t="inlineStr">
        <is>
          <t>LOG</t>
        </is>
      </c>
      <c r="E9" t="inlineStr">
        <is>
          <t>C8 Bảo hành</t>
        </is>
      </c>
      <c r="G9" t="inlineStr">
        <is>
          <t>Không bồi thường</t>
        </is>
      </c>
      <c r="I9" t="inlineStr">
        <is>
          <t>RC-CUST</t>
        </is>
      </c>
    </row>
    <row r="10">
      <c r="A10" t="inlineStr">
        <is>
          <t>90 Đã giao</t>
        </is>
      </c>
      <c r="B10" t="inlineStr">
        <is>
          <t>CX</t>
        </is>
      </c>
    </row>
    <row r="11">
      <c r="A11" t="inlineStr">
        <is>
          <t>95 Hủy/hoàn</t>
        </is>
      </c>
      <c r="B11" t="inlineStr">
        <is>
          <t>–</t>
        </is>
      </c>
    </row>
    <row r="12">
      <c r="A12" t="inlineStr">
        <is>
          <t>99 Đóng</t>
        </is>
      </c>
      <c r="B12" t="inlineStr">
        <is>
          <t>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2026-10-03T20:01:47Z</dcterms:created>
  <dcterms:modified xmlns:dcterms="http://purl.org/dc/terms/" xmlns:xsi="http://www.w3.org/2001/XMLSchema-instance" xsi:type="dcterms:W3CDTF">2026-10-03T20:01:47Z</dcterms:modified>
</cp:coreProperties>
</file>