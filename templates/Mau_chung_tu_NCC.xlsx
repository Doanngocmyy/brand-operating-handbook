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uong_dan" sheetId="1" state="visible" r:id="rId3"/>
    <sheet name="Commercial_Invoice" sheetId="2" state="visible" r:id="rId4"/>
    <sheet name="Packing_List" sheetId="3" state="visible" r:id="rId5"/>
    <sheet name="Shipping_Mark" sheetId="4" state="visible" r:id="rId6"/>
    <sheet name="Product_Label" sheetId="5" state="visible" r:id="rId7"/>
    <sheet name="Assembly_Manual" sheetId="6" state="visible" r:id="rId8"/>
    <sheet name="QC_Checklist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<sst xmlns="http://schemas.openxmlformats.org/spreadsheetml/2006/main" count="134" uniqueCount="131">
  <si>
    <t xml:space="preserve">BỘ MẪU CHỨNG TỪ NCC – [BRAND]  (song ngữ Anh/Trung cho NCC)</t>
  </si>
  <si>
    <t xml:space="preserve">1. NCC điền ô vàng. Không sửa cột công thức. Gửi lại file + PDF cùng ảnh đóng kiện TRƯỚC khi xuất hàng.</t>
  </si>
  <si>
    <r>
      <rPr>
        <sz val="11"/>
        <rFont val="Cambria"/>
        <family val="0"/>
        <charset val="1"/>
      </rPr>
      <t xml:space="preserve">2. Mô tả hàng phải đúng chất liệu thật (MDF/plywood/solid oak…). Không ghi "solid wood" nếu không phải.  </t>
    </r>
    <r>
      <rPr>
        <sz val="11"/>
        <rFont val="Noto Sans CJK SC"/>
        <family val="2"/>
      </rPr>
      <t xml:space="preserve">货物描述必须与实际材质一致。</t>
    </r>
  </si>
  <si>
    <r>
      <rPr>
        <sz val="11"/>
        <rFont val="Cambria"/>
        <family val="0"/>
        <charset val="1"/>
      </rPr>
      <t xml:space="preserve">3. Mỗi kiện dán Shipping Mark ở 2 mặt đối diện; ghi Kiện X/Y.  </t>
    </r>
    <r>
      <rPr>
        <sz val="11"/>
        <rFont val="Noto Sans CJK SC"/>
        <family val="2"/>
      </rPr>
      <t xml:space="preserve">每箱两侧贴唛头，标注第</t>
    </r>
    <r>
      <rPr>
        <sz val="11"/>
        <rFont val="Cambria"/>
        <family val="0"/>
        <charset val="1"/>
      </rPr>
      <t xml:space="preserve">X</t>
    </r>
    <r>
      <rPr>
        <sz val="11"/>
        <rFont val="Noto Sans CJK SC"/>
        <family val="2"/>
      </rPr>
      <t xml:space="preserve">箱</t>
    </r>
    <r>
      <rPr>
        <sz val="11"/>
        <rFont val="Cambria"/>
        <family val="0"/>
        <charset val="1"/>
      </rPr>
      <t xml:space="preserve">/</t>
    </r>
    <r>
      <rPr>
        <sz val="11"/>
        <rFont val="Noto Sans CJK SC"/>
        <family val="2"/>
      </rPr>
      <t xml:space="preserve">共</t>
    </r>
    <r>
      <rPr>
        <sz val="11"/>
        <rFont val="Cambria"/>
        <family val="0"/>
        <charset val="1"/>
      </rPr>
      <t xml:space="preserve">Y</t>
    </r>
    <r>
      <rPr>
        <sz val="11"/>
        <rFont val="Noto Sans CJK SC"/>
        <family val="2"/>
      </rPr>
      <t xml:space="preserve">箱。</t>
    </r>
  </si>
  <si>
    <r>
      <rPr>
        <sz val="11"/>
        <rFont val="Cambria"/>
        <family val="0"/>
        <charset val="1"/>
      </rPr>
      <t xml:space="preserve">4. Không dùng gỗ thô không dấu ISPM-15 làm khung/pallet.  </t>
    </r>
    <r>
      <rPr>
        <sz val="11"/>
        <rFont val="Noto Sans CJK SC"/>
        <family val="2"/>
      </rPr>
      <t xml:space="preserve">禁止使用无</t>
    </r>
    <r>
      <rPr>
        <sz val="11"/>
        <rFont val="Cambria"/>
        <family val="0"/>
        <charset val="1"/>
      </rPr>
      <t xml:space="preserve">ISPM-15</t>
    </r>
    <r>
      <rPr>
        <sz val="11"/>
        <rFont val="Noto Sans CJK SC"/>
        <family val="2"/>
      </rPr>
      <t xml:space="preserve">标识的实木包装。</t>
    </r>
  </si>
  <si>
    <r>
      <rPr>
        <sz val="11"/>
        <rFont val="Cambria"/>
        <family val="0"/>
        <charset val="1"/>
      </rPr>
      <t xml:space="preserve">5. Tủ áo/kệ sách/buffet cao ≥686 mm và mọi kệ TV: dán nhãn cảnh báo đổ ngã + kèm bộ neo tường.  </t>
    </r>
    <r>
      <rPr>
        <sz val="11"/>
        <rFont val="Noto Sans CJK SC"/>
        <family val="2"/>
      </rPr>
      <t xml:space="preserve">高度≥</t>
    </r>
    <r>
      <rPr>
        <sz val="11"/>
        <rFont val="Cambria"/>
        <family val="0"/>
        <charset val="1"/>
      </rPr>
      <t xml:space="preserve">686mm</t>
    </r>
    <r>
      <rPr>
        <sz val="11"/>
        <rFont val="Noto Sans CJK SC"/>
        <family val="2"/>
      </rPr>
      <t xml:space="preserve">的柜子及所有电视柜须贴防倾倒警示并附防倾倒配件。</t>
    </r>
  </si>
  <si>
    <r>
      <rPr>
        <sz val="11"/>
        <rFont val="Cambria"/>
        <family val="0"/>
        <charset val="1"/>
      </rPr>
      <t xml:space="preserve">6. Không ghi tên thương hiệu khác hay quảng cáo tiếng Trung trên nhãn ngoài kiện (trừ mã vạch nội bộ).  </t>
    </r>
    <r>
      <rPr>
        <sz val="11"/>
        <rFont val="Noto Sans CJK SC"/>
        <family val="2"/>
      </rPr>
      <t xml:space="preserve">外箱不得出现旧品牌名称。</t>
    </r>
  </si>
  <si>
    <r>
      <rPr>
        <b val="true"/>
        <sz val="14"/>
        <rFont val="Cambria"/>
        <family val="0"/>
        <charset val="1"/>
      </rPr>
      <t xml:space="preserve">COMMERCIAL INVOICE  </t>
    </r>
    <r>
      <rPr>
        <b val="true"/>
        <sz val="14"/>
        <rFont val="Noto Sans CJK SC"/>
        <family val="2"/>
      </rPr>
      <t xml:space="preserve">商业发票</t>
    </r>
  </si>
  <si>
    <r>
      <rPr>
        <b val="true"/>
        <sz val="11"/>
        <rFont val="Cambria"/>
        <family val="0"/>
        <charset val="1"/>
      </rPr>
      <t xml:space="preserve">Invoice No. </t>
    </r>
    <r>
      <rPr>
        <b val="true"/>
        <sz val="11"/>
        <rFont val="Noto Sans CJK SC"/>
        <family val="2"/>
      </rPr>
      <t xml:space="preserve">发票号</t>
    </r>
  </si>
  <si>
    <r>
      <rPr>
        <b val="true"/>
        <sz val="11"/>
        <rFont val="Cambria"/>
        <family val="0"/>
        <charset val="1"/>
      </rPr>
      <t xml:space="preserve">Date </t>
    </r>
    <r>
      <rPr>
        <b val="true"/>
        <sz val="11"/>
        <rFont val="Noto Sans CJK SC"/>
        <family val="2"/>
      </rPr>
      <t xml:space="preserve">日期</t>
    </r>
  </si>
  <si>
    <r>
      <rPr>
        <b val="true"/>
        <sz val="11"/>
        <rFont val="Cambria"/>
        <family val="0"/>
        <charset val="1"/>
      </rPr>
      <t xml:space="preserve">Exporter (name, address, tel) </t>
    </r>
    <r>
      <rPr>
        <b val="true"/>
        <sz val="11"/>
        <rFont val="Noto Sans CJK SC"/>
        <family val="2"/>
      </rPr>
      <t xml:space="preserve">出口商</t>
    </r>
  </si>
  <si>
    <r>
      <rPr>
        <b val="true"/>
        <sz val="11"/>
        <rFont val="Cambria"/>
        <family val="0"/>
        <charset val="1"/>
      </rPr>
      <t xml:space="preserve">Importer of record (name, address, ABN) </t>
    </r>
    <r>
      <rPr>
        <b val="true"/>
        <sz val="11"/>
        <rFont val="Noto Sans CJK SC"/>
        <family val="2"/>
      </rPr>
      <t xml:space="preserve">进口商</t>
    </r>
  </si>
  <si>
    <t xml:space="preserve">[BRAND] – điền</t>
  </si>
  <si>
    <r>
      <rPr>
        <b val="true"/>
        <sz val="11"/>
        <rFont val="Cambria"/>
        <family val="0"/>
        <charset val="1"/>
      </rPr>
      <t xml:space="preserve">Ship to (warehouse) </t>
    </r>
    <r>
      <rPr>
        <b val="true"/>
        <sz val="11"/>
        <rFont val="Noto Sans CJK SC"/>
        <family val="2"/>
      </rPr>
      <t xml:space="preserve">收货仓库</t>
    </r>
  </si>
  <si>
    <r>
      <rPr>
        <b val="true"/>
        <sz val="11"/>
        <rFont val="Cambria"/>
        <family val="0"/>
        <charset val="1"/>
      </rPr>
      <t xml:space="preserve">Incoterm </t>
    </r>
    <r>
      <rPr>
        <b val="true"/>
        <sz val="11"/>
        <rFont val="Noto Sans CJK SC"/>
        <family val="2"/>
      </rPr>
      <t xml:space="preserve">贸易条款</t>
    </r>
  </si>
  <si>
    <t xml:space="preserve">FOB / EXW – chọn</t>
  </si>
  <si>
    <r>
      <rPr>
        <b val="true"/>
        <sz val="11"/>
        <rFont val="Cambria"/>
        <family val="0"/>
        <charset val="1"/>
      </rPr>
      <t xml:space="preserve">Port of loading </t>
    </r>
    <r>
      <rPr>
        <b val="true"/>
        <sz val="11"/>
        <rFont val="Noto Sans CJK SC"/>
        <family val="2"/>
      </rPr>
      <t xml:space="preserve">装运港</t>
    </r>
  </si>
  <si>
    <r>
      <rPr>
        <b val="true"/>
        <sz val="11"/>
        <rFont val="Cambria"/>
        <family val="0"/>
        <charset val="1"/>
      </rPr>
      <t xml:space="preserve">Port of discharge </t>
    </r>
    <r>
      <rPr>
        <b val="true"/>
        <sz val="11"/>
        <rFont val="Noto Sans CJK SC"/>
        <family val="2"/>
      </rPr>
      <t xml:space="preserve">目的港</t>
    </r>
  </si>
  <si>
    <r>
      <rPr>
        <b val="true"/>
        <sz val="11"/>
        <rFont val="Cambria"/>
        <family val="0"/>
        <charset val="1"/>
      </rPr>
      <t xml:space="preserve">Country of origin </t>
    </r>
    <r>
      <rPr>
        <b val="true"/>
        <sz val="11"/>
        <rFont val="Noto Sans CJK SC"/>
        <family val="2"/>
      </rPr>
      <t xml:space="preserve">原产国</t>
    </r>
  </si>
  <si>
    <t xml:space="preserve">China</t>
  </si>
  <si>
    <r>
      <rPr>
        <b val="true"/>
        <sz val="11"/>
        <rFont val="Cambria"/>
        <family val="0"/>
        <charset val="1"/>
      </rPr>
      <t xml:space="preserve">Currency </t>
    </r>
    <r>
      <rPr>
        <b val="true"/>
        <sz val="11"/>
        <rFont val="Noto Sans CJK SC"/>
        <family val="2"/>
      </rPr>
      <t xml:space="preserve">币种</t>
    </r>
  </si>
  <si>
    <t xml:space="preserve">USD</t>
  </si>
  <si>
    <r>
      <rPr>
        <b val="true"/>
        <sz val="11"/>
        <rFont val="Cambria"/>
        <family val="0"/>
        <charset val="1"/>
      </rPr>
      <t xml:space="preserve">PO / Order ref </t>
    </r>
    <r>
      <rPr>
        <b val="true"/>
        <sz val="11"/>
        <rFont val="Noto Sans CJK SC"/>
        <family val="2"/>
      </rPr>
      <t xml:space="preserve">订单号</t>
    </r>
  </si>
  <si>
    <t xml:space="preserve">Line</t>
  </si>
  <si>
    <t xml:space="preserve">SKU (brand)</t>
  </si>
  <si>
    <t xml:space="preserve">Description EN (incl. material)</t>
  </si>
  <si>
    <t xml:space="preserve">HS code</t>
  </si>
  <si>
    <t xml:space="preserve">Colour</t>
  </si>
  <si>
    <t xml:space="preserve">Qty (pcs)</t>
  </si>
  <si>
    <t xml:space="preserve">Unit price</t>
  </si>
  <si>
    <t xml:space="preserve">Amount</t>
  </si>
  <si>
    <t xml:space="preserve">Net kg (total)</t>
  </si>
  <si>
    <t xml:space="preserve">Gross kg (total)</t>
  </si>
  <si>
    <t xml:space="preserve">Cartons</t>
  </si>
  <si>
    <t xml:space="preserve">TOTAL</t>
  </si>
  <si>
    <t xml:space="preserve">Declaration: We declare that this invoice shows the actual price of the goods described and that all particulars are true and correct. Solid timber packaging (if any) is ISPM-15 treated and marked.</t>
  </si>
  <si>
    <r>
      <rPr>
        <sz val="11"/>
        <color theme="1"/>
        <rFont val="Calibri"/>
        <family val="2"/>
        <charset val="1"/>
      </rPr>
      <t xml:space="preserve">Signature / company chop </t>
    </r>
    <r>
      <rPr>
        <sz val="11"/>
        <color theme="1"/>
        <rFont val="Noto Sans CJK SC"/>
        <family val="2"/>
      </rPr>
      <t xml:space="preserve">签字盖章</t>
    </r>
    <r>
      <rPr>
        <sz val="11"/>
        <color theme="1"/>
        <rFont val="Calibri"/>
        <family val="2"/>
        <charset val="1"/>
      </rPr>
      <t xml:space="preserve">:</t>
    </r>
  </si>
  <si>
    <r>
      <rPr>
        <b val="true"/>
        <sz val="14"/>
        <rFont val="Cambria"/>
        <family val="0"/>
        <charset val="1"/>
      </rPr>
      <t xml:space="preserve">PACKING LIST  </t>
    </r>
    <r>
      <rPr>
        <b val="true"/>
        <sz val="14"/>
        <rFont val="Noto Sans CJK SC"/>
        <family val="2"/>
      </rPr>
      <t xml:space="preserve">装箱单</t>
    </r>
  </si>
  <si>
    <t xml:space="preserve">Invoice No.</t>
  </si>
  <si>
    <t xml:space="preserve">Container / Seal No.</t>
  </si>
  <si>
    <t xml:space="preserve">Carton ID (SKU-X/Y)</t>
  </si>
  <si>
    <r>
      <rPr>
        <b val="true"/>
        <sz val="11"/>
        <color rgb="FFFFFFFF"/>
        <rFont val="Cambria"/>
        <family val="0"/>
        <charset val="1"/>
      </rPr>
      <t xml:space="preserve">Order no. </t>
    </r>
    <r>
      <rPr>
        <b val="true"/>
        <sz val="11"/>
        <color rgb="FFFFFFFF"/>
        <rFont val="Noto Sans CJK SC"/>
        <family val="2"/>
      </rPr>
      <t xml:space="preserve">订单号</t>
    </r>
  </si>
  <si>
    <t xml:space="preserve">Carton no. (X)</t>
  </si>
  <si>
    <t xml:space="preserve">of (Y)</t>
  </si>
  <si>
    <r>
      <rPr>
        <b val="true"/>
        <sz val="11"/>
        <color rgb="FFFFFFFF"/>
        <rFont val="Cambria"/>
        <family val="0"/>
        <charset val="1"/>
      </rPr>
      <t xml:space="preserve">Contents </t>
    </r>
    <r>
      <rPr>
        <b val="true"/>
        <sz val="11"/>
        <color rgb="FFFFFFFF"/>
        <rFont val="Noto Sans CJK SC"/>
        <family val="2"/>
      </rPr>
      <t xml:space="preserve">箱内物品</t>
    </r>
  </si>
  <si>
    <t xml:space="preserve">L (cm)</t>
  </si>
  <si>
    <t xml:space="preserve">W (cm)</t>
  </si>
  <si>
    <t xml:space="preserve">H (cm)</t>
  </si>
  <si>
    <t xml:space="preserve">CBM</t>
  </si>
  <si>
    <t xml:space="preserve">Net kg</t>
  </si>
  <si>
    <t xml:space="preserve">Gross kg</t>
  </si>
  <si>
    <t xml:space="preserve">Wood pkg? (None/Plywood/ISPM-15)</t>
  </si>
  <si>
    <t xml:space="preserve">Fragile? Y/N</t>
  </si>
  <si>
    <r>
      <rPr>
        <sz val="11"/>
        <color theme="1"/>
        <rFont val="Calibri"/>
        <family val="2"/>
        <charset val="1"/>
      </rPr>
      <t xml:space="preserve">Check: cartons per SKU must equal packages in the master SKU sheet. </t>
    </r>
    <r>
      <rPr>
        <sz val="11"/>
        <color theme="1"/>
        <rFont val="Noto Sans CJK SC"/>
        <family val="2"/>
      </rPr>
      <t xml:space="preserve">每个</t>
    </r>
    <r>
      <rPr>
        <sz val="11"/>
        <color theme="1"/>
        <rFont val="Calibri"/>
        <family val="2"/>
        <charset val="1"/>
      </rPr>
      <t xml:space="preserve">SKU</t>
    </r>
    <r>
      <rPr>
        <sz val="11"/>
        <color theme="1"/>
        <rFont val="Noto Sans CJK SC"/>
        <family val="2"/>
      </rPr>
      <t xml:space="preserve">箱数须与主数据一致。</t>
    </r>
  </si>
  <si>
    <r>
      <rPr>
        <b val="true"/>
        <sz val="13"/>
        <rFont val="Cambria"/>
        <family val="0"/>
        <charset val="1"/>
      </rPr>
      <t xml:space="preserve">SHIPPING MARK – in A5, dán 2 mặt đối diện  </t>
    </r>
    <r>
      <rPr>
        <b val="true"/>
        <sz val="13"/>
        <rFont val="Noto Sans CJK SC"/>
        <family val="2"/>
      </rPr>
      <t xml:space="preserve">唛头（</t>
    </r>
    <r>
      <rPr>
        <b val="true"/>
        <sz val="13"/>
        <rFont val="Cambria"/>
        <family val="0"/>
        <charset val="1"/>
      </rPr>
      <t xml:space="preserve">A5</t>
    </r>
    <r>
      <rPr>
        <b val="true"/>
        <sz val="13"/>
        <rFont val="Noto Sans CJK SC"/>
        <family val="2"/>
      </rPr>
      <t xml:space="preserve">，两侧粘贴）</t>
    </r>
  </si>
  <si>
    <t xml:space="preserve">BRAND</t>
  </si>
  <si>
    <t xml:space="preserve">[BRAND]</t>
  </si>
  <si>
    <t xml:space="preserve">SKU</t>
  </si>
  <si>
    <t xml:space="preserve">PRODUCT (EN)</t>
  </si>
  <si>
    <t xml:space="preserve">COLOUR</t>
  </si>
  <si>
    <t xml:space="preserve">ORDER / PO</t>
  </si>
  <si>
    <t xml:space="preserve">CARTON</t>
  </si>
  <si>
    <t xml:space="preserve">X / Y</t>
  </si>
  <si>
    <t xml:space="preserve">DIMENSIONS (cm)</t>
  </si>
  <si>
    <t xml:space="preserve">L × W × H</t>
  </si>
  <si>
    <t xml:space="preserve">NET / GROSS (kg)</t>
  </si>
  <si>
    <t xml:space="preserve"> / </t>
  </si>
  <si>
    <t xml:space="preserve">MADE IN CHINA</t>
  </si>
  <si>
    <t xml:space="preserve">BARCODE (Code128)</t>
  </si>
  <si>
    <t xml:space="preserve">SKU-X/Y</t>
  </si>
  <si>
    <t xml:space="preserve">HANDLING</t>
  </si>
  <si>
    <t xml:space="preserve">↑ This way up · Fragile · Keep dry · Max stack: 3 · 2-person lift if &gt;25 kg</t>
  </si>
  <si>
    <r>
      <rPr>
        <b val="true"/>
        <sz val="13"/>
        <rFont val="Cambria"/>
        <family val="0"/>
        <charset val="1"/>
      </rPr>
      <t xml:space="preserve">PRODUCT LABEL – nhãn cố định trên sản phẩm (8×5 cm)  </t>
    </r>
    <r>
      <rPr>
        <b val="true"/>
        <sz val="13"/>
        <rFont val="Noto Sans CJK SC"/>
        <family val="2"/>
      </rPr>
      <t xml:space="preserve">产品永久标签</t>
    </r>
  </si>
  <si>
    <t xml:space="preserve">Brand</t>
  </si>
  <si>
    <t xml:space="preserve">Model / SKU</t>
  </si>
  <si>
    <t xml:space="preserve">Product (EN)</t>
  </si>
  <si>
    <t xml:space="preserve">Colour / finish</t>
  </si>
  <si>
    <t xml:space="preserve">Batch / production month</t>
  </si>
  <si>
    <t xml:space="preserve">YYYY-MM / lô</t>
  </si>
  <si>
    <t xml:space="preserve">Material</t>
  </si>
  <si>
    <t xml:space="preserve">vd: MDF, oak veneer, lacquer</t>
  </si>
  <si>
    <t xml:space="preserve">Made in China</t>
  </si>
  <si>
    <t xml:space="preserve">Care</t>
  </si>
  <si>
    <t xml:space="preserve">Wipe with dry or slightly damp cloth. Avoid direct sun &amp; heat.</t>
  </si>
  <si>
    <t xml:space="preserve">Support</t>
  </si>
  <si>
    <t xml:space="preserve">support@[brand-domain] · QR → manual</t>
  </si>
  <si>
    <t xml:space="preserve">TOPPLING WARNING (bắt buộc nếu cao ≥686 mm hoặc là kệ TV):</t>
  </si>
  <si>
    <t xml:space="preserve">⚠ WARNING – Furniture tip-over can kill or injure children. Always secure this product to the wall using the anchor provided. Do not let children climb. Place heavy items in lowest drawers. (+ pictogram: child climbing, crossed out)</t>
  </si>
  <si>
    <t xml:space="preserve">MẪU HƯỚNG DẪN LẮP (EN) – NCC gửi ảnh/sơ đồ từng bước, brand dịch và dàn trang</t>
  </si>
  <si>
    <t xml:space="preserve">Part code</t>
  </si>
  <si>
    <t xml:space="preserve">Part name (EN)</t>
  </si>
  <si>
    <t xml:space="preserve">零件名称</t>
  </si>
  <si>
    <t xml:space="preserve">Qty</t>
  </si>
  <si>
    <t xml:space="preserve">Size (mm)</t>
  </si>
  <si>
    <t xml:space="preserve">In carton X</t>
  </si>
  <si>
    <t xml:space="preserve">Step</t>
  </si>
  <si>
    <t xml:space="preserve">Parts used</t>
  </si>
  <si>
    <t xml:space="preserve">Fittings (A, B, C…)</t>
  </si>
  <si>
    <t xml:space="preserve">Tool</t>
  </si>
  <si>
    <t xml:space="preserve">Image file name</t>
  </si>
  <si>
    <t xml:space="preserve">Notes / warnings</t>
  </si>
  <si>
    <r>
      <rPr>
        <b val="true"/>
        <sz val="13"/>
        <rFont val="Cambria"/>
        <family val="0"/>
        <charset val="1"/>
      </rPr>
      <t xml:space="preserve">QC TRƯỚC KHI XUẤT – NCC tự kiểm + gửi ảnh/video  </t>
    </r>
    <r>
      <rPr>
        <b val="true"/>
        <sz val="13"/>
        <rFont val="Noto Sans CJK SC"/>
        <family val="2"/>
      </rPr>
      <t xml:space="preserve">出货前质检</t>
    </r>
  </si>
  <si>
    <t xml:space="preserve">#</t>
  </si>
  <si>
    <r>
      <rPr>
        <b val="true"/>
        <sz val="11"/>
        <color rgb="FFFFFFFF"/>
        <rFont val="Cambria"/>
        <family val="0"/>
        <charset val="1"/>
      </rPr>
      <t xml:space="preserve">Hạng mục / </t>
    </r>
    <r>
      <rPr>
        <b val="true"/>
        <sz val="11"/>
        <color rgb="FFFFFFFF"/>
        <rFont val="Noto Sans CJK SC"/>
        <family val="2"/>
      </rPr>
      <t xml:space="preserve">检查项</t>
    </r>
  </si>
  <si>
    <t xml:space="preserve">Chuẩn</t>
  </si>
  <si>
    <t xml:space="preserve">Kết quả (Đạt/Không)</t>
  </si>
  <si>
    <t xml:space="preserve">Ảnh/video</t>
  </si>
  <si>
    <t xml:space="preserve">Kích thước W×D×H</t>
  </si>
  <si>
    <t xml:space="preserve">≤ ±5 mm so với bản vẽ</t>
  </si>
  <si>
    <t xml:space="preserve">Màu so với mẫu chuẩn</t>
  </si>
  <si>
    <t xml:space="preserve">Chụp cạnh mẫu, ánh sáng ban ngày</t>
  </si>
  <si>
    <t xml:space="preserve">Bề mặt</t>
  </si>
  <si>
    <t xml:space="preserve">Không trầy, mẻ, bọt sơn, vết keo</t>
  </si>
  <si>
    <t xml:space="preserve">Đèn LED / bản lề / ray</t>
  </si>
  <si>
    <t xml:space="preserve">Thử hoạt động</t>
  </si>
  <si>
    <t xml:space="preserve">Đủ phụ kiện</t>
  </si>
  <si>
    <t xml:space="preserve">Đếm theo danh sách A, B, C…</t>
  </si>
  <si>
    <t xml:space="preserve">Hướng dẫn EN + QR</t>
  </si>
  <si>
    <t xml:space="preserve">Có trong kiện số 1</t>
  </si>
  <si>
    <t xml:space="preserve">Màng PE + hút ẩm</t>
  </si>
  <si>
    <t xml:space="preserve">Từng tấm/cụm</t>
  </si>
  <si>
    <t xml:space="preserve">Nẹp góc + cạnh</t>
  </si>
  <si>
    <t xml:space="preserve">8 góc</t>
  </si>
  <si>
    <t xml:space="preserve">Nhãn sản phẩm + cảnh báo đổ ngã</t>
  </si>
  <si>
    <t xml:space="preserve">Nếu áp dụng</t>
  </si>
  <si>
    <t xml:space="preserve">Shipping mark X/Y + mã vạch</t>
  </si>
  <si>
    <t xml:space="preserve">2 mặt mỗi kiện</t>
  </si>
  <si>
    <t xml:space="preserve">Kiện ≤35 kg, dài ≤220 cm</t>
  </si>
  <si>
    <t xml:space="preserve">Nếu không: ghi 2-person lift</t>
  </si>
  <si>
    <t xml:space="preserve">Bao bì gỗ</t>
  </si>
  <si>
    <t xml:space="preserve">Không có / plywood / ISPM-15</t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</si>
</sst>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sz val="11"/>
      <name val="Cambria"/>
      <family val="0"/>
      <charset val="1"/>
    </font>
    <font>
      <sz val="11"/>
      <name val="Noto Sans CJK SC"/>
      <family val="2"/>
    </font>
    <font>
      <b val="true"/>
      <sz val="14"/>
      <name val="Cambria"/>
      <family val="0"/>
      <charset val="1"/>
    </font>
    <font>
      <b val="true"/>
      <sz val="14"/>
      <name val="Noto Sans CJK SC"/>
      <family val="2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b val="true"/>
      <sz val="11"/>
      <color rgb="FFFFFFFF"/>
      <name val="Cambria"/>
      <family val="0"/>
      <charset val="1"/>
    </font>
    <font>
      <sz val="11"/>
      <color theme="1"/>
      <name val="Noto Sans CJK SC"/>
      <family val="2"/>
    </font>
    <font>
      <b val="true"/>
      <sz val="11"/>
      <color rgb="FFFFFFFF"/>
      <name val="Noto Sans CJK SC"/>
      <family val="2"/>
    </font>
    <font>
      <b val="true"/>
      <sz val="13"/>
      <name val="Noto Sans CJK SC"/>
      <family val="2"/>
    </font>
    <font>
      <sz val="14"/>
      <name val="Cambria"/>
      <family val="0"/>
      <charset val="1"/>
    </font>
    <font>
      <b val="true"/>
      <sz val="11"/>
      <color rgb="FFB91C1C"/>
      <name val="Cambria"/>
      <family val="0"/>
      <charset val="1"/>
    </font>
    <font>
      <b val="true"/>
      <sz val="11"/>
      <color rgb="FFFFFFFF"/>
      <name val="Noto Sans CJK SC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7D6"/>
        <bgColor rgb="FFFFFFFF"/>
      </patternFill>
    </fill>
    <fill>
      <patternFill patternType="solid">
        <fgColor rgb="FF1F2937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B91C1C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0"/>
  </cols>
  <sheetData>
    <row r="1" customFormat="false" ht="15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6.5" hidden="false" customHeight="true" outlineLevel="0" collapsed="false">
      <c r="A3" s="3" t="s">
        <v>2</v>
      </c>
    </row>
    <row r="4" customFormat="false" ht="16.5" hidden="false" customHeight="true" outlineLevel="0" collapsed="false">
      <c r="A4" s="3" t="s">
        <v>3</v>
      </c>
    </row>
    <row r="5" customFormat="false" ht="16.5" hidden="false" customHeight="true" outlineLevel="0" collapsed="false">
      <c r="A5" s="3" t="s">
        <v>4</v>
      </c>
    </row>
    <row r="6" customFormat="false" ht="16.5" hidden="false" customHeight="true" outlineLevel="0" collapsed="false">
      <c r="A6" s="3" t="s">
        <v>5</v>
      </c>
    </row>
    <row r="7" customFormat="false" ht="16.5" hidden="false" customHeight="true" outlineLevel="0" collapsed="false">
      <c r="A7" s="3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8"/>
    <col collapsed="false" customWidth="true" hidden="false" outlineLevel="0" max="3" min="3" style="1" width="46"/>
    <col collapsed="false" customWidth="true" hidden="false" outlineLevel="0" max="4" min="4" style="1" width="12"/>
    <col collapsed="false" customWidth="true" hidden="false" outlineLevel="0" max="5" min="5" style="1" width="14"/>
    <col collapsed="false" customWidth="true" hidden="false" outlineLevel="0" max="6" min="6" style="1" width="10"/>
    <col collapsed="false" customWidth="true" hidden="false" outlineLevel="0" max="7" min="7" style="1" width="11"/>
    <col collapsed="false" customWidth="true" hidden="false" outlineLevel="0" max="10" min="8" style="1" width="12"/>
    <col collapsed="false" customWidth="true" hidden="false" outlineLevel="0" max="11" min="11" style="1" width="9"/>
  </cols>
  <sheetData>
    <row r="1" customFormat="false" ht="21" hidden="false" customHeight="true" outlineLevel="0" collapsed="false">
      <c r="A1" s="4" t="s">
        <v>7</v>
      </c>
    </row>
    <row r="3" customFormat="false" ht="16.5" hidden="false" customHeight="true" outlineLevel="0" collapsed="false">
      <c r="A3" s="5" t="s">
        <v>8</v>
      </c>
      <c r="B3" s="6"/>
    </row>
    <row r="4" customFormat="false" ht="16.5" hidden="false" customHeight="true" outlineLevel="0" collapsed="false">
      <c r="A4" s="5" t="s">
        <v>9</v>
      </c>
      <c r="B4" s="6"/>
    </row>
    <row r="5" customFormat="false" ht="16.5" hidden="false" customHeight="true" outlineLevel="0" collapsed="false">
      <c r="A5" s="5" t="s">
        <v>10</v>
      </c>
      <c r="B5" s="6"/>
    </row>
    <row r="6" customFormat="false" ht="16.5" hidden="false" customHeight="true" outlineLevel="0" collapsed="false">
      <c r="A6" s="5" t="s">
        <v>11</v>
      </c>
      <c r="B6" s="6" t="s">
        <v>12</v>
      </c>
    </row>
    <row r="7" customFormat="false" ht="16.5" hidden="false" customHeight="true" outlineLevel="0" collapsed="false">
      <c r="A7" s="5" t="s">
        <v>13</v>
      </c>
      <c r="B7" s="6"/>
    </row>
    <row r="8" customFormat="false" ht="16.5" hidden="false" customHeight="true" outlineLevel="0" collapsed="false">
      <c r="A8" s="5" t="s">
        <v>14</v>
      </c>
      <c r="B8" s="6" t="s">
        <v>15</v>
      </c>
    </row>
    <row r="9" customFormat="false" ht="16.5" hidden="false" customHeight="true" outlineLevel="0" collapsed="false">
      <c r="A9" s="5" t="s">
        <v>16</v>
      </c>
      <c r="B9" s="6"/>
    </row>
    <row r="10" customFormat="false" ht="16.5" hidden="false" customHeight="true" outlineLevel="0" collapsed="false">
      <c r="A10" s="5" t="s">
        <v>17</v>
      </c>
      <c r="B10" s="6"/>
    </row>
    <row r="11" customFormat="false" ht="16.5" hidden="false" customHeight="true" outlineLevel="0" collapsed="false">
      <c r="A11" s="5" t="s">
        <v>18</v>
      </c>
      <c r="B11" s="6" t="s">
        <v>19</v>
      </c>
    </row>
    <row r="12" customFormat="false" ht="16.5" hidden="false" customHeight="true" outlineLevel="0" collapsed="false">
      <c r="A12" s="5" t="s">
        <v>20</v>
      </c>
      <c r="B12" s="6" t="s">
        <v>21</v>
      </c>
    </row>
    <row r="13" customFormat="false" ht="16.5" hidden="false" customHeight="true" outlineLevel="0" collapsed="false">
      <c r="A13" s="5" t="s">
        <v>22</v>
      </c>
      <c r="B13" s="6"/>
    </row>
    <row r="16" customFormat="false" ht="27.75" hidden="false" customHeight="true" outlineLevel="0" collapsed="false">
      <c r="A16" s="7" t="s">
        <v>23</v>
      </c>
      <c r="B16" s="7" t="s">
        <v>24</v>
      </c>
      <c r="C16" s="7" t="s">
        <v>25</v>
      </c>
      <c r="D16" s="7" t="s">
        <v>26</v>
      </c>
      <c r="E16" s="7" t="s">
        <v>27</v>
      </c>
      <c r="F16" s="7" t="s">
        <v>28</v>
      </c>
      <c r="G16" s="7" t="s">
        <v>29</v>
      </c>
      <c r="H16" s="7" t="s">
        <v>30</v>
      </c>
      <c r="I16" s="7" t="s">
        <v>31</v>
      </c>
      <c r="J16" s="7" t="s">
        <v>32</v>
      </c>
      <c r="K16" s="7" t="s">
        <v>33</v>
      </c>
    </row>
    <row r="17" customFormat="false" ht="15" hidden="false" customHeight="true" outlineLevel="0" collapsed="false">
      <c r="A17" s="1" t="n">
        <v>1</v>
      </c>
      <c r="B17" s="8"/>
      <c r="C17" s="8"/>
      <c r="D17" s="8"/>
      <c r="E17" s="8"/>
      <c r="F17" s="8"/>
      <c r="G17" s="8"/>
      <c r="H17" s="9" t="str">
        <f aca="false">IF(OR(F17="",G17=""),"",F17*G17)</f>
        <v/>
      </c>
      <c r="I17" s="8"/>
      <c r="J17" s="8"/>
      <c r="K17" s="8"/>
    </row>
    <row r="18" customFormat="false" ht="15" hidden="false" customHeight="true" outlineLevel="0" collapsed="false">
      <c r="A18" s="1" t="n">
        <v>2</v>
      </c>
      <c r="B18" s="8"/>
      <c r="C18" s="8"/>
      <c r="D18" s="8"/>
      <c r="E18" s="8"/>
      <c r="F18" s="8"/>
      <c r="G18" s="8"/>
      <c r="H18" s="9" t="str">
        <f aca="false">IF(OR(F18="",G18=""),"",F18*G18)</f>
        <v/>
      </c>
      <c r="I18" s="8"/>
      <c r="J18" s="8"/>
      <c r="K18" s="8"/>
    </row>
    <row r="19" customFormat="false" ht="15" hidden="false" customHeight="true" outlineLevel="0" collapsed="false">
      <c r="A19" s="1" t="n">
        <v>3</v>
      </c>
      <c r="B19" s="8"/>
      <c r="C19" s="8"/>
      <c r="D19" s="8"/>
      <c r="E19" s="8"/>
      <c r="F19" s="8"/>
      <c r="G19" s="8"/>
      <c r="H19" s="9" t="str">
        <f aca="false">IF(OR(F19="",G19=""),"",F19*G19)</f>
        <v/>
      </c>
      <c r="I19" s="8"/>
      <c r="J19" s="8"/>
      <c r="K19" s="8"/>
    </row>
    <row r="20" customFormat="false" ht="15" hidden="false" customHeight="true" outlineLevel="0" collapsed="false">
      <c r="A20" s="1" t="n">
        <v>4</v>
      </c>
      <c r="B20" s="8"/>
      <c r="C20" s="8"/>
      <c r="D20" s="8"/>
      <c r="E20" s="8"/>
      <c r="F20" s="8"/>
      <c r="G20" s="8"/>
      <c r="H20" s="9" t="str">
        <f aca="false">IF(OR(F20="",G20=""),"",F20*G20)</f>
        <v/>
      </c>
      <c r="I20" s="8"/>
      <c r="J20" s="8"/>
      <c r="K20" s="8"/>
    </row>
    <row r="21" customFormat="false" ht="15" hidden="false" customHeight="true" outlineLevel="0" collapsed="false">
      <c r="A21" s="1" t="n">
        <v>5</v>
      </c>
      <c r="B21" s="8"/>
      <c r="C21" s="8"/>
      <c r="D21" s="8"/>
      <c r="E21" s="8"/>
      <c r="F21" s="8"/>
      <c r="G21" s="8"/>
      <c r="H21" s="9" t="str">
        <f aca="false">IF(OR(F21="",G21=""),"",F21*G21)</f>
        <v/>
      </c>
      <c r="I21" s="8"/>
      <c r="J21" s="8"/>
      <c r="K21" s="8"/>
    </row>
    <row r="22" customFormat="false" ht="15" hidden="false" customHeight="true" outlineLevel="0" collapsed="false">
      <c r="A22" s="1" t="n">
        <v>6</v>
      </c>
      <c r="B22" s="8"/>
      <c r="C22" s="8"/>
      <c r="D22" s="8"/>
      <c r="E22" s="8"/>
      <c r="F22" s="8"/>
      <c r="G22" s="8"/>
      <c r="H22" s="9" t="str">
        <f aca="false">IF(OR(F22="",G22=""),"",F22*G22)</f>
        <v/>
      </c>
      <c r="I22" s="8"/>
      <c r="J22" s="8"/>
      <c r="K22" s="8"/>
    </row>
    <row r="23" customFormat="false" ht="15" hidden="false" customHeight="true" outlineLevel="0" collapsed="false">
      <c r="A23" s="1" t="n">
        <v>7</v>
      </c>
      <c r="B23" s="8"/>
      <c r="C23" s="8"/>
      <c r="D23" s="8"/>
      <c r="E23" s="8"/>
      <c r="F23" s="8"/>
      <c r="G23" s="8"/>
      <c r="H23" s="9" t="str">
        <f aca="false">IF(OR(F23="",G23=""),"",F23*G23)</f>
        <v/>
      </c>
      <c r="I23" s="8"/>
      <c r="J23" s="8"/>
      <c r="K23" s="8"/>
    </row>
    <row r="24" customFormat="false" ht="15" hidden="false" customHeight="true" outlineLevel="0" collapsed="false">
      <c r="A24" s="1" t="n">
        <v>8</v>
      </c>
      <c r="B24" s="8"/>
      <c r="C24" s="8"/>
      <c r="D24" s="8"/>
      <c r="E24" s="8"/>
      <c r="F24" s="8"/>
      <c r="G24" s="8"/>
      <c r="H24" s="9" t="str">
        <f aca="false">IF(OR(F24="",G24=""),"",F24*G24)</f>
        <v/>
      </c>
      <c r="I24" s="8"/>
      <c r="J24" s="8"/>
      <c r="K24" s="8"/>
    </row>
    <row r="25" customFormat="false" ht="15" hidden="false" customHeight="true" outlineLevel="0" collapsed="false">
      <c r="A25" s="1" t="n">
        <v>9</v>
      </c>
      <c r="B25" s="8"/>
      <c r="C25" s="8"/>
      <c r="D25" s="8"/>
      <c r="E25" s="8"/>
      <c r="F25" s="8"/>
      <c r="G25" s="8"/>
      <c r="H25" s="9" t="str">
        <f aca="false">IF(OR(F25="",G25=""),"",F25*G25)</f>
        <v/>
      </c>
      <c r="I25" s="8"/>
      <c r="J25" s="8"/>
      <c r="K25" s="8"/>
    </row>
    <row r="26" customFormat="false" ht="15" hidden="false" customHeight="true" outlineLevel="0" collapsed="false">
      <c r="A26" s="1" t="n">
        <v>10</v>
      </c>
      <c r="B26" s="8"/>
      <c r="C26" s="8"/>
      <c r="D26" s="8"/>
      <c r="E26" s="8"/>
      <c r="F26" s="8"/>
      <c r="G26" s="8"/>
      <c r="H26" s="9" t="str">
        <f aca="false">IF(OR(F26="",G26=""),"",F26*G26)</f>
        <v/>
      </c>
      <c r="I26" s="8"/>
      <c r="J26" s="8"/>
      <c r="K26" s="8"/>
    </row>
    <row r="27" customFormat="false" ht="15" hidden="false" customHeight="true" outlineLevel="0" collapsed="false">
      <c r="A27" s="1" t="n">
        <v>11</v>
      </c>
      <c r="B27" s="8"/>
      <c r="C27" s="8"/>
      <c r="D27" s="8"/>
      <c r="E27" s="8"/>
      <c r="F27" s="8"/>
      <c r="G27" s="8"/>
      <c r="H27" s="9" t="str">
        <f aca="false">IF(OR(F27="",G27=""),"",F27*G27)</f>
        <v/>
      </c>
      <c r="I27" s="8"/>
      <c r="J27" s="8"/>
      <c r="K27" s="8"/>
    </row>
    <row r="28" customFormat="false" ht="15" hidden="false" customHeight="true" outlineLevel="0" collapsed="false">
      <c r="A28" s="1" t="n">
        <v>12</v>
      </c>
      <c r="B28" s="8"/>
      <c r="C28" s="8"/>
      <c r="D28" s="8"/>
      <c r="E28" s="8"/>
      <c r="F28" s="8"/>
      <c r="G28" s="8"/>
      <c r="H28" s="9" t="str">
        <f aca="false">IF(OR(F28="",G28=""),"",F28*G28)</f>
        <v/>
      </c>
      <c r="I28" s="8"/>
      <c r="J28" s="8"/>
      <c r="K28" s="8"/>
    </row>
    <row r="29" customFormat="false" ht="15" hidden="false" customHeight="true" outlineLevel="0" collapsed="false">
      <c r="A29" s="1" t="n">
        <v>13</v>
      </c>
      <c r="B29" s="8"/>
      <c r="C29" s="8"/>
      <c r="D29" s="8"/>
      <c r="E29" s="8"/>
      <c r="F29" s="8"/>
      <c r="G29" s="8"/>
      <c r="H29" s="9" t="str">
        <f aca="false">IF(OR(F29="",G29=""),"",F29*G29)</f>
        <v/>
      </c>
      <c r="I29" s="8"/>
      <c r="J29" s="8"/>
      <c r="K29" s="8"/>
    </row>
    <row r="30" customFormat="false" ht="15" hidden="false" customHeight="true" outlineLevel="0" collapsed="false">
      <c r="A30" s="1" t="n">
        <v>14</v>
      </c>
      <c r="B30" s="8"/>
      <c r="C30" s="8"/>
      <c r="D30" s="8"/>
      <c r="E30" s="8"/>
      <c r="F30" s="8"/>
      <c r="G30" s="8"/>
      <c r="H30" s="9" t="str">
        <f aca="false">IF(OR(F30="",G30=""),"",F30*G30)</f>
        <v/>
      </c>
      <c r="I30" s="8"/>
      <c r="J30" s="8"/>
      <c r="K30" s="8"/>
    </row>
    <row r="31" customFormat="false" ht="15" hidden="false" customHeight="true" outlineLevel="0" collapsed="false">
      <c r="A31" s="1" t="n">
        <v>15</v>
      </c>
      <c r="B31" s="8"/>
      <c r="C31" s="8"/>
      <c r="D31" s="8"/>
      <c r="E31" s="8"/>
      <c r="F31" s="8"/>
      <c r="G31" s="8"/>
      <c r="H31" s="9" t="str">
        <f aca="false">IF(OR(F31="",G31=""),"",F31*G31)</f>
        <v/>
      </c>
      <c r="I31" s="8"/>
      <c r="J31" s="8"/>
      <c r="K31" s="8"/>
    </row>
    <row r="32" customFormat="false" ht="15" hidden="false" customHeight="true" outlineLevel="0" collapsed="false">
      <c r="A32" s="1" t="n">
        <v>16</v>
      </c>
      <c r="B32" s="8"/>
      <c r="C32" s="8"/>
      <c r="D32" s="8"/>
      <c r="E32" s="8"/>
      <c r="F32" s="8"/>
      <c r="G32" s="8"/>
      <c r="H32" s="9" t="str">
        <f aca="false">IF(OR(F32="",G32=""),"",F32*G32)</f>
        <v/>
      </c>
      <c r="I32" s="8"/>
      <c r="J32" s="8"/>
      <c r="K32" s="8"/>
    </row>
    <row r="33" customFormat="false" ht="15" hidden="false" customHeight="true" outlineLevel="0" collapsed="false">
      <c r="A33" s="1" t="n">
        <v>17</v>
      </c>
      <c r="B33" s="8"/>
      <c r="C33" s="8"/>
      <c r="D33" s="8"/>
      <c r="E33" s="8"/>
      <c r="F33" s="8"/>
      <c r="G33" s="8"/>
      <c r="H33" s="9" t="str">
        <f aca="false">IF(OR(F33="",G33=""),"",F33*G33)</f>
        <v/>
      </c>
      <c r="I33" s="8"/>
      <c r="J33" s="8"/>
      <c r="K33" s="8"/>
    </row>
    <row r="34" customFormat="false" ht="15" hidden="false" customHeight="true" outlineLevel="0" collapsed="false">
      <c r="A34" s="1" t="n">
        <v>18</v>
      </c>
      <c r="B34" s="8"/>
      <c r="C34" s="8"/>
      <c r="D34" s="8"/>
      <c r="E34" s="8"/>
      <c r="F34" s="8"/>
      <c r="G34" s="8"/>
      <c r="H34" s="9" t="str">
        <f aca="false">IF(OR(F34="",G34=""),"",F34*G34)</f>
        <v/>
      </c>
      <c r="I34" s="8"/>
      <c r="J34" s="8"/>
      <c r="K34" s="8"/>
    </row>
    <row r="35" customFormat="false" ht="15" hidden="false" customHeight="true" outlineLevel="0" collapsed="false">
      <c r="A35" s="1" t="n">
        <v>19</v>
      </c>
      <c r="B35" s="8"/>
      <c r="C35" s="8"/>
      <c r="D35" s="8"/>
      <c r="E35" s="8"/>
      <c r="F35" s="8"/>
      <c r="G35" s="8"/>
      <c r="H35" s="9" t="str">
        <f aca="false">IF(OR(F35="",G35=""),"",F35*G35)</f>
        <v/>
      </c>
      <c r="I35" s="8"/>
      <c r="J35" s="8"/>
      <c r="K35" s="8"/>
    </row>
    <row r="36" customFormat="false" ht="15" hidden="false" customHeight="true" outlineLevel="0" collapsed="false">
      <c r="A36" s="1" t="n">
        <v>20</v>
      </c>
      <c r="B36" s="8"/>
      <c r="C36" s="8"/>
      <c r="D36" s="8"/>
      <c r="E36" s="8"/>
      <c r="F36" s="8"/>
      <c r="G36" s="8"/>
      <c r="H36" s="9" t="str">
        <f aca="false">IF(OR(F36="",G36=""),"",F36*G36)</f>
        <v/>
      </c>
      <c r="I36" s="8"/>
      <c r="J36" s="8"/>
      <c r="K36" s="8"/>
    </row>
    <row r="37" customFormat="false" ht="15" hidden="false" customHeight="true" outlineLevel="0" collapsed="false">
      <c r="E37" s="5" t="s">
        <v>34</v>
      </c>
      <c r="F37" s="5" t="n">
        <f aca="false">SUM(F17:F36)</f>
        <v>0</v>
      </c>
      <c r="H37" s="5" t="n">
        <f aca="false">SUM(H17:H36)</f>
        <v>0</v>
      </c>
      <c r="I37" s="5" t="n">
        <f aca="false">SUM(I17:I36)</f>
        <v>0</v>
      </c>
      <c r="J37" s="5" t="n">
        <f aca="false">SUM(J17:J36)</f>
        <v>0</v>
      </c>
      <c r="K37" s="5" t="n">
        <f aca="false">SUM(K17:K36)</f>
        <v>0</v>
      </c>
    </row>
    <row r="39" customFormat="false" ht="15" hidden="false" customHeight="true" outlineLevel="0" collapsed="false">
      <c r="A39" s="1" t="s">
        <v>35</v>
      </c>
    </row>
    <row r="41" customFormat="false" ht="16.5" hidden="false" customHeight="true" outlineLevel="0" collapsed="false">
      <c r="A41" s="1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6"/>
    <col collapsed="false" customWidth="true" hidden="false" outlineLevel="0" max="3" min="3" style="1" width="14"/>
    <col collapsed="false" customWidth="true" hidden="false" outlineLevel="0" max="4" min="4" style="1" width="9"/>
    <col collapsed="false" customWidth="true" hidden="false" outlineLevel="0" max="5" min="5" style="1" width="7"/>
    <col collapsed="false" customWidth="true" hidden="false" outlineLevel="0" max="6" min="6" style="1" width="30"/>
    <col collapsed="false" customWidth="true" hidden="false" outlineLevel="0" max="11" min="7" style="1" width="8"/>
    <col collapsed="false" customWidth="true" hidden="false" outlineLevel="0" max="12" min="12" style="1" width="9"/>
    <col collapsed="false" customWidth="true" hidden="false" outlineLevel="0" max="13" min="13" style="1" width="18"/>
    <col collapsed="false" customWidth="true" hidden="false" outlineLevel="0" max="14" min="14" style="1" width="10"/>
  </cols>
  <sheetData>
    <row r="1" customFormat="false" ht="21" hidden="false" customHeight="true" outlineLevel="0" collapsed="false">
      <c r="A1" s="4" t="s">
        <v>37</v>
      </c>
    </row>
    <row r="2" customFormat="false" ht="15" hidden="false" customHeight="true" outlineLevel="0" collapsed="false">
      <c r="A2" s="1" t="s">
        <v>38</v>
      </c>
      <c r="B2" s="6"/>
      <c r="D2" s="1" t="s">
        <v>39</v>
      </c>
      <c r="E2" s="6"/>
    </row>
    <row r="4" customFormat="false" ht="41.25" hidden="false" customHeight="true" outlineLevel="0" collapsed="false">
      <c r="A4" s="7" t="s">
        <v>40</v>
      </c>
      <c r="B4" s="7" t="s">
        <v>24</v>
      </c>
      <c r="C4" s="7" t="s">
        <v>41</v>
      </c>
      <c r="D4" s="7" t="s">
        <v>42</v>
      </c>
      <c r="E4" s="7" t="s">
        <v>43</v>
      </c>
      <c r="F4" s="7" t="s">
        <v>44</v>
      </c>
      <c r="G4" s="7" t="s">
        <v>45</v>
      </c>
      <c r="H4" s="7" t="s">
        <v>46</v>
      </c>
      <c r="I4" s="7" t="s">
        <v>47</v>
      </c>
      <c r="J4" s="7" t="s">
        <v>48</v>
      </c>
      <c r="K4" s="7" t="s">
        <v>49</v>
      </c>
      <c r="L4" s="7" t="s">
        <v>50</v>
      </c>
      <c r="M4" s="7" t="s">
        <v>51</v>
      </c>
      <c r="N4" s="7" t="s">
        <v>52</v>
      </c>
    </row>
    <row r="5" customFormat="false" ht="15" hidden="false" customHeight="true" outlineLevel="0" collapsed="false">
      <c r="A5" s="9" t="str">
        <f aca="false">IF(B5="","",B5&amp;"-"&amp;D5&amp;"/"&amp;E5)</f>
        <v/>
      </c>
      <c r="B5" s="8"/>
      <c r="C5" s="8"/>
      <c r="D5" s="8"/>
      <c r="E5" s="8"/>
      <c r="F5" s="8"/>
      <c r="G5" s="8"/>
      <c r="H5" s="8"/>
      <c r="I5" s="8"/>
      <c r="J5" s="9" t="str">
        <f aca="false">IF(COUNT(G5:I5)&lt;3,"",ROUND(G5*H5*I5/1000000,3))</f>
        <v/>
      </c>
      <c r="K5" s="8"/>
      <c r="L5" s="8"/>
      <c r="M5" s="8"/>
      <c r="N5" s="8"/>
    </row>
    <row r="6" customFormat="false" ht="15" hidden="false" customHeight="true" outlineLevel="0" collapsed="false">
      <c r="A6" s="9" t="str">
        <f aca="false">IF(B6="","",B6&amp;"-"&amp;D6&amp;"/"&amp;E6)</f>
        <v/>
      </c>
      <c r="B6" s="8"/>
      <c r="C6" s="8"/>
      <c r="D6" s="8"/>
      <c r="E6" s="8"/>
      <c r="F6" s="8"/>
      <c r="G6" s="8"/>
      <c r="H6" s="8"/>
      <c r="I6" s="8"/>
      <c r="J6" s="9" t="str">
        <f aca="false">IF(COUNT(G6:I6)&lt;3,"",ROUND(G6*H6*I6/1000000,3))</f>
        <v/>
      </c>
      <c r="K6" s="8"/>
      <c r="L6" s="8"/>
      <c r="M6" s="8"/>
      <c r="N6" s="8"/>
    </row>
    <row r="7" customFormat="false" ht="15" hidden="false" customHeight="true" outlineLevel="0" collapsed="false">
      <c r="A7" s="9" t="str">
        <f aca="false">IF(B7="","",B7&amp;"-"&amp;D7&amp;"/"&amp;E7)</f>
        <v/>
      </c>
      <c r="B7" s="8"/>
      <c r="C7" s="8"/>
      <c r="D7" s="8"/>
      <c r="E7" s="8"/>
      <c r="F7" s="8"/>
      <c r="G7" s="8"/>
      <c r="H7" s="8"/>
      <c r="I7" s="8"/>
      <c r="J7" s="9" t="str">
        <f aca="false">IF(COUNT(G7:I7)&lt;3,"",ROUND(G7*H7*I7/1000000,3))</f>
        <v/>
      </c>
      <c r="K7" s="8"/>
      <c r="L7" s="8"/>
      <c r="M7" s="8"/>
      <c r="N7" s="8"/>
    </row>
    <row r="8" customFormat="false" ht="15" hidden="false" customHeight="true" outlineLevel="0" collapsed="false">
      <c r="A8" s="9" t="str">
        <f aca="false">IF(B8="","",B8&amp;"-"&amp;D8&amp;"/"&amp;E8)</f>
        <v/>
      </c>
      <c r="B8" s="8"/>
      <c r="C8" s="8"/>
      <c r="D8" s="8"/>
      <c r="E8" s="8"/>
      <c r="F8" s="8"/>
      <c r="G8" s="8"/>
      <c r="H8" s="8"/>
      <c r="I8" s="8"/>
      <c r="J8" s="9" t="str">
        <f aca="false">IF(COUNT(G8:I8)&lt;3,"",ROUND(G8*H8*I8/1000000,3))</f>
        <v/>
      </c>
      <c r="K8" s="8"/>
      <c r="L8" s="8"/>
      <c r="M8" s="8"/>
      <c r="N8" s="8"/>
    </row>
    <row r="9" customFormat="false" ht="15" hidden="false" customHeight="true" outlineLevel="0" collapsed="false">
      <c r="A9" s="9" t="str">
        <f aca="false">IF(B9="","",B9&amp;"-"&amp;D9&amp;"/"&amp;E9)</f>
        <v/>
      </c>
      <c r="B9" s="8"/>
      <c r="C9" s="8"/>
      <c r="D9" s="8"/>
      <c r="E9" s="8"/>
      <c r="F9" s="8"/>
      <c r="G9" s="8"/>
      <c r="H9" s="8"/>
      <c r="I9" s="8"/>
      <c r="J9" s="9" t="str">
        <f aca="false">IF(COUNT(G9:I9)&lt;3,"",ROUND(G9*H9*I9/1000000,3))</f>
        <v/>
      </c>
      <c r="K9" s="8"/>
      <c r="L9" s="8"/>
      <c r="M9" s="8"/>
      <c r="N9" s="8"/>
    </row>
    <row r="10" customFormat="false" ht="15" hidden="false" customHeight="true" outlineLevel="0" collapsed="false">
      <c r="A10" s="9" t="str">
        <f aca="false">IF(B10="","",B10&amp;"-"&amp;D10&amp;"/"&amp;E10)</f>
        <v/>
      </c>
      <c r="B10" s="8"/>
      <c r="C10" s="8"/>
      <c r="D10" s="8"/>
      <c r="E10" s="8"/>
      <c r="F10" s="8"/>
      <c r="G10" s="8"/>
      <c r="H10" s="8"/>
      <c r="I10" s="8"/>
      <c r="J10" s="9" t="str">
        <f aca="false">IF(COUNT(G10:I10)&lt;3,"",ROUND(G10*H10*I10/1000000,3))</f>
        <v/>
      </c>
      <c r="K10" s="8"/>
      <c r="L10" s="8"/>
      <c r="M10" s="8"/>
      <c r="N10" s="8"/>
    </row>
    <row r="11" customFormat="false" ht="15" hidden="false" customHeight="true" outlineLevel="0" collapsed="false">
      <c r="A11" s="9" t="str">
        <f aca="false">IF(B11="","",B11&amp;"-"&amp;D11&amp;"/"&amp;E11)</f>
        <v/>
      </c>
      <c r="B11" s="8"/>
      <c r="C11" s="8"/>
      <c r="D11" s="8"/>
      <c r="E11" s="8"/>
      <c r="F11" s="8"/>
      <c r="G11" s="8"/>
      <c r="H11" s="8"/>
      <c r="I11" s="8"/>
      <c r="J11" s="9" t="str">
        <f aca="false">IF(COUNT(G11:I11)&lt;3,"",ROUND(G11*H11*I11/1000000,3))</f>
        <v/>
      </c>
      <c r="K11" s="8"/>
      <c r="L11" s="8"/>
      <c r="M11" s="8"/>
      <c r="N11" s="8"/>
    </row>
    <row r="12" customFormat="false" ht="15" hidden="false" customHeight="true" outlineLevel="0" collapsed="false">
      <c r="A12" s="9" t="str">
        <f aca="false">IF(B12="","",B12&amp;"-"&amp;D12&amp;"/"&amp;E12)</f>
        <v/>
      </c>
      <c r="B12" s="8"/>
      <c r="C12" s="8"/>
      <c r="D12" s="8"/>
      <c r="E12" s="8"/>
      <c r="F12" s="8"/>
      <c r="G12" s="8"/>
      <c r="H12" s="8"/>
      <c r="I12" s="8"/>
      <c r="J12" s="9" t="str">
        <f aca="false">IF(COUNT(G12:I12)&lt;3,"",ROUND(G12*H12*I12/1000000,3))</f>
        <v/>
      </c>
      <c r="K12" s="8"/>
      <c r="L12" s="8"/>
      <c r="M12" s="8"/>
      <c r="N12" s="8"/>
    </row>
    <row r="13" customFormat="false" ht="15" hidden="false" customHeight="true" outlineLevel="0" collapsed="false">
      <c r="A13" s="9" t="str">
        <f aca="false">IF(B13="","",B13&amp;"-"&amp;D13&amp;"/"&amp;E13)</f>
        <v/>
      </c>
      <c r="B13" s="8"/>
      <c r="C13" s="8"/>
      <c r="D13" s="8"/>
      <c r="E13" s="8"/>
      <c r="F13" s="8"/>
      <c r="G13" s="8"/>
      <c r="H13" s="8"/>
      <c r="I13" s="8"/>
      <c r="J13" s="9" t="str">
        <f aca="false">IF(COUNT(G13:I13)&lt;3,"",ROUND(G13*H13*I13/1000000,3))</f>
        <v/>
      </c>
      <c r="K13" s="8"/>
      <c r="L13" s="8"/>
      <c r="M13" s="8"/>
      <c r="N13" s="8"/>
    </row>
    <row r="14" customFormat="false" ht="15" hidden="false" customHeight="true" outlineLevel="0" collapsed="false">
      <c r="A14" s="9" t="str">
        <f aca="false">IF(B14="","",B14&amp;"-"&amp;D14&amp;"/"&amp;E14)</f>
        <v/>
      </c>
      <c r="B14" s="8"/>
      <c r="C14" s="8"/>
      <c r="D14" s="8"/>
      <c r="E14" s="8"/>
      <c r="F14" s="8"/>
      <c r="G14" s="8"/>
      <c r="H14" s="8"/>
      <c r="I14" s="8"/>
      <c r="J14" s="9" t="str">
        <f aca="false">IF(COUNT(G14:I14)&lt;3,"",ROUND(G14*H14*I14/1000000,3))</f>
        <v/>
      </c>
      <c r="K14" s="8"/>
      <c r="L14" s="8"/>
      <c r="M14" s="8"/>
      <c r="N14" s="8"/>
    </row>
    <row r="15" customFormat="false" ht="15" hidden="false" customHeight="true" outlineLevel="0" collapsed="false">
      <c r="A15" s="9" t="str">
        <f aca="false">IF(B15="","",B15&amp;"-"&amp;D15&amp;"/"&amp;E15)</f>
        <v/>
      </c>
      <c r="B15" s="8"/>
      <c r="C15" s="8"/>
      <c r="D15" s="8"/>
      <c r="E15" s="8"/>
      <c r="F15" s="8"/>
      <c r="G15" s="8"/>
      <c r="H15" s="8"/>
      <c r="I15" s="8"/>
      <c r="J15" s="9" t="str">
        <f aca="false">IF(COUNT(G15:I15)&lt;3,"",ROUND(G15*H15*I15/1000000,3))</f>
        <v/>
      </c>
      <c r="K15" s="8"/>
      <c r="L15" s="8"/>
      <c r="M15" s="8"/>
      <c r="N15" s="8"/>
    </row>
    <row r="16" customFormat="false" ht="15" hidden="false" customHeight="true" outlineLevel="0" collapsed="false">
      <c r="A16" s="9" t="str">
        <f aca="false">IF(B16="","",B16&amp;"-"&amp;D16&amp;"/"&amp;E16)</f>
        <v/>
      </c>
      <c r="B16" s="8"/>
      <c r="C16" s="8"/>
      <c r="D16" s="8"/>
      <c r="E16" s="8"/>
      <c r="F16" s="8"/>
      <c r="G16" s="8"/>
      <c r="H16" s="8"/>
      <c r="I16" s="8"/>
      <c r="J16" s="9" t="str">
        <f aca="false">IF(COUNT(G16:I16)&lt;3,"",ROUND(G16*H16*I16/1000000,3))</f>
        <v/>
      </c>
      <c r="K16" s="8"/>
      <c r="L16" s="8"/>
      <c r="M16" s="8"/>
      <c r="N16" s="8"/>
    </row>
    <row r="17" customFormat="false" ht="15" hidden="false" customHeight="true" outlineLevel="0" collapsed="false">
      <c r="A17" s="9" t="str">
        <f aca="false">IF(B17="","",B17&amp;"-"&amp;D17&amp;"/"&amp;E17)</f>
        <v/>
      </c>
      <c r="B17" s="8"/>
      <c r="C17" s="8"/>
      <c r="D17" s="8"/>
      <c r="E17" s="8"/>
      <c r="F17" s="8"/>
      <c r="G17" s="8"/>
      <c r="H17" s="8"/>
      <c r="I17" s="8"/>
      <c r="J17" s="9" t="str">
        <f aca="false">IF(COUNT(G17:I17)&lt;3,"",ROUND(G17*H17*I17/1000000,3))</f>
        <v/>
      </c>
      <c r="K17" s="8"/>
      <c r="L17" s="8"/>
      <c r="M17" s="8"/>
      <c r="N17" s="8"/>
    </row>
    <row r="18" customFormat="false" ht="15" hidden="false" customHeight="true" outlineLevel="0" collapsed="false">
      <c r="A18" s="9" t="str">
        <f aca="false">IF(B18="","",B18&amp;"-"&amp;D18&amp;"/"&amp;E18)</f>
        <v/>
      </c>
      <c r="B18" s="8"/>
      <c r="C18" s="8"/>
      <c r="D18" s="8"/>
      <c r="E18" s="8"/>
      <c r="F18" s="8"/>
      <c r="G18" s="8"/>
      <c r="H18" s="8"/>
      <c r="I18" s="8"/>
      <c r="J18" s="9" t="str">
        <f aca="false">IF(COUNT(G18:I18)&lt;3,"",ROUND(G18*H18*I18/1000000,3))</f>
        <v/>
      </c>
      <c r="K18" s="8"/>
      <c r="L18" s="8"/>
      <c r="M18" s="8"/>
      <c r="N18" s="8"/>
    </row>
    <row r="19" customFormat="false" ht="15" hidden="false" customHeight="true" outlineLevel="0" collapsed="false">
      <c r="A19" s="9" t="str">
        <f aca="false">IF(B19="","",B19&amp;"-"&amp;D19&amp;"/"&amp;E19)</f>
        <v/>
      </c>
      <c r="B19" s="8"/>
      <c r="C19" s="8"/>
      <c r="D19" s="8"/>
      <c r="E19" s="8"/>
      <c r="F19" s="8"/>
      <c r="G19" s="8"/>
      <c r="H19" s="8"/>
      <c r="I19" s="8"/>
      <c r="J19" s="9" t="str">
        <f aca="false">IF(COUNT(G19:I19)&lt;3,"",ROUND(G19*H19*I19/1000000,3))</f>
        <v/>
      </c>
      <c r="K19" s="8"/>
      <c r="L19" s="8"/>
      <c r="M19" s="8"/>
      <c r="N19" s="8"/>
    </row>
    <row r="20" customFormat="false" ht="15" hidden="false" customHeight="true" outlineLevel="0" collapsed="false">
      <c r="A20" s="9" t="str">
        <f aca="false">IF(B20="","",B20&amp;"-"&amp;D20&amp;"/"&amp;E20)</f>
        <v/>
      </c>
      <c r="B20" s="8"/>
      <c r="C20" s="8"/>
      <c r="D20" s="8"/>
      <c r="E20" s="8"/>
      <c r="F20" s="8"/>
      <c r="G20" s="8"/>
      <c r="H20" s="8"/>
      <c r="I20" s="8"/>
      <c r="J20" s="9" t="str">
        <f aca="false">IF(COUNT(G20:I20)&lt;3,"",ROUND(G20*H20*I20/1000000,3))</f>
        <v/>
      </c>
      <c r="K20" s="8"/>
      <c r="L20" s="8"/>
      <c r="M20" s="8"/>
      <c r="N20" s="8"/>
    </row>
    <row r="21" customFormat="false" ht="15" hidden="false" customHeight="true" outlineLevel="0" collapsed="false">
      <c r="A21" s="9" t="str">
        <f aca="false">IF(B21="","",B21&amp;"-"&amp;D21&amp;"/"&amp;E21)</f>
        <v/>
      </c>
      <c r="B21" s="8"/>
      <c r="C21" s="8"/>
      <c r="D21" s="8"/>
      <c r="E21" s="8"/>
      <c r="F21" s="8"/>
      <c r="G21" s="8"/>
      <c r="H21" s="8"/>
      <c r="I21" s="8"/>
      <c r="J21" s="9" t="str">
        <f aca="false">IF(COUNT(G21:I21)&lt;3,"",ROUND(G21*H21*I21/1000000,3))</f>
        <v/>
      </c>
      <c r="K21" s="8"/>
      <c r="L21" s="8"/>
      <c r="M21" s="8"/>
      <c r="N21" s="8"/>
    </row>
    <row r="22" customFormat="false" ht="15" hidden="false" customHeight="true" outlineLevel="0" collapsed="false">
      <c r="A22" s="9" t="str">
        <f aca="false">IF(B22="","",B22&amp;"-"&amp;D22&amp;"/"&amp;E22)</f>
        <v/>
      </c>
      <c r="B22" s="8"/>
      <c r="C22" s="8"/>
      <c r="D22" s="8"/>
      <c r="E22" s="8"/>
      <c r="F22" s="8"/>
      <c r="G22" s="8"/>
      <c r="H22" s="8"/>
      <c r="I22" s="8"/>
      <c r="J22" s="9" t="str">
        <f aca="false">IF(COUNT(G22:I22)&lt;3,"",ROUND(G22*H22*I22/1000000,3))</f>
        <v/>
      </c>
      <c r="K22" s="8"/>
      <c r="L22" s="8"/>
      <c r="M22" s="8"/>
      <c r="N22" s="8"/>
    </row>
    <row r="23" customFormat="false" ht="15" hidden="false" customHeight="true" outlineLevel="0" collapsed="false">
      <c r="A23" s="9" t="str">
        <f aca="false">IF(B23="","",B23&amp;"-"&amp;D23&amp;"/"&amp;E23)</f>
        <v/>
      </c>
      <c r="B23" s="8"/>
      <c r="C23" s="8"/>
      <c r="D23" s="8"/>
      <c r="E23" s="8"/>
      <c r="F23" s="8"/>
      <c r="G23" s="8"/>
      <c r="H23" s="8"/>
      <c r="I23" s="8"/>
      <c r="J23" s="9" t="str">
        <f aca="false">IF(COUNT(G23:I23)&lt;3,"",ROUND(G23*H23*I23/1000000,3))</f>
        <v/>
      </c>
      <c r="K23" s="8"/>
      <c r="L23" s="8"/>
      <c r="M23" s="8"/>
      <c r="N23" s="8"/>
    </row>
    <row r="24" customFormat="false" ht="15" hidden="false" customHeight="true" outlineLevel="0" collapsed="false">
      <c r="A24" s="9" t="str">
        <f aca="false">IF(B24="","",B24&amp;"-"&amp;D24&amp;"/"&amp;E24)</f>
        <v/>
      </c>
      <c r="B24" s="8"/>
      <c r="C24" s="8"/>
      <c r="D24" s="8"/>
      <c r="E24" s="8"/>
      <c r="F24" s="8"/>
      <c r="G24" s="8"/>
      <c r="H24" s="8"/>
      <c r="I24" s="8"/>
      <c r="J24" s="9" t="str">
        <f aca="false">IF(COUNT(G24:I24)&lt;3,"",ROUND(G24*H24*I24/1000000,3))</f>
        <v/>
      </c>
      <c r="K24" s="8"/>
      <c r="L24" s="8"/>
      <c r="M24" s="8"/>
      <c r="N24" s="8"/>
    </row>
    <row r="25" customFormat="false" ht="15" hidden="false" customHeight="true" outlineLevel="0" collapsed="false">
      <c r="A25" s="9" t="str">
        <f aca="false">IF(B25="","",B25&amp;"-"&amp;D25&amp;"/"&amp;E25)</f>
        <v/>
      </c>
      <c r="B25" s="8"/>
      <c r="C25" s="8"/>
      <c r="D25" s="8"/>
      <c r="E25" s="8"/>
      <c r="F25" s="8"/>
      <c r="G25" s="8"/>
      <c r="H25" s="8"/>
      <c r="I25" s="8"/>
      <c r="J25" s="9" t="str">
        <f aca="false">IF(COUNT(G25:I25)&lt;3,"",ROUND(G25*H25*I25/1000000,3))</f>
        <v/>
      </c>
      <c r="K25" s="8"/>
      <c r="L25" s="8"/>
      <c r="M25" s="8"/>
      <c r="N25" s="8"/>
    </row>
    <row r="26" customFormat="false" ht="15" hidden="false" customHeight="true" outlineLevel="0" collapsed="false">
      <c r="A26" s="9" t="str">
        <f aca="false">IF(B26="","",B26&amp;"-"&amp;D26&amp;"/"&amp;E26)</f>
        <v/>
      </c>
      <c r="B26" s="8"/>
      <c r="C26" s="8"/>
      <c r="D26" s="8"/>
      <c r="E26" s="8"/>
      <c r="F26" s="8"/>
      <c r="G26" s="8"/>
      <c r="H26" s="8"/>
      <c r="I26" s="8"/>
      <c r="J26" s="9" t="str">
        <f aca="false">IF(COUNT(G26:I26)&lt;3,"",ROUND(G26*H26*I26/1000000,3))</f>
        <v/>
      </c>
      <c r="K26" s="8"/>
      <c r="L26" s="8"/>
      <c r="M26" s="8"/>
      <c r="N26" s="8"/>
    </row>
    <row r="27" customFormat="false" ht="15" hidden="false" customHeight="true" outlineLevel="0" collapsed="false">
      <c r="A27" s="9" t="str">
        <f aca="false">IF(B27="","",B27&amp;"-"&amp;D27&amp;"/"&amp;E27)</f>
        <v/>
      </c>
      <c r="B27" s="8"/>
      <c r="C27" s="8"/>
      <c r="D27" s="8"/>
      <c r="E27" s="8"/>
      <c r="F27" s="8"/>
      <c r="G27" s="8"/>
      <c r="H27" s="8"/>
      <c r="I27" s="8"/>
      <c r="J27" s="9" t="str">
        <f aca="false">IF(COUNT(G27:I27)&lt;3,"",ROUND(G27*H27*I27/1000000,3))</f>
        <v/>
      </c>
      <c r="K27" s="8"/>
      <c r="L27" s="8"/>
      <c r="M27" s="8"/>
      <c r="N27" s="8"/>
    </row>
    <row r="28" customFormat="false" ht="15" hidden="false" customHeight="true" outlineLevel="0" collapsed="false">
      <c r="A28" s="9" t="str">
        <f aca="false">IF(B28="","",B28&amp;"-"&amp;D28&amp;"/"&amp;E28)</f>
        <v/>
      </c>
      <c r="B28" s="8"/>
      <c r="C28" s="8"/>
      <c r="D28" s="8"/>
      <c r="E28" s="8"/>
      <c r="F28" s="8"/>
      <c r="G28" s="8"/>
      <c r="H28" s="8"/>
      <c r="I28" s="8"/>
      <c r="J28" s="9" t="str">
        <f aca="false">IF(COUNT(G28:I28)&lt;3,"",ROUND(G28*H28*I28/1000000,3))</f>
        <v/>
      </c>
      <c r="K28" s="8"/>
      <c r="L28" s="8"/>
      <c r="M28" s="8"/>
      <c r="N28" s="8"/>
    </row>
    <row r="29" customFormat="false" ht="15" hidden="false" customHeight="true" outlineLevel="0" collapsed="false">
      <c r="A29" s="9" t="str">
        <f aca="false">IF(B29="","",B29&amp;"-"&amp;D29&amp;"/"&amp;E29)</f>
        <v/>
      </c>
      <c r="B29" s="8"/>
      <c r="C29" s="8"/>
      <c r="D29" s="8"/>
      <c r="E29" s="8"/>
      <c r="F29" s="8"/>
      <c r="G29" s="8"/>
      <c r="H29" s="8"/>
      <c r="I29" s="8"/>
      <c r="J29" s="9" t="str">
        <f aca="false">IF(COUNT(G29:I29)&lt;3,"",ROUND(G29*H29*I29/1000000,3))</f>
        <v/>
      </c>
      <c r="K29" s="8"/>
      <c r="L29" s="8"/>
      <c r="M29" s="8"/>
      <c r="N29" s="8"/>
    </row>
    <row r="30" customFormat="false" ht="15" hidden="false" customHeight="true" outlineLevel="0" collapsed="false">
      <c r="A30" s="9" t="str">
        <f aca="false">IF(B30="","",B30&amp;"-"&amp;D30&amp;"/"&amp;E30)</f>
        <v/>
      </c>
      <c r="B30" s="8"/>
      <c r="C30" s="8"/>
      <c r="D30" s="8"/>
      <c r="E30" s="8"/>
      <c r="F30" s="8"/>
      <c r="G30" s="8"/>
      <c r="H30" s="8"/>
      <c r="I30" s="8"/>
      <c r="J30" s="9" t="str">
        <f aca="false">IF(COUNT(G30:I30)&lt;3,"",ROUND(G30*H30*I30/1000000,3))</f>
        <v/>
      </c>
      <c r="K30" s="8"/>
      <c r="L30" s="8"/>
      <c r="M30" s="8"/>
      <c r="N30" s="8"/>
    </row>
    <row r="31" customFormat="false" ht="15" hidden="false" customHeight="true" outlineLevel="0" collapsed="false">
      <c r="A31" s="9" t="str">
        <f aca="false">IF(B31="","",B31&amp;"-"&amp;D31&amp;"/"&amp;E31)</f>
        <v/>
      </c>
      <c r="B31" s="8"/>
      <c r="C31" s="8"/>
      <c r="D31" s="8"/>
      <c r="E31" s="8"/>
      <c r="F31" s="8"/>
      <c r="G31" s="8"/>
      <c r="H31" s="8"/>
      <c r="I31" s="8"/>
      <c r="J31" s="9" t="str">
        <f aca="false">IF(COUNT(G31:I31)&lt;3,"",ROUND(G31*H31*I31/1000000,3))</f>
        <v/>
      </c>
      <c r="K31" s="8"/>
      <c r="L31" s="8"/>
      <c r="M31" s="8"/>
      <c r="N31" s="8"/>
    </row>
    <row r="32" customFormat="false" ht="15" hidden="false" customHeight="true" outlineLevel="0" collapsed="false">
      <c r="A32" s="9" t="str">
        <f aca="false">IF(B32="","",B32&amp;"-"&amp;D32&amp;"/"&amp;E32)</f>
        <v/>
      </c>
      <c r="B32" s="8"/>
      <c r="C32" s="8"/>
      <c r="D32" s="8"/>
      <c r="E32" s="8"/>
      <c r="F32" s="8"/>
      <c r="G32" s="8"/>
      <c r="H32" s="8"/>
      <c r="I32" s="8"/>
      <c r="J32" s="9" t="str">
        <f aca="false">IF(COUNT(G32:I32)&lt;3,"",ROUND(G32*H32*I32/1000000,3))</f>
        <v/>
      </c>
      <c r="K32" s="8"/>
      <c r="L32" s="8"/>
      <c r="M32" s="8"/>
      <c r="N32" s="8"/>
    </row>
    <row r="33" customFormat="false" ht="15" hidden="false" customHeight="true" outlineLevel="0" collapsed="false">
      <c r="A33" s="9" t="str">
        <f aca="false">IF(B33="","",B33&amp;"-"&amp;D33&amp;"/"&amp;E33)</f>
        <v/>
      </c>
      <c r="B33" s="8"/>
      <c r="C33" s="8"/>
      <c r="D33" s="8"/>
      <c r="E33" s="8"/>
      <c r="F33" s="8"/>
      <c r="G33" s="8"/>
      <c r="H33" s="8"/>
      <c r="I33" s="8"/>
      <c r="J33" s="9" t="str">
        <f aca="false">IF(COUNT(G33:I33)&lt;3,"",ROUND(G33*H33*I33/1000000,3))</f>
        <v/>
      </c>
      <c r="K33" s="8"/>
      <c r="L33" s="8"/>
      <c r="M33" s="8"/>
      <c r="N33" s="8"/>
    </row>
    <row r="34" customFormat="false" ht="15" hidden="false" customHeight="true" outlineLevel="0" collapsed="false">
      <c r="A34" s="9" t="str">
        <f aca="false">IF(B34="","",B34&amp;"-"&amp;D34&amp;"/"&amp;E34)</f>
        <v/>
      </c>
      <c r="B34" s="8"/>
      <c r="C34" s="8"/>
      <c r="D34" s="8"/>
      <c r="E34" s="8"/>
      <c r="F34" s="8"/>
      <c r="G34" s="8"/>
      <c r="H34" s="8"/>
      <c r="I34" s="8"/>
      <c r="J34" s="9" t="str">
        <f aca="false">IF(COUNT(G34:I34)&lt;3,"",ROUND(G34*H34*I34/1000000,3))</f>
        <v/>
      </c>
      <c r="K34" s="8"/>
      <c r="L34" s="8"/>
      <c r="M34" s="8"/>
      <c r="N34" s="8"/>
    </row>
    <row r="35" customFormat="false" ht="15" hidden="false" customHeight="true" outlineLevel="0" collapsed="false">
      <c r="A35" s="9" t="str">
        <f aca="false">IF(B35="","",B35&amp;"-"&amp;D35&amp;"/"&amp;E35)</f>
        <v/>
      </c>
      <c r="B35" s="8"/>
      <c r="C35" s="8"/>
      <c r="D35" s="8"/>
      <c r="E35" s="8"/>
      <c r="F35" s="8"/>
      <c r="G35" s="8"/>
      <c r="H35" s="8"/>
      <c r="I35" s="8"/>
      <c r="J35" s="9" t="str">
        <f aca="false">IF(COUNT(G35:I35)&lt;3,"",ROUND(G35*H35*I35/1000000,3))</f>
        <v/>
      </c>
      <c r="K35" s="8"/>
      <c r="L35" s="8"/>
      <c r="M35" s="8"/>
      <c r="N35" s="8"/>
    </row>
    <row r="36" customFormat="false" ht="15" hidden="false" customHeight="true" outlineLevel="0" collapsed="false">
      <c r="A36" s="9" t="str">
        <f aca="false">IF(B36="","",B36&amp;"-"&amp;D36&amp;"/"&amp;E36)</f>
        <v/>
      </c>
      <c r="B36" s="8"/>
      <c r="C36" s="8"/>
      <c r="D36" s="8"/>
      <c r="E36" s="8"/>
      <c r="F36" s="8"/>
      <c r="G36" s="8"/>
      <c r="H36" s="8"/>
      <c r="I36" s="8"/>
      <c r="J36" s="9" t="str">
        <f aca="false">IF(COUNT(G36:I36)&lt;3,"",ROUND(G36*H36*I36/1000000,3))</f>
        <v/>
      </c>
      <c r="K36" s="8"/>
      <c r="L36" s="8"/>
      <c r="M36" s="8"/>
      <c r="N36" s="8"/>
    </row>
    <row r="37" customFormat="false" ht="15" hidden="false" customHeight="true" outlineLevel="0" collapsed="false">
      <c r="A37" s="9" t="str">
        <f aca="false">IF(B37="","",B37&amp;"-"&amp;D37&amp;"/"&amp;E37)</f>
        <v/>
      </c>
      <c r="B37" s="8"/>
      <c r="C37" s="8"/>
      <c r="D37" s="8"/>
      <c r="E37" s="8"/>
      <c r="F37" s="8"/>
      <c r="G37" s="8"/>
      <c r="H37" s="8"/>
      <c r="I37" s="8"/>
      <c r="J37" s="9" t="str">
        <f aca="false">IF(COUNT(G37:I37)&lt;3,"",ROUND(G37*H37*I37/1000000,3))</f>
        <v/>
      </c>
      <c r="K37" s="8"/>
      <c r="L37" s="8"/>
      <c r="M37" s="8"/>
      <c r="N37" s="8"/>
    </row>
    <row r="38" customFormat="false" ht="15" hidden="false" customHeight="true" outlineLevel="0" collapsed="false">
      <c r="A38" s="9" t="str">
        <f aca="false">IF(B38="","",B38&amp;"-"&amp;D38&amp;"/"&amp;E38)</f>
        <v/>
      </c>
      <c r="B38" s="8"/>
      <c r="C38" s="8"/>
      <c r="D38" s="8"/>
      <c r="E38" s="8"/>
      <c r="F38" s="8"/>
      <c r="G38" s="8"/>
      <c r="H38" s="8"/>
      <c r="I38" s="8"/>
      <c r="J38" s="9" t="str">
        <f aca="false">IF(COUNT(G38:I38)&lt;3,"",ROUND(G38*H38*I38/1000000,3))</f>
        <v/>
      </c>
      <c r="K38" s="8"/>
      <c r="L38" s="8"/>
      <c r="M38" s="8"/>
      <c r="N38" s="8"/>
    </row>
    <row r="39" customFormat="false" ht="15" hidden="false" customHeight="true" outlineLevel="0" collapsed="false">
      <c r="A39" s="9" t="str">
        <f aca="false">IF(B39="","",B39&amp;"-"&amp;D39&amp;"/"&amp;E39)</f>
        <v/>
      </c>
      <c r="B39" s="8"/>
      <c r="C39" s="8"/>
      <c r="D39" s="8"/>
      <c r="E39" s="8"/>
      <c r="F39" s="8"/>
      <c r="G39" s="8"/>
      <c r="H39" s="8"/>
      <c r="I39" s="8"/>
      <c r="J39" s="9" t="str">
        <f aca="false">IF(COUNT(G39:I39)&lt;3,"",ROUND(G39*H39*I39/1000000,3))</f>
        <v/>
      </c>
      <c r="K39" s="8"/>
      <c r="L39" s="8"/>
      <c r="M39" s="8"/>
      <c r="N39" s="8"/>
    </row>
    <row r="40" customFormat="false" ht="15" hidden="false" customHeight="true" outlineLevel="0" collapsed="false">
      <c r="A40" s="9" t="str">
        <f aca="false">IF(B40="","",B40&amp;"-"&amp;D40&amp;"/"&amp;E40)</f>
        <v/>
      </c>
      <c r="B40" s="8"/>
      <c r="C40" s="8"/>
      <c r="D40" s="8"/>
      <c r="E40" s="8"/>
      <c r="F40" s="8"/>
      <c r="G40" s="8"/>
      <c r="H40" s="8"/>
      <c r="I40" s="8"/>
      <c r="J40" s="9" t="str">
        <f aca="false">IF(COUNT(G40:I40)&lt;3,"",ROUND(G40*H40*I40/1000000,3))</f>
        <v/>
      </c>
      <c r="K40" s="8"/>
      <c r="L40" s="8"/>
      <c r="M40" s="8"/>
      <c r="N40" s="8"/>
    </row>
    <row r="41" customFormat="false" ht="15" hidden="false" customHeight="true" outlineLevel="0" collapsed="false">
      <c r="A41" s="9" t="str">
        <f aca="false">IF(B41="","",B41&amp;"-"&amp;D41&amp;"/"&amp;E41)</f>
        <v/>
      </c>
      <c r="B41" s="8"/>
      <c r="C41" s="8"/>
      <c r="D41" s="8"/>
      <c r="E41" s="8"/>
      <c r="F41" s="8"/>
      <c r="G41" s="8"/>
      <c r="H41" s="8"/>
      <c r="I41" s="8"/>
      <c r="J41" s="9" t="str">
        <f aca="false">IF(COUNT(G41:I41)&lt;3,"",ROUND(G41*H41*I41/1000000,3))</f>
        <v/>
      </c>
      <c r="K41" s="8"/>
      <c r="L41" s="8"/>
      <c r="M41" s="8"/>
      <c r="N41" s="8"/>
    </row>
    <row r="42" customFormat="false" ht="15" hidden="false" customHeight="true" outlineLevel="0" collapsed="false">
      <c r="A42" s="9" t="str">
        <f aca="false">IF(B42="","",B42&amp;"-"&amp;D42&amp;"/"&amp;E42)</f>
        <v/>
      </c>
      <c r="B42" s="8"/>
      <c r="C42" s="8"/>
      <c r="D42" s="8"/>
      <c r="E42" s="8"/>
      <c r="F42" s="8"/>
      <c r="G42" s="8"/>
      <c r="H42" s="8"/>
      <c r="I42" s="8"/>
      <c r="J42" s="9" t="str">
        <f aca="false">IF(COUNT(G42:I42)&lt;3,"",ROUND(G42*H42*I42/1000000,3))</f>
        <v/>
      </c>
      <c r="K42" s="8"/>
      <c r="L42" s="8"/>
      <c r="M42" s="8"/>
      <c r="N42" s="8"/>
    </row>
    <row r="43" customFormat="false" ht="15" hidden="false" customHeight="true" outlineLevel="0" collapsed="false">
      <c r="A43" s="9" t="str">
        <f aca="false">IF(B43="","",B43&amp;"-"&amp;D43&amp;"/"&amp;E43)</f>
        <v/>
      </c>
      <c r="B43" s="8"/>
      <c r="C43" s="8"/>
      <c r="D43" s="8"/>
      <c r="E43" s="8"/>
      <c r="F43" s="8"/>
      <c r="G43" s="8"/>
      <c r="H43" s="8"/>
      <c r="I43" s="8"/>
      <c r="J43" s="9" t="str">
        <f aca="false">IF(COUNT(G43:I43)&lt;3,"",ROUND(G43*H43*I43/1000000,3))</f>
        <v/>
      </c>
      <c r="K43" s="8"/>
      <c r="L43" s="8"/>
      <c r="M43" s="8"/>
      <c r="N43" s="8"/>
    </row>
    <row r="44" customFormat="false" ht="15" hidden="false" customHeight="true" outlineLevel="0" collapsed="false">
      <c r="A44" s="9" t="str">
        <f aca="false">IF(B44="","",B44&amp;"-"&amp;D44&amp;"/"&amp;E44)</f>
        <v/>
      </c>
      <c r="B44" s="8"/>
      <c r="C44" s="8"/>
      <c r="D44" s="8"/>
      <c r="E44" s="8"/>
      <c r="F44" s="8"/>
      <c r="G44" s="8"/>
      <c r="H44" s="8"/>
      <c r="I44" s="8"/>
      <c r="J44" s="9" t="str">
        <f aca="false">IF(COUNT(G44:I44)&lt;3,"",ROUND(G44*H44*I44/1000000,3))</f>
        <v/>
      </c>
      <c r="K44" s="8"/>
      <c r="L44" s="8"/>
      <c r="M44" s="8"/>
      <c r="N44" s="8"/>
    </row>
    <row r="45" customFormat="false" ht="15" hidden="false" customHeight="true" outlineLevel="0" collapsed="false">
      <c r="A45" s="9" t="str">
        <f aca="false">IF(B45="","",B45&amp;"-"&amp;D45&amp;"/"&amp;E45)</f>
        <v/>
      </c>
      <c r="B45" s="8"/>
      <c r="C45" s="8"/>
      <c r="D45" s="8"/>
      <c r="E45" s="8"/>
      <c r="F45" s="8"/>
      <c r="G45" s="8"/>
      <c r="H45" s="8"/>
      <c r="I45" s="8"/>
      <c r="J45" s="9" t="str">
        <f aca="false">IF(COUNT(G45:I45)&lt;3,"",ROUND(G45*H45*I45/1000000,3))</f>
        <v/>
      </c>
      <c r="K45" s="8"/>
      <c r="L45" s="8"/>
      <c r="M45" s="8"/>
      <c r="N45" s="8"/>
    </row>
    <row r="46" customFormat="false" ht="15" hidden="false" customHeight="true" outlineLevel="0" collapsed="false">
      <c r="A46" s="9" t="str">
        <f aca="false">IF(B46="","",B46&amp;"-"&amp;D46&amp;"/"&amp;E46)</f>
        <v/>
      </c>
      <c r="B46" s="8"/>
      <c r="C46" s="8"/>
      <c r="D46" s="8"/>
      <c r="E46" s="8"/>
      <c r="F46" s="8"/>
      <c r="G46" s="8"/>
      <c r="H46" s="8"/>
      <c r="I46" s="8"/>
      <c r="J46" s="9" t="str">
        <f aca="false">IF(COUNT(G46:I46)&lt;3,"",ROUND(G46*H46*I46/1000000,3))</f>
        <v/>
      </c>
      <c r="K46" s="8"/>
      <c r="L46" s="8"/>
      <c r="M46" s="8"/>
      <c r="N46" s="8"/>
    </row>
    <row r="47" customFormat="false" ht="15" hidden="false" customHeight="true" outlineLevel="0" collapsed="false">
      <c r="A47" s="9" t="str">
        <f aca="false">IF(B47="","",B47&amp;"-"&amp;D47&amp;"/"&amp;E47)</f>
        <v/>
      </c>
      <c r="B47" s="8"/>
      <c r="C47" s="8"/>
      <c r="D47" s="8"/>
      <c r="E47" s="8"/>
      <c r="F47" s="8"/>
      <c r="G47" s="8"/>
      <c r="H47" s="8"/>
      <c r="I47" s="8"/>
      <c r="J47" s="9" t="str">
        <f aca="false">IF(COUNT(G47:I47)&lt;3,"",ROUND(G47*H47*I47/1000000,3))</f>
        <v/>
      </c>
      <c r="K47" s="8"/>
      <c r="L47" s="8"/>
      <c r="M47" s="8"/>
      <c r="N47" s="8"/>
    </row>
    <row r="48" customFormat="false" ht="15" hidden="false" customHeight="true" outlineLevel="0" collapsed="false">
      <c r="A48" s="9" t="str">
        <f aca="false">IF(B48="","",B48&amp;"-"&amp;D48&amp;"/"&amp;E48)</f>
        <v/>
      </c>
      <c r="B48" s="8"/>
      <c r="C48" s="8"/>
      <c r="D48" s="8"/>
      <c r="E48" s="8"/>
      <c r="F48" s="8"/>
      <c r="G48" s="8"/>
      <c r="H48" s="8"/>
      <c r="I48" s="8"/>
      <c r="J48" s="9" t="str">
        <f aca="false">IF(COUNT(G48:I48)&lt;3,"",ROUND(G48*H48*I48/1000000,3))</f>
        <v/>
      </c>
      <c r="K48" s="8"/>
      <c r="L48" s="8"/>
      <c r="M48" s="8"/>
      <c r="N48" s="8"/>
    </row>
    <row r="49" customFormat="false" ht="15" hidden="false" customHeight="true" outlineLevel="0" collapsed="false">
      <c r="A49" s="9" t="str">
        <f aca="false">IF(B49="","",B49&amp;"-"&amp;D49&amp;"/"&amp;E49)</f>
        <v/>
      </c>
      <c r="B49" s="8"/>
      <c r="C49" s="8"/>
      <c r="D49" s="8"/>
      <c r="E49" s="8"/>
      <c r="F49" s="8"/>
      <c r="G49" s="8"/>
      <c r="H49" s="8"/>
      <c r="I49" s="8"/>
      <c r="J49" s="9" t="str">
        <f aca="false">IF(COUNT(G49:I49)&lt;3,"",ROUND(G49*H49*I49/1000000,3))</f>
        <v/>
      </c>
      <c r="K49" s="8"/>
      <c r="L49" s="8"/>
      <c r="M49" s="8"/>
      <c r="N49" s="8"/>
    </row>
    <row r="50" customFormat="false" ht="15" hidden="false" customHeight="true" outlineLevel="0" collapsed="false">
      <c r="A50" s="9" t="str">
        <f aca="false">IF(B50="","",B50&amp;"-"&amp;D50&amp;"/"&amp;E50)</f>
        <v/>
      </c>
      <c r="B50" s="8"/>
      <c r="C50" s="8"/>
      <c r="D50" s="8"/>
      <c r="E50" s="8"/>
      <c r="F50" s="8"/>
      <c r="G50" s="8"/>
      <c r="H50" s="8"/>
      <c r="I50" s="8"/>
      <c r="J50" s="9" t="str">
        <f aca="false">IF(COUNT(G50:I50)&lt;3,"",ROUND(G50*H50*I50/1000000,3))</f>
        <v/>
      </c>
      <c r="K50" s="8"/>
      <c r="L50" s="8"/>
      <c r="M50" s="8"/>
      <c r="N50" s="8"/>
    </row>
    <row r="51" customFormat="false" ht="15" hidden="false" customHeight="true" outlineLevel="0" collapsed="false">
      <c r="A51" s="9" t="str">
        <f aca="false">IF(B51="","",B51&amp;"-"&amp;D51&amp;"/"&amp;E51)</f>
        <v/>
      </c>
      <c r="B51" s="8"/>
      <c r="C51" s="8"/>
      <c r="D51" s="8"/>
      <c r="E51" s="8"/>
      <c r="F51" s="8"/>
      <c r="G51" s="8"/>
      <c r="H51" s="8"/>
      <c r="I51" s="8"/>
      <c r="J51" s="9" t="str">
        <f aca="false">IF(COUNT(G51:I51)&lt;3,"",ROUND(G51*H51*I51/1000000,3))</f>
        <v/>
      </c>
      <c r="K51" s="8"/>
      <c r="L51" s="8"/>
      <c r="M51" s="8"/>
      <c r="N51" s="8"/>
    </row>
    <row r="52" customFormat="false" ht="15" hidden="false" customHeight="true" outlineLevel="0" collapsed="false">
      <c r="A52" s="9" t="str">
        <f aca="false">IF(B52="","",B52&amp;"-"&amp;D52&amp;"/"&amp;E52)</f>
        <v/>
      </c>
      <c r="B52" s="8"/>
      <c r="C52" s="8"/>
      <c r="D52" s="8"/>
      <c r="E52" s="8"/>
      <c r="F52" s="8"/>
      <c r="G52" s="8"/>
      <c r="H52" s="8"/>
      <c r="I52" s="8"/>
      <c r="J52" s="9" t="str">
        <f aca="false">IF(COUNT(G52:I52)&lt;3,"",ROUND(G52*H52*I52/1000000,3))</f>
        <v/>
      </c>
      <c r="K52" s="8"/>
      <c r="L52" s="8"/>
      <c r="M52" s="8"/>
      <c r="N52" s="8"/>
    </row>
    <row r="53" customFormat="false" ht="15" hidden="false" customHeight="true" outlineLevel="0" collapsed="false">
      <c r="A53" s="9" t="str">
        <f aca="false">IF(B53="","",B53&amp;"-"&amp;D53&amp;"/"&amp;E53)</f>
        <v/>
      </c>
      <c r="B53" s="8"/>
      <c r="C53" s="8"/>
      <c r="D53" s="8"/>
      <c r="E53" s="8"/>
      <c r="F53" s="8"/>
      <c r="G53" s="8"/>
      <c r="H53" s="8"/>
      <c r="I53" s="8"/>
      <c r="J53" s="9" t="str">
        <f aca="false">IF(COUNT(G53:I53)&lt;3,"",ROUND(G53*H53*I53/1000000,3))</f>
        <v/>
      </c>
      <c r="K53" s="8"/>
      <c r="L53" s="8"/>
      <c r="M53" s="8"/>
      <c r="N53" s="8"/>
    </row>
    <row r="54" customFormat="false" ht="15" hidden="false" customHeight="true" outlineLevel="0" collapsed="false">
      <c r="A54" s="9" t="str">
        <f aca="false">IF(B54="","",B54&amp;"-"&amp;D54&amp;"/"&amp;E54)</f>
        <v/>
      </c>
      <c r="B54" s="8"/>
      <c r="C54" s="8"/>
      <c r="D54" s="8"/>
      <c r="E54" s="8"/>
      <c r="F54" s="8"/>
      <c r="G54" s="8"/>
      <c r="H54" s="8"/>
      <c r="I54" s="8"/>
      <c r="J54" s="9" t="str">
        <f aca="false">IF(COUNT(G54:I54)&lt;3,"",ROUND(G54*H54*I54/1000000,3))</f>
        <v/>
      </c>
      <c r="K54" s="8"/>
      <c r="L54" s="8"/>
      <c r="M54" s="8"/>
      <c r="N54" s="8"/>
    </row>
    <row r="55" customFormat="false" ht="15" hidden="false" customHeight="true" outlineLevel="0" collapsed="false">
      <c r="A55" s="9" t="str">
        <f aca="false">IF(B55="","",B55&amp;"-"&amp;D55&amp;"/"&amp;E55)</f>
        <v/>
      </c>
      <c r="B55" s="8"/>
      <c r="C55" s="8"/>
      <c r="D55" s="8"/>
      <c r="E55" s="8"/>
      <c r="F55" s="8"/>
      <c r="G55" s="8"/>
      <c r="H55" s="8"/>
      <c r="I55" s="8"/>
      <c r="J55" s="9" t="str">
        <f aca="false">IF(COUNT(G55:I55)&lt;3,"",ROUND(G55*H55*I55/1000000,3))</f>
        <v/>
      </c>
      <c r="K55" s="8"/>
      <c r="L55" s="8"/>
      <c r="M55" s="8"/>
      <c r="N55" s="8"/>
    </row>
    <row r="56" customFormat="false" ht="15" hidden="false" customHeight="true" outlineLevel="0" collapsed="false">
      <c r="A56" s="9" t="str">
        <f aca="false">IF(B56="","",B56&amp;"-"&amp;D56&amp;"/"&amp;E56)</f>
        <v/>
      </c>
      <c r="B56" s="8"/>
      <c r="C56" s="8"/>
      <c r="D56" s="8"/>
      <c r="E56" s="8"/>
      <c r="F56" s="8"/>
      <c r="G56" s="8"/>
      <c r="H56" s="8"/>
      <c r="I56" s="8"/>
      <c r="J56" s="9" t="str">
        <f aca="false">IF(COUNT(G56:I56)&lt;3,"",ROUND(G56*H56*I56/1000000,3))</f>
        <v/>
      </c>
      <c r="K56" s="8"/>
      <c r="L56" s="8"/>
      <c r="M56" s="8"/>
      <c r="N56" s="8"/>
    </row>
    <row r="57" customFormat="false" ht="15" hidden="false" customHeight="true" outlineLevel="0" collapsed="false">
      <c r="A57" s="9" t="str">
        <f aca="false">IF(B57="","",B57&amp;"-"&amp;D57&amp;"/"&amp;E57)</f>
        <v/>
      </c>
      <c r="B57" s="8"/>
      <c r="C57" s="8"/>
      <c r="D57" s="8"/>
      <c r="E57" s="8"/>
      <c r="F57" s="8"/>
      <c r="G57" s="8"/>
      <c r="H57" s="8"/>
      <c r="I57" s="8"/>
      <c r="J57" s="9" t="str">
        <f aca="false">IF(COUNT(G57:I57)&lt;3,"",ROUND(G57*H57*I57/1000000,3))</f>
        <v/>
      </c>
      <c r="K57" s="8"/>
      <c r="L57" s="8"/>
      <c r="M57" s="8"/>
      <c r="N57" s="8"/>
    </row>
    <row r="58" customFormat="false" ht="15" hidden="false" customHeight="true" outlineLevel="0" collapsed="false">
      <c r="A58" s="9" t="str">
        <f aca="false">IF(B58="","",B58&amp;"-"&amp;D58&amp;"/"&amp;E58)</f>
        <v/>
      </c>
      <c r="B58" s="8"/>
      <c r="C58" s="8"/>
      <c r="D58" s="8"/>
      <c r="E58" s="8"/>
      <c r="F58" s="8"/>
      <c r="G58" s="8"/>
      <c r="H58" s="8"/>
      <c r="I58" s="8"/>
      <c r="J58" s="9" t="str">
        <f aca="false">IF(COUNT(G58:I58)&lt;3,"",ROUND(G58*H58*I58/1000000,3))</f>
        <v/>
      </c>
      <c r="K58" s="8"/>
      <c r="L58" s="8"/>
      <c r="M58" s="8"/>
      <c r="N58" s="8"/>
    </row>
    <row r="59" customFormat="false" ht="15" hidden="false" customHeight="true" outlineLevel="0" collapsed="false">
      <c r="A59" s="9" t="str">
        <f aca="false">IF(B59="","",B59&amp;"-"&amp;D59&amp;"/"&amp;E59)</f>
        <v/>
      </c>
      <c r="B59" s="8"/>
      <c r="C59" s="8"/>
      <c r="D59" s="8"/>
      <c r="E59" s="8"/>
      <c r="F59" s="8"/>
      <c r="G59" s="8"/>
      <c r="H59" s="8"/>
      <c r="I59" s="8"/>
      <c r="J59" s="9" t="str">
        <f aca="false">IF(COUNT(G59:I59)&lt;3,"",ROUND(G59*H59*I59/1000000,3))</f>
        <v/>
      </c>
      <c r="K59" s="8"/>
      <c r="L59" s="8"/>
      <c r="M59" s="8"/>
      <c r="N59" s="8"/>
    </row>
    <row r="60" customFormat="false" ht="15" hidden="false" customHeight="true" outlineLevel="0" collapsed="false">
      <c r="A60" s="9" t="str">
        <f aca="false">IF(B60="","",B60&amp;"-"&amp;D60&amp;"/"&amp;E60)</f>
        <v/>
      </c>
      <c r="B60" s="8"/>
      <c r="C60" s="8"/>
      <c r="D60" s="8"/>
      <c r="E60" s="8"/>
      <c r="F60" s="8"/>
      <c r="G60" s="8"/>
      <c r="H60" s="8"/>
      <c r="I60" s="8"/>
      <c r="J60" s="9" t="str">
        <f aca="false">IF(COUNT(G60:I60)&lt;3,"",ROUND(G60*H60*I60/1000000,3))</f>
        <v/>
      </c>
      <c r="K60" s="8"/>
      <c r="L60" s="8"/>
      <c r="M60" s="8"/>
      <c r="N60" s="8"/>
    </row>
    <row r="61" customFormat="false" ht="15" hidden="false" customHeight="true" outlineLevel="0" collapsed="false">
      <c r="A61" s="9" t="str">
        <f aca="false">IF(B61="","",B61&amp;"-"&amp;D61&amp;"/"&amp;E61)</f>
        <v/>
      </c>
      <c r="B61" s="8"/>
      <c r="C61" s="8"/>
      <c r="D61" s="8"/>
      <c r="E61" s="8"/>
      <c r="F61" s="8"/>
      <c r="G61" s="8"/>
      <c r="H61" s="8"/>
      <c r="I61" s="8"/>
      <c r="J61" s="9" t="str">
        <f aca="false">IF(COUNT(G61:I61)&lt;3,"",ROUND(G61*H61*I61/1000000,3))</f>
        <v/>
      </c>
      <c r="K61" s="8"/>
      <c r="L61" s="8"/>
      <c r="M61" s="8"/>
      <c r="N61" s="8"/>
    </row>
    <row r="62" customFormat="false" ht="15" hidden="false" customHeight="true" outlineLevel="0" collapsed="false">
      <c r="A62" s="9" t="str">
        <f aca="false">IF(B62="","",B62&amp;"-"&amp;D62&amp;"/"&amp;E62)</f>
        <v/>
      </c>
      <c r="B62" s="8"/>
      <c r="C62" s="8"/>
      <c r="D62" s="8"/>
      <c r="E62" s="8"/>
      <c r="F62" s="8"/>
      <c r="G62" s="8"/>
      <c r="H62" s="8"/>
      <c r="I62" s="8"/>
      <c r="J62" s="9" t="str">
        <f aca="false">IF(COUNT(G62:I62)&lt;3,"",ROUND(G62*H62*I62/1000000,3))</f>
        <v/>
      </c>
      <c r="K62" s="8"/>
      <c r="L62" s="8"/>
      <c r="M62" s="8"/>
      <c r="N62" s="8"/>
    </row>
    <row r="63" customFormat="false" ht="15" hidden="false" customHeight="true" outlineLevel="0" collapsed="false">
      <c r="A63" s="9" t="str">
        <f aca="false">IF(B63="","",B63&amp;"-"&amp;D63&amp;"/"&amp;E63)</f>
        <v/>
      </c>
      <c r="B63" s="8"/>
      <c r="C63" s="8"/>
      <c r="D63" s="8"/>
      <c r="E63" s="8"/>
      <c r="F63" s="8"/>
      <c r="G63" s="8"/>
      <c r="H63" s="8"/>
      <c r="I63" s="8"/>
      <c r="J63" s="9" t="str">
        <f aca="false">IF(COUNT(G63:I63)&lt;3,"",ROUND(G63*H63*I63/1000000,3))</f>
        <v/>
      </c>
      <c r="K63" s="8"/>
      <c r="L63" s="8"/>
      <c r="M63" s="8"/>
      <c r="N63" s="8"/>
    </row>
    <row r="64" customFormat="false" ht="15" hidden="false" customHeight="true" outlineLevel="0" collapsed="false">
      <c r="A64" s="9" t="str">
        <f aca="false">IF(B64="","",B64&amp;"-"&amp;D64&amp;"/"&amp;E64)</f>
        <v/>
      </c>
      <c r="B64" s="8"/>
      <c r="C64" s="8"/>
      <c r="D64" s="8"/>
      <c r="E64" s="8"/>
      <c r="F64" s="8"/>
      <c r="G64" s="8"/>
      <c r="H64" s="8"/>
      <c r="I64" s="8"/>
      <c r="J64" s="9" t="str">
        <f aca="false">IF(COUNT(G64:I64)&lt;3,"",ROUND(G64*H64*I64/1000000,3))</f>
        <v/>
      </c>
      <c r="K64" s="8"/>
      <c r="L64" s="8"/>
      <c r="M64" s="8"/>
      <c r="N64" s="8"/>
    </row>
    <row r="65" customFormat="false" ht="15" hidden="false" customHeight="true" outlineLevel="0" collapsed="false">
      <c r="A65" s="1" t="str">
        <f aca="false">COUNTA(B5:B64)&amp;" cartons"</f>
        <v>0 cartons</v>
      </c>
      <c r="I65" s="5" t="s">
        <v>34</v>
      </c>
      <c r="J65" s="5" t="n">
        <f aca="false">SUM(J5:J64)</f>
        <v>0</v>
      </c>
      <c r="K65" s="5" t="n">
        <f aca="false">SUM(K5:K64)</f>
        <v>0</v>
      </c>
      <c r="L65" s="5" t="n">
        <f aca="false">SUM(L5:L64)</f>
        <v>0</v>
      </c>
    </row>
    <row r="66" customFormat="false" ht="16.5" hidden="false" customHeight="true" outlineLevel="0" collapsed="false">
      <c r="A66" s="1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70"/>
  </cols>
  <sheetData>
    <row r="1" customFormat="false" ht="19.5" hidden="false" customHeight="true" outlineLevel="0" collapsed="false">
      <c r="A1" s="2" t="s">
        <v>54</v>
      </c>
    </row>
    <row r="3" customFormat="false" ht="17.25" hidden="false" customHeight="true" outlineLevel="0" collapsed="false">
      <c r="A3" s="10" t="s">
        <v>55</v>
      </c>
      <c r="B3" s="11" t="s">
        <v>56</v>
      </c>
    </row>
    <row r="4" customFormat="false" ht="17.25" hidden="false" customHeight="true" outlineLevel="0" collapsed="false">
      <c r="A4" s="10" t="s">
        <v>57</v>
      </c>
      <c r="B4" s="11"/>
    </row>
    <row r="5" customFormat="false" ht="17.25" hidden="false" customHeight="true" outlineLevel="0" collapsed="false">
      <c r="A5" s="10" t="s">
        <v>58</v>
      </c>
      <c r="B5" s="11"/>
    </row>
    <row r="6" customFormat="false" ht="17.25" hidden="false" customHeight="true" outlineLevel="0" collapsed="false">
      <c r="A6" s="10" t="s">
        <v>59</v>
      </c>
      <c r="B6" s="11"/>
    </row>
    <row r="7" customFormat="false" ht="17.25" hidden="false" customHeight="true" outlineLevel="0" collapsed="false">
      <c r="A7" s="10" t="s">
        <v>60</v>
      </c>
      <c r="B7" s="11"/>
    </row>
    <row r="8" customFormat="false" ht="17.25" hidden="false" customHeight="true" outlineLevel="0" collapsed="false">
      <c r="A8" s="10" t="s">
        <v>61</v>
      </c>
      <c r="B8" s="11" t="s">
        <v>62</v>
      </c>
    </row>
    <row r="9" customFormat="false" ht="17.25" hidden="false" customHeight="true" outlineLevel="0" collapsed="false">
      <c r="A9" s="10" t="s">
        <v>63</v>
      </c>
      <c r="B9" s="11" t="s">
        <v>64</v>
      </c>
    </row>
    <row r="10" customFormat="false" ht="17.25" hidden="false" customHeight="true" outlineLevel="0" collapsed="false">
      <c r="A10" s="10" t="s">
        <v>65</v>
      </c>
      <c r="B10" s="11" t="s">
        <v>66</v>
      </c>
    </row>
    <row r="11" customFormat="false" ht="17.25" hidden="false" customHeight="true" outlineLevel="0" collapsed="false">
      <c r="A11" s="10" t="s">
        <v>67</v>
      </c>
      <c r="B11" s="11"/>
    </row>
    <row r="12" customFormat="false" ht="17.25" hidden="false" customHeight="true" outlineLevel="0" collapsed="false">
      <c r="A12" s="10" t="s">
        <v>68</v>
      </c>
      <c r="B12" s="11" t="s">
        <v>69</v>
      </c>
    </row>
    <row r="13" customFormat="false" ht="17.25" hidden="false" customHeight="true" outlineLevel="0" collapsed="false">
      <c r="A13" s="10" t="s">
        <v>70</v>
      </c>
      <c r="B13" s="11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70"/>
  </cols>
  <sheetData>
    <row r="1" customFormat="false" ht="19.5" hidden="false" customHeight="true" outlineLevel="0" collapsed="false">
      <c r="A1" s="2" t="s">
        <v>72</v>
      </c>
    </row>
    <row r="3" customFormat="false" ht="15" hidden="false" customHeight="true" outlineLevel="0" collapsed="false">
      <c r="A3" s="5" t="s">
        <v>73</v>
      </c>
      <c r="B3" s="6" t="s">
        <v>56</v>
      </c>
    </row>
    <row r="4" customFormat="false" ht="15" hidden="false" customHeight="true" outlineLevel="0" collapsed="false">
      <c r="A4" s="5" t="s">
        <v>74</v>
      </c>
      <c r="B4" s="6"/>
    </row>
    <row r="5" customFormat="false" ht="15" hidden="false" customHeight="true" outlineLevel="0" collapsed="false">
      <c r="A5" s="5" t="s">
        <v>75</v>
      </c>
      <c r="B5" s="6"/>
    </row>
    <row r="6" customFormat="false" ht="15" hidden="false" customHeight="true" outlineLevel="0" collapsed="false">
      <c r="A6" s="5" t="s">
        <v>76</v>
      </c>
      <c r="B6" s="6"/>
    </row>
    <row r="7" customFormat="false" ht="15" hidden="false" customHeight="true" outlineLevel="0" collapsed="false">
      <c r="A7" s="5" t="s">
        <v>77</v>
      </c>
      <c r="B7" s="6" t="s">
        <v>78</v>
      </c>
    </row>
    <row r="8" customFormat="false" ht="15" hidden="false" customHeight="true" outlineLevel="0" collapsed="false">
      <c r="A8" s="5" t="s">
        <v>79</v>
      </c>
      <c r="B8" s="6" t="s">
        <v>80</v>
      </c>
    </row>
    <row r="9" customFormat="false" ht="15" hidden="false" customHeight="true" outlineLevel="0" collapsed="false">
      <c r="A9" s="5" t="s">
        <v>81</v>
      </c>
      <c r="B9" s="6"/>
    </row>
    <row r="10" customFormat="false" ht="15" hidden="false" customHeight="true" outlineLevel="0" collapsed="false">
      <c r="A10" s="5" t="s">
        <v>82</v>
      </c>
      <c r="B10" s="6" t="s">
        <v>83</v>
      </c>
    </row>
    <row r="11" customFormat="false" ht="15" hidden="false" customHeight="true" outlineLevel="0" collapsed="false">
      <c r="A11" s="5" t="s">
        <v>84</v>
      </c>
      <c r="B11" s="6" t="s">
        <v>85</v>
      </c>
    </row>
    <row r="14" customFormat="false" ht="15" hidden="false" customHeight="true" outlineLevel="0" collapsed="false">
      <c r="A14" s="12" t="s">
        <v>86</v>
      </c>
    </row>
    <row r="15" customFormat="false" ht="15" hidden="false" customHeight="true" outlineLevel="0" collapsed="false">
      <c r="A15" s="1" t="s">
        <v>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8"/>
    <col collapsed="false" customWidth="true" hidden="false" outlineLevel="0" max="3" min="3" style="1" width="18"/>
    <col collapsed="false" customWidth="true" hidden="false" outlineLevel="0" max="4" min="4" style="1" width="14"/>
    <col collapsed="false" customWidth="true" hidden="false" outlineLevel="0" max="5" min="5" style="1" width="20"/>
    <col collapsed="false" customWidth="true" hidden="false" outlineLevel="0" max="6" min="6" style="1" width="30"/>
  </cols>
  <sheetData>
    <row r="1" customFormat="false" ht="15.75" hidden="false" customHeight="true" outlineLevel="0" collapsed="false">
      <c r="A1" s="2" t="s">
        <v>88</v>
      </c>
    </row>
    <row r="3" customFormat="false" ht="16.5" hidden="false" customHeight="true" outlineLevel="0" collapsed="false">
      <c r="A3" s="7" t="s">
        <v>89</v>
      </c>
      <c r="B3" s="7" t="s">
        <v>90</v>
      </c>
      <c r="C3" s="13" t="s">
        <v>91</v>
      </c>
      <c r="D3" s="7" t="s">
        <v>92</v>
      </c>
      <c r="E3" s="7" t="s">
        <v>93</v>
      </c>
      <c r="F3" s="7" t="s">
        <v>94</v>
      </c>
    </row>
    <row r="4" customFormat="false" ht="15" hidden="false" customHeight="true" outlineLevel="0" collapsed="false">
      <c r="A4" s="8"/>
      <c r="B4" s="8"/>
      <c r="C4" s="8"/>
      <c r="D4" s="8"/>
      <c r="E4" s="8"/>
      <c r="F4" s="8"/>
    </row>
    <row r="5" customFormat="false" ht="15" hidden="false" customHeight="true" outlineLevel="0" collapsed="false">
      <c r="A5" s="8"/>
      <c r="B5" s="8"/>
      <c r="C5" s="8"/>
      <c r="D5" s="8"/>
      <c r="E5" s="8"/>
      <c r="F5" s="8"/>
    </row>
    <row r="6" customFormat="false" ht="15" hidden="false" customHeight="true" outlineLevel="0" collapsed="false">
      <c r="A6" s="8"/>
      <c r="B6" s="8"/>
      <c r="C6" s="8"/>
      <c r="D6" s="8"/>
      <c r="E6" s="8"/>
      <c r="F6" s="8"/>
    </row>
    <row r="7" customFormat="false" ht="15" hidden="false" customHeight="true" outlineLevel="0" collapsed="false">
      <c r="A7" s="8"/>
      <c r="B7" s="8"/>
      <c r="C7" s="8"/>
      <c r="D7" s="8"/>
      <c r="E7" s="8"/>
      <c r="F7" s="8"/>
    </row>
    <row r="8" customFormat="false" ht="15" hidden="false" customHeight="true" outlineLevel="0" collapsed="false">
      <c r="A8" s="8"/>
      <c r="B8" s="8"/>
      <c r="C8" s="8"/>
      <c r="D8" s="8"/>
      <c r="E8" s="8"/>
      <c r="F8" s="8"/>
    </row>
    <row r="9" customFormat="false" ht="15" hidden="false" customHeight="true" outlineLevel="0" collapsed="false">
      <c r="A9" s="8"/>
      <c r="B9" s="8"/>
      <c r="C9" s="8"/>
      <c r="D9" s="8"/>
      <c r="E9" s="8"/>
      <c r="F9" s="8"/>
    </row>
    <row r="10" customFormat="false" ht="15" hidden="false" customHeight="true" outlineLevel="0" collapsed="false">
      <c r="A10" s="8"/>
      <c r="B10" s="8"/>
      <c r="C10" s="8"/>
      <c r="D10" s="8"/>
      <c r="E10" s="8"/>
      <c r="F10" s="8"/>
    </row>
    <row r="11" customFormat="false" ht="15" hidden="false" customHeight="true" outlineLevel="0" collapsed="false">
      <c r="A11" s="8"/>
      <c r="B11" s="8"/>
      <c r="C11" s="8"/>
      <c r="D11" s="8"/>
      <c r="E11" s="8"/>
      <c r="F11" s="8"/>
    </row>
    <row r="12" customFormat="false" ht="15" hidden="false" customHeight="true" outlineLevel="0" collapsed="false">
      <c r="A12" s="8"/>
      <c r="B12" s="8"/>
      <c r="C12" s="8"/>
      <c r="D12" s="8"/>
      <c r="E12" s="8"/>
      <c r="F12" s="8"/>
    </row>
    <row r="13" customFormat="false" ht="15" hidden="false" customHeight="true" outlineLevel="0" collapsed="false">
      <c r="A13" s="8"/>
      <c r="B13" s="8"/>
      <c r="C13" s="8"/>
      <c r="D13" s="8"/>
      <c r="E13" s="8"/>
      <c r="F13" s="8"/>
    </row>
    <row r="14" customFormat="false" ht="15" hidden="false" customHeight="true" outlineLevel="0" collapsed="false">
      <c r="A14" s="8"/>
      <c r="B14" s="8"/>
      <c r="C14" s="8"/>
      <c r="D14" s="8"/>
      <c r="E14" s="8"/>
      <c r="F14" s="8"/>
    </row>
    <row r="15" customFormat="false" ht="15" hidden="false" customHeight="true" outlineLevel="0" collapsed="false">
      <c r="A15" s="8"/>
      <c r="B15" s="8"/>
      <c r="C15" s="8"/>
      <c r="D15" s="8"/>
      <c r="E15" s="8"/>
      <c r="F15" s="8"/>
    </row>
    <row r="16" customFormat="false" ht="15" hidden="false" customHeight="true" outlineLevel="0" collapsed="false">
      <c r="A16" s="8"/>
      <c r="B16" s="8"/>
      <c r="C16" s="8"/>
      <c r="D16" s="8"/>
      <c r="E16" s="8"/>
      <c r="F16" s="8"/>
    </row>
    <row r="17" customFormat="false" ht="15" hidden="false" customHeight="true" outlineLevel="0" collapsed="false">
      <c r="A17" s="8"/>
      <c r="B17" s="8"/>
      <c r="C17" s="8"/>
      <c r="D17" s="8"/>
      <c r="E17" s="8"/>
      <c r="F17" s="8"/>
    </row>
    <row r="18" customFormat="false" ht="15" hidden="false" customHeight="true" outlineLevel="0" collapsed="false">
      <c r="A18" s="8"/>
      <c r="B18" s="8"/>
      <c r="C18" s="8"/>
      <c r="D18" s="8"/>
      <c r="E18" s="8"/>
      <c r="F18" s="8"/>
    </row>
    <row r="19" customFormat="false" ht="15" hidden="false" customHeight="true" outlineLevel="0" collapsed="false">
      <c r="A19" s="8"/>
      <c r="B19" s="8"/>
      <c r="C19" s="8"/>
      <c r="D19" s="8"/>
      <c r="E19" s="8"/>
      <c r="F19" s="8"/>
    </row>
    <row r="20" customFormat="false" ht="15" hidden="false" customHeight="true" outlineLevel="0" collapsed="false">
      <c r="A20" s="8"/>
      <c r="B20" s="8"/>
      <c r="C20" s="8"/>
      <c r="D20" s="8"/>
      <c r="E20" s="8"/>
      <c r="F20" s="8"/>
    </row>
    <row r="21" customFormat="false" ht="15" hidden="false" customHeight="true" outlineLevel="0" collapsed="false">
      <c r="A21" s="8"/>
      <c r="B21" s="8"/>
      <c r="C21" s="8"/>
      <c r="D21" s="8"/>
      <c r="E21" s="8"/>
      <c r="F21" s="8"/>
    </row>
    <row r="22" customFormat="false" ht="15" hidden="false" customHeight="true" outlineLevel="0" collapsed="false">
      <c r="A22" s="8"/>
      <c r="B22" s="8"/>
      <c r="C22" s="8"/>
      <c r="D22" s="8"/>
      <c r="E22" s="8"/>
      <c r="F22" s="8"/>
    </row>
    <row r="23" customFormat="false" ht="15" hidden="false" customHeight="true" outlineLevel="0" collapsed="false">
      <c r="A23" s="8"/>
      <c r="B23" s="8"/>
      <c r="C23" s="8"/>
      <c r="D23" s="8"/>
      <c r="E23" s="8"/>
      <c r="F23" s="8"/>
    </row>
    <row r="26" customFormat="false" ht="15" hidden="false" customHeight="true" outlineLevel="0" collapsed="false">
      <c r="A26" s="7" t="s">
        <v>95</v>
      </c>
      <c r="B26" s="7" t="s">
        <v>96</v>
      </c>
      <c r="C26" s="7" t="s">
        <v>97</v>
      </c>
      <c r="D26" s="7" t="s">
        <v>98</v>
      </c>
      <c r="E26" s="7" t="s">
        <v>99</v>
      </c>
      <c r="F26" s="7" t="s">
        <v>100</v>
      </c>
    </row>
    <row r="27" customFormat="false" ht="15" hidden="false" customHeight="true" outlineLevel="0" collapsed="false">
      <c r="A27" s="9" t="n">
        <v>1</v>
      </c>
      <c r="B27" s="8"/>
      <c r="C27" s="8"/>
      <c r="D27" s="8"/>
      <c r="E27" s="8"/>
      <c r="F27" s="8"/>
    </row>
    <row r="28" customFormat="false" ht="15" hidden="false" customHeight="true" outlineLevel="0" collapsed="false">
      <c r="A28" s="9" t="n">
        <v>2</v>
      </c>
      <c r="B28" s="8"/>
      <c r="C28" s="8"/>
      <c r="D28" s="8"/>
      <c r="E28" s="8"/>
      <c r="F28" s="8"/>
    </row>
    <row r="29" customFormat="false" ht="15" hidden="false" customHeight="true" outlineLevel="0" collapsed="false">
      <c r="A29" s="9" t="n">
        <v>3</v>
      </c>
      <c r="B29" s="8"/>
      <c r="C29" s="8"/>
      <c r="D29" s="8"/>
      <c r="E29" s="8"/>
      <c r="F29" s="8"/>
    </row>
    <row r="30" customFormat="false" ht="15" hidden="false" customHeight="true" outlineLevel="0" collapsed="false">
      <c r="A30" s="9" t="n">
        <v>4</v>
      </c>
      <c r="B30" s="8"/>
      <c r="C30" s="8"/>
      <c r="D30" s="8"/>
      <c r="E30" s="8"/>
      <c r="F30" s="8"/>
    </row>
    <row r="31" customFormat="false" ht="15" hidden="false" customHeight="true" outlineLevel="0" collapsed="false">
      <c r="A31" s="9" t="n">
        <v>5</v>
      </c>
      <c r="B31" s="8"/>
      <c r="C31" s="8"/>
      <c r="D31" s="8"/>
      <c r="E31" s="8"/>
      <c r="F31" s="8"/>
    </row>
    <row r="32" customFormat="false" ht="15" hidden="false" customHeight="true" outlineLevel="0" collapsed="false">
      <c r="A32" s="9" t="n">
        <v>6</v>
      </c>
      <c r="B32" s="8"/>
      <c r="C32" s="8"/>
      <c r="D32" s="8"/>
      <c r="E32" s="8"/>
      <c r="F32" s="8"/>
    </row>
    <row r="33" customFormat="false" ht="15" hidden="false" customHeight="true" outlineLevel="0" collapsed="false">
      <c r="A33" s="9" t="n">
        <v>7</v>
      </c>
      <c r="B33" s="8"/>
      <c r="C33" s="8"/>
      <c r="D33" s="8"/>
      <c r="E33" s="8"/>
      <c r="F33" s="8"/>
    </row>
    <row r="34" customFormat="false" ht="15" hidden="false" customHeight="true" outlineLevel="0" collapsed="false">
      <c r="A34" s="9" t="n">
        <v>8</v>
      </c>
      <c r="B34" s="8"/>
      <c r="C34" s="8"/>
      <c r="D34" s="8"/>
      <c r="E34" s="8"/>
      <c r="F34" s="8"/>
    </row>
    <row r="35" customFormat="false" ht="15" hidden="false" customHeight="true" outlineLevel="0" collapsed="false">
      <c r="A35" s="9" t="n">
        <v>9</v>
      </c>
      <c r="B35" s="8"/>
      <c r="C35" s="8"/>
      <c r="D35" s="8"/>
      <c r="E35" s="8"/>
      <c r="F35" s="8"/>
    </row>
    <row r="36" customFormat="false" ht="15" hidden="false" customHeight="true" outlineLevel="0" collapsed="false">
      <c r="A36" s="9" t="n">
        <v>10</v>
      </c>
      <c r="B36" s="8"/>
      <c r="C36" s="8"/>
      <c r="D36" s="8"/>
      <c r="E36" s="8"/>
      <c r="F36" s="8"/>
    </row>
    <row r="37" customFormat="false" ht="15" hidden="false" customHeight="true" outlineLevel="0" collapsed="false">
      <c r="A37" s="9" t="n">
        <v>11</v>
      </c>
      <c r="B37" s="8"/>
      <c r="C37" s="8"/>
      <c r="D37" s="8"/>
      <c r="E37" s="8"/>
      <c r="F37" s="8"/>
    </row>
    <row r="38" customFormat="false" ht="15" hidden="false" customHeight="true" outlineLevel="0" collapsed="false">
      <c r="A38" s="9" t="n">
        <v>12</v>
      </c>
      <c r="B38" s="8"/>
      <c r="C38" s="8"/>
      <c r="D38" s="8"/>
      <c r="E38" s="8"/>
      <c r="F38" s="8"/>
    </row>
    <row r="39" customFormat="false" ht="15" hidden="false" customHeight="true" outlineLevel="0" collapsed="false">
      <c r="A39" s="9" t="n">
        <v>13</v>
      </c>
      <c r="B39" s="8"/>
      <c r="C39" s="8"/>
      <c r="D39" s="8"/>
      <c r="E39" s="8"/>
      <c r="F39" s="8"/>
    </row>
    <row r="40" customFormat="false" ht="15" hidden="false" customHeight="true" outlineLevel="0" collapsed="false">
      <c r="A40" s="9" t="n">
        <v>14</v>
      </c>
      <c r="B40" s="8"/>
      <c r="C40" s="8"/>
      <c r="D40" s="8"/>
      <c r="E40" s="8"/>
      <c r="F40" s="8"/>
    </row>
    <row r="41" customFormat="false" ht="15" hidden="false" customHeight="true" outlineLevel="0" collapsed="false">
      <c r="A41" s="9" t="n">
        <v>15</v>
      </c>
      <c r="B41" s="8"/>
      <c r="C41" s="8"/>
      <c r="D41" s="8"/>
      <c r="E41" s="8"/>
      <c r="F41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40"/>
    <col collapsed="false" customWidth="true" hidden="false" outlineLevel="0" max="4" min="4" style="1" width="18"/>
    <col collapsed="false" customWidth="true" hidden="false" outlineLevel="0" max="5" min="5" style="1" width="20"/>
  </cols>
  <sheetData>
    <row r="1" customFormat="false" ht="19.5" hidden="false" customHeight="true" outlineLevel="0" collapsed="false">
      <c r="A1" s="2" t="s">
        <v>101</v>
      </c>
    </row>
    <row r="3" customFormat="false" ht="27.75" hidden="false" customHeight="true" outlineLevel="0" collapsed="false">
      <c r="A3" s="7" t="s">
        <v>102</v>
      </c>
      <c r="B3" s="7" t="s">
        <v>103</v>
      </c>
      <c r="C3" s="7" t="s">
        <v>104</v>
      </c>
      <c r="D3" s="7" t="s">
        <v>105</v>
      </c>
      <c r="E3" s="7" t="s">
        <v>106</v>
      </c>
    </row>
    <row r="4" customFormat="false" ht="15" hidden="false" customHeight="true" outlineLevel="0" collapsed="false">
      <c r="A4" s="9" t="n">
        <v>1</v>
      </c>
      <c r="B4" s="9" t="s">
        <v>107</v>
      </c>
      <c r="C4" s="9" t="s">
        <v>108</v>
      </c>
      <c r="D4" s="8"/>
      <c r="E4" s="8"/>
    </row>
    <row r="5" customFormat="false" ht="15" hidden="false" customHeight="true" outlineLevel="0" collapsed="false">
      <c r="A5" s="9" t="n">
        <v>2</v>
      </c>
      <c r="B5" s="9" t="s">
        <v>109</v>
      </c>
      <c r="C5" s="9" t="s">
        <v>110</v>
      </c>
      <c r="D5" s="8"/>
      <c r="E5" s="8"/>
    </row>
    <row r="6" customFormat="false" ht="15" hidden="false" customHeight="true" outlineLevel="0" collapsed="false">
      <c r="A6" s="9" t="n">
        <v>3</v>
      </c>
      <c r="B6" s="9" t="s">
        <v>111</v>
      </c>
      <c r="C6" s="9" t="s">
        <v>112</v>
      </c>
      <c r="D6" s="8"/>
      <c r="E6" s="8"/>
    </row>
    <row r="7" customFormat="false" ht="15" hidden="false" customHeight="true" outlineLevel="0" collapsed="false">
      <c r="A7" s="9" t="n">
        <v>4</v>
      </c>
      <c r="B7" s="9" t="s">
        <v>113</v>
      </c>
      <c r="C7" s="9" t="s">
        <v>114</v>
      </c>
      <c r="D7" s="8"/>
      <c r="E7" s="8"/>
    </row>
    <row r="8" customFormat="false" ht="15" hidden="false" customHeight="true" outlineLevel="0" collapsed="false">
      <c r="A8" s="9" t="n">
        <v>5</v>
      </c>
      <c r="B8" s="9" t="s">
        <v>115</v>
      </c>
      <c r="C8" s="9" t="s">
        <v>116</v>
      </c>
      <c r="D8" s="8"/>
      <c r="E8" s="8"/>
    </row>
    <row r="9" customFormat="false" ht="15" hidden="false" customHeight="true" outlineLevel="0" collapsed="false">
      <c r="A9" s="9" t="n">
        <v>6</v>
      </c>
      <c r="B9" s="9" t="s">
        <v>117</v>
      </c>
      <c r="C9" s="9" t="s">
        <v>118</v>
      </c>
      <c r="D9" s="8"/>
      <c r="E9" s="8"/>
    </row>
    <row r="10" customFormat="false" ht="15" hidden="false" customHeight="true" outlineLevel="0" collapsed="false">
      <c r="A10" s="9" t="n">
        <v>7</v>
      </c>
      <c r="B10" s="9" t="s">
        <v>119</v>
      </c>
      <c r="C10" s="9" t="s">
        <v>120</v>
      </c>
      <c r="D10" s="8"/>
      <c r="E10" s="8"/>
    </row>
    <row r="11" customFormat="false" ht="15" hidden="false" customHeight="true" outlineLevel="0" collapsed="false">
      <c r="A11" s="9" t="n">
        <v>8</v>
      </c>
      <c r="B11" s="9" t="s">
        <v>121</v>
      </c>
      <c r="C11" s="9" t="s">
        <v>122</v>
      </c>
      <c r="D11" s="8"/>
      <c r="E11" s="8"/>
    </row>
    <row r="12" customFormat="false" ht="15" hidden="false" customHeight="true" outlineLevel="0" collapsed="false">
      <c r="A12" s="9" t="n">
        <v>9</v>
      </c>
      <c r="B12" s="9" t="s">
        <v>123</v>
      </c>
      <c r="C12" s="9" t="s">
        <v>124</v>
      </c>
      <c r="D12" s="8"/>
      <c r="E12" s="8"/>
    </row>
    <row r="13" customFormat="false" ht="15" hidden="false" customHeight="true" outlineLevel="0" collapsed="false">
      <c r="A13" s="9" t="n">
        <v>10</v>
      </c>
      <c r="B13" s="9" t="s">
        <v>125</v>
      </c>
      <c r="C13" s="9" t="s">
        <v>126</v>
      </c>
      <c r="D13" s="8"/>
      <c r="E13" s="8"/>
    </row>
    <row r="14" customFormat="false" ht="15" hidden="false" customHeight="true" outlineLevel="0" collapsed="false">
      <c r="A14" s="9" t="n">
        <v>11</v>
      </c>
      <c r="B14" s="9" t="s">
        <v>127</v>
      </c>
      <c r="C14" s="9" t="s">
        <v>128</v>
      </c>
      <c r="D14" s="8"/>
      <c r="E14" s="8"/>
    </row>
    <row r="15" customFormat="false" ht="15" hidden="false" customHeight="true" outlineLevel="0" collapsed="false">
      <c r="A15" s="9" t="n">
        <v>12</v>
      </c>
      <c r="B15" s="9" t="s">
        <v>129</v>
      </c>
      <c r="C15" s="9" t="s">
        <v>130</v>
      </c>
      <c r="D15" s="8"/>
      <c r="E15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2026-10-02T09:16:33Z</dcterms:created>
  <dc:creator>openpyxl</dc:creator>
  <dc:description/>
  <dc:language>en-US</dc:language>
  <cp:lastModifiedBy/>
  <dcterms:modified xsi:type="dcterms:W3CDTF">2026-10-02T09:31:20Z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